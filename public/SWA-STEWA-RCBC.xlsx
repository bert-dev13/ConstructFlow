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PEO FILES WS\BOX CULVERT ALONG CATO-CONNER\"/>
    </mc:Choice>
  </mc:AlternateContent>
  <xr:revisionPtr revIDLastSave="0" documentId="13_ncr:1_{D6973368-87CF-4290-BC8D-D170158992B0}" xr6:coauthVersionLast="47" xr6:coauthVersionMax="47" xr10:uidLastSave="{00000000-0000-0000-0000-000000000000}"/>
  <bookViews>
    <workbookView xWindow="-108" yWindow="-108" windowWidth="23256" windowHeight="12456" firstSheet="13" xr2:uid="{784D15FE-A3C2-4FB5-B7E5-7A5EF83C185F}"/>
  </bookViews>
  <sheets>
    <sheet name="SWA (July 6-9)" sheetId="1" r:id="rId1"/>
    <sheet name="STEWA (July 6-9)" sheetId="2" r:id="rId2"/>
    <sheet name="SWA (July 13-17)" sheetId="14" r:id="rId3"/>
    <sheet name="STEWA (July 13-17)" sheetId="15" r:id="rId4"/>
    <sheet name="SWA (July 20-24)" sheetId="17" r:id="rId5"/>
    <sheet name="STEWA (July 20-24)" sheetId="16" r:id="rId6"/>
    <sheet name="SWA (July 27-30)" sheetId="18" r:id="rId7"/>
    <sheet name="STEWA (July 27-30)" sheetId="19" r:id="rId8"/>
    <sheet name="SWA (August 3-7)" sheetId="21" r:id="rId9"/>
    <sheet name="STEWA (August 3-7)" sheetId="20" r:id="rId10"/>
    <sheet name="SWA (August 10-14)" sheetId="23" r:id="rId11"/>
    <sheet name="STEWA (August 10-14)" sheetId="22" r:id="rId12"/>
    <sheet name="SWA (August 17-21)" sheetId="24" r:id="rId13"/>
    <sheet name="STEWA (August 17-21)" sheetId="25" r:id="rId14"/>
    <sheet name="SWA (August 24-28)" sheetId="26" r:id="rId15"/>
    <sheet name="STEWA (August 24-28)" sheetId="27" r:id="rId16"/>
    <sheet name="SWA (FINAL)" sheetId="3" r:id="rId17"/>
    <sheet name="STEWA (FINAL)" sheetId="4" r:id="rId18"/>
    <sheet name="IAR RCBC JuLY 1-3)" sheetId="28" r:id="rId19"/>
    <sheet name="IAR RCBC JuLY 6-17)" sheetId="29" r:id="rId20"/>
    <sheet name="IAR RCBC JuLY 20-24)" sheetId="30" r:id="rId21"/>
    <sheet name="IAR RCBC JuLY 27-30)" sheetId="31" r:id="rId22"/>
    <sheet name="IAR RCBC Aug 3-7)" sheetId="32" r:id="rId23"/>
    <sheet name="IAR RCBC Aug 10-14)" sheetId="33" r:id="rId24"/>
    <sheet name="IAR RCBC Aug 17-21)" sheetId="34" r:id="rId25"/>
    <sheet name="IAR RCBC Aug 24-31)" sheetId="35" r:id="rId26"/>
  </sheets>
  <externalReferences>
    <externalReference r:id="rId27"/>
    <externalReference r:id="rId28"/>
    <externalReference r:id="rId29"/>
    <externalReference r:id="rId30"/>
  </externalReferences>
  <definedNames>
    <definedName name="_nhm">'[1]BACOLOD RENTAL RATES'!#REF!</definedName>
    <definedName name="AggPlant100.T">'[1]BACOLOD RENTAL RATES'!#REF!</definedName>
    <definedName name="AshDist3000.T">'[1]BACOLOD RENTAL RATES'!#REF!</definedName>
    <definedName name="AshPaver88.T">'[1]BACOLOD RENTAL RATES'!#REF!</definedName>
    <definedName name="AshPlant100.T">'[1]BACOLOD RENTAL RATES'!#REF!</definedName>
    <definedName name="AshPlant30.T">'[1]BACOLOD RENTAL RATES'!#REF!</definedName>
    <definedName name="AshPlant60.T">'[1]BACOLOD RENTAL RATES'!#REF!</definedName>
    <definedName name="Backhoe.63m3.T">'[1]BACOLOD RENTAL RATES'!#REF!</definedName>
    <definedName name="Backhoe.76m3.T">'[1]BACOLOD RENTAL RATES'!#REF!</definedName>
    <definedName name="Backhoe1.18m3.T">'[1]BACOLOD RENTAL RATES'!#REF!</definedName>
    <definedName name="Backhoe1.98m3.T">'[1]BACOLOD RENTAL RATES'!#REF!</definedName>
    <definedName name="Bender50.T">'[1]BACOLOD RENTAL RATES'!#REF!</definedName>
    <definedName name="Breaker5hp.T">'[1]BACOLOD RENTAL RATES'!#REF!</definedName>
    <definedName name="ChainSaw.T">'[1]BACOLOD RENTAL RATES'!#REF!</definedName>
    <definedName name="Comp150.T">'[1]BACOLOD RENTAL RATES'!#REF!</definedName>
    <definedName name="Comp350.T">'[1]BACOLOD RENTAL RATES'!#REF!</definedName>
    <definedName name="Comp500.T">'[1]BACOLOD RENTAL RATES'!#REF!</definedName>
    <definedName name="Compactor12hp.T">'[1]BACOLOD RENTAL RATES'!#REF!</definedName>
    <definedName name="ConcCtr30.T">'[1]BACOLOD RENTAL RATES'!#REF!</definedName>
    <definedName name="ConcPaver120hp.T">'[1]BACOLOD RENTAL RATES'!#REF!</definedName>
    <definedName name="ConcPlant30.T">'[1]BACOLOD RENTAL RATES'!#REF!</definedName>
    <definedName name="ConcPlant40.T">'[1]BACOLOD RENTAL RATES'!#REF!</definedName>
    <definedName name="ConcPlant60.T">'[1]BACOLOD RENTAL RATES'!#REF!</definedName>
    <definedName name="ConcPump40.T">'[1]BACOLOD RENTAL RATES'!#REF!</definedName>
    <definedName name="ConcPump45.T">'[1]BACOLOD RENTAL RATES'!#REF!</definedName>
    <definedName name="conduits">'[2]BACOLOD RENTAL RATES'!#REF!</definedName>
    <definedName name="Crane10t.T">'[1]BACOLOD RENTAL RATES'!#REF!</definedName>
    <definedName name="Crane120t.T">'[1]BACOLOD RENTAL RATES'!#REF!</definedName>
    <definedName name="Crane15t.T">'[1]BACOLOD RENTAL RATES'!#REF!</definedName>
    <definedName name="Crane20t.T">'[1]BACOLOD RENTAL RATES'!#REF!</definedName>
    <definedName name="Crane25t.T">'[1]BACOLOD RENTAL RATES'!#REF!</definedName>
    <definedName name="Crane2t.T">'[1]BACOLOD RENTAL RATES'!#REF!</definedName>
    <definedName name="Crane40t.T">'[1]BACOLOD RENTAL RATES'!#REF!</definedName>
    <definedName name="Crane5t.T">'[1]BACOLOD RENTAL RATES'!#REF!</definedName>
    <definedName name="Crane60t.T">'[1]BACOLOD RENTAL RATES'!#REF!</definedName>
    <definedName name="Cutter50.T">'[1]BACOLOD RENTAL RATES'!#REF!</definedName>
    <definedName name="Dcap">[3]Cons!$C$24</definedName>
    <definedName name="Drill115.T">'[1]BACOLOD RENTAL RATES'!#REF!</definedName>
    <definedName name="DT10m3.T">'[1]BACOLOD RENTAL RATES'!#REF!</definedName>
    <definedName name="DT5m3.T">'[1]BACOLOD RENTAL RATES'!#REF!</definedName>
    <definedName name="DT8m3.T">'[1]BACOLOD RENTAL RATES'!#REF!</definedName>
    <definedName name="DTHrate">[3]Cons!$C$25</definedName>
    <definedName name="Gen300kw.T">'[1]BACOLOD RENTAL RATES'!#REF!</definedName>
    <definedName name="Gen600kw.T">'[1]BACOLOD RENTAL RATES'!#REF!</definedName>
    <definedName name="Gen75kw.T">'[1]BACOLOD RENTAL RATES'!#REF!</definedName>
    <definedName name="Grader125hp.T">'[1]BACOLOD RENTAL RATES'!#REF!</definedName>
    <definedName name="Grader135hp.T">'[1]BACOLOD RENTAL RATES'!#REF!</definedName>
    <definedName name="Hammer3700kg.T">'[1]BACOLOD RENTAL RATES'!#REF!</definedName>
    <definedName name="Hammer7500kg.T">'[1]BACOLOD RENTAL RATES'!#REF!</definedName>
    <definedName name="item101">[4]entry!$B$16</definedName>
    <definedName name="ITEM102">[4]entry!$B$17</definedName>
    <definedName name="item200">[4]entry!$B$18</definedName>
    <definedName name="jimmy">'[2]BACOLOD RENTAL RATES'!#REF!</definedName>
    <definedName name="JkHammer15kg.T">'[1]BACOLOD RENTAL RATES'!#REF!</definedName>
    <definedName name="Loader.76m3.T">'[1]BACOLOD RENTAL RATES'!#REF!</definedName>
    <definedName name="Loader.83m3.T">'[1]BACOLOD RENTAL RATES'!#REF!</definedName>
    <definedName name="Loader.99m3.T">'[1]BACOLOD RENTAL RATES'!#REF!</definedName>
    <definedName name="Loader1.3m3.T">'[1]BACOLOD RENTAL RATES'!#REF!</definedName>
    <definedName name="Loader1.53m3.T">'[1]BACOLOD RENTAL RATES'!#REF!</definedName>
    <definedName name="Loader1.76m3.T">'[1]BACOLOD RENTAL RATES'!#REF!</definedName>
    <definedName name="Loader2.29m3.T">'[1]BACOLOD RENTAL RATES'!#REF!</definedName>
    <definedName name="Marker1.2ltr.T">'[1]BACOLOD RENTAL RATES'!#REF!</definedName>
    <definedName name="Mixer1.T">'[1]BACOLOD RENTAL RATES'!#REF!</definedName>
    <definedName name="Mixer2.T">'[1]BACOLOD RENTAL RATES'!#REF!</definedName>
    <definedName name="Mixer3.T">'[1]BACOLOD RENTAL RATES'!#REF!</definedName>
    <definedName name="Mixer5m3.T">'[1]BACOLOD RENTAL RATES'!#REF!</definedName>
    <definedName name="mnb">'[1]BACOLOD RENTAL RATES'!#REF!</definedName>
    <definedName name="_xlnm.Print_Area" localSheetId="23">'IAR RCBC Aug 10-14)'!$A$1:$M$75</definedName>
    <definedName name="_xlnm.Print_Area" localSheetId="24">'IAR RCBC Aug 17-21)'!$A$1:$M$75</definedName>
    <definedName name="_xlnm.Print_Area" localSheetId="25">'IAR RCBC Aug 24-31)'!$A$1:$L$74</definedName>
    <definedName name="_xlnm.Print_Area" localSheetId="22">'IAR RCBC Aug 3-7)'!$A$1:$M$75</definedName>
    <definedName name="_xlnm.Print_Area" localSheetId="18">'IAR RCBC JuLY 1-3)'!$A$1:$L$75</definedName>
    <definedName name="_xlnm.Print_Area" localSheetId="20">'IAR RCBC JuLY 20-24)'!$A$1:$M$75</definedName>
    <definedName name="_xlnm.Print_Area" localSheetId="21">'IAR RCBC JuLY 27-30)'!$A$1:$M$75</definedName>
    <definedName name="_xlnm.Print_Area" localSheetId="19">'IAR RCBC JuLY 6-17)'!$A$1:$L$75</definedName>
    <definedName name="_xlnm.Print_Area" localSheetId="11">'STEWA (August 10-14)'!$A$1:$F$50</definedName>
    <definedName name="_xlnm.Print_Area" localSheetId="15">'STEWA (August 24-28)'!$A$1:$F$50</definedName>
    <definedName name="_xlnm.Print_Area" localSheetId="9">'STEWA (August 3-7)'!$A$1:$F$50</definedName>
    <definedName name="_xlnm.Print_Area" localSheetId="17">'STEWA (FINAL)'!$A$1:$F$51</definedName>
    <definedName name="_xlnm.Print_Area" localSheetId="3">'STEWA (July 13-17)'!$A$1:$F$50</definedName>
    <definedName name="_xlnm.Print_Area" localSheetId="5">'STEWA (July 20-24)'!$A$1:$F$50</definedName>
    <definedName name="_xlnm.Print_Area" localSheetId="7">'STEWA (July 27-30)'!$A$1:$F$50</definedName>
    <definedName name="_xlnm.Print_Area" localSheetId="1">'STEWA (July 6-9)'!$A$1:$F$50</definedName>
    <definedName name="_xlnm.Print_Area" localSheetId="10">'SWA (August 10-14)'!$A$1:$M$49</definedName>
    <definedName name="_xlnm.Print_Area" localSheetId="12">'SWA (August 17-21)'!$A$1:$M$49</definedName>
    <definedName name="_xlnm.Print_Area" localSheetId="14">'SWA (August 24-28)'!$A$1:$M$49</definedName>
    <definedName name="_xlnm.Print_Area" localSheetId="8">'SWA (August 3-7)'!$A$1:$M$50</definedName>
    <definedName name="_xlnm.Print_Area" localSheetId="16">'SWA (FINAL)'!$A$1:$M$49</definedName>
    <definedName name="_xlnm.Print_Area" localSheetId="2">'SWA (July 13-17)'!$A$1:$M$49</definedName>
    <definedName name="_xlnm.Print_Area" localSheetId="4">'SWA (July 20-24)'!$A$1:$M$49</definedName>
    <definedName name="_xlnm.Print_Area" localSheetId="6">'SWA (July 27-30)'!$A$1:$M$49</definedName>
    <definedName name="_xlnm.Print_Area" localSheetId="0">'SWA (July 6-9)'!$A$1:$M$50</definedName>
    <definedName name="Pump1750gpm.T">'[1]BACOLOD RENTAL RATES'!#REF!</definedName>
    <definedName name="Pump250gpm.T">'[1]BACOLOD RENTAL RATES'!#REF!</definedName>
    <definedName name="Pump650gpm.T">'[1]BACOLOD RENTAL RATES'!#REF!</definedName>
    <definedName name="Roller10t.T">'[1]BACOLOD RENTAL RATES'!#REF!</definedName>
    <definedName name="Roller25t.T">'[1]BACOLOD RENTAL RATES'!#REF!</definedName>
    <definedName name="sadfsadf">#REF!</definedName>
    <definedName name="Scraper21m3.T">'[1]BACOLOD RENTAL RATES'!#REF!</definedName>
    <definedName name="Sealer10hp.T">'[1]BACOLOD RENTAL RATES'!#REF!</definedName>
    <definedName name="Shovel1250hp.T">'[1]BACOLOD RENTAL RATES'!#REF!</definedName>
    <definedName name="StripMach10hp.T">'[1]BACOLOD RENTAL RATES'!#REF!</definedName>
    <definedName name="Sweeper30hp.T">'[1]BACOLOD RENTAL RATES'!#REF!</definedName>
    <definedName name="Tractor140hp.T">'[1]BACOLOD RENTAL RATES'!#REF!</definedName>
    <definedName name="Tractor215hp.T">'[1]BACOLOD RENTAL RATES'!#REF!</definedName>
    <definedName name="Tractor335hp.T">'[1]BACOLOD RENTAL RATES'!#REF!</definedName>
    <definedName name="Tractor95hp.T">'[1]BACOLOD RENTAL RATES'!#REF!</definedName>
    <definedName name="TrailerHigh25t.T">'[1]BACOLOD RENTAL RATES'!#REF!</definedName>
    <definedName name="TrailerLow25t.T">'[1]BACOLOD RENTAL RATES'!#REF!</definedName>
    <definedName name="Truck10t.T">'[1]BACOLOD RENTAL RATES'!#REF!</definedName>
    <definedName name="Truck5t.T">'[1]BACOLOD RENTAL RATES'!#REF!</definedName>
    <definedName name="TruckCrane10t.T">'[1]BACOLOD RENTAL RATES'!#REF!</definedName>
    <definedName name="Vib75.T">'[1]BACOLOD RENTAL RATES'!#REF!</definedName>
    <definedName name="VibRoll12t.T">'[1]BACOLOD RENTAL RATES'!#REF!</definedName>
    <definedName name="VibRoll2t.T">'[1]BACOLOD RENTAL RATES'!#REF!</definedName>
    <definedName name="VibRollS10t.T">'[1]BACOLOD RENTAL RATES'!#REF!</definedName>
    <definedName name="VibRollT10t.T">'[1]BACOLOD RENTAL RATES'!#REF!</definedName>
    <definedName name="WeldMach1.T">'[1]BACOLOD RENTAL RATES'!#REF!</definedName>
    <definedName name="WeldMach2.T">'[1]BACOLOD RENTAL RATES'!#REF!</definedName>
    <definedName name="WtrTrck3000gal.T">'[1]BACOLOD RENTAL RATES'!#REF!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34" i="3"/>
  <c r="H11" i="3"/>
  <c r="D23" i="4"/>
  <c r="H65" i="35"/>
  <c r="J17" i="35"/>
  <c r="U16" i="35"/>
  <c r="Q16" i="35"/>
  <c r="U15" i="35"/>
  <c r="S13" i="35"/>
  <c r="P12" i="35"/>
  <c r="L11" i="3"/>
  <c r="L12" i="3"/>
  <c r="L13" i="3"/>
  <c r="L15" i="3"/>
  <c r="L16" i="3"/>
  <c r="L17" i="3"/>
  <c r="L18" i="3"/>
  <c r="L20" i="3"/>
  <c r="L22" i="3"/>
  <c r="L23" i="3"/>
  <c r="L26" i="3"/>
  <c r="L27" i="3"/>
  <c r="L28" i="3"/>
  <c r="L30" i="3"/>
  <c r="L31" i="3"/>
  <c r="L32" i="3"/>
  <c r="L34" i="3"/>
  <c r="F65" i="34"/>
  <c r="H65" i="34"/>
  <c r="J17" i="34"/>
  <c r="Q16" i="34"/>
  <c r="U15" i="34"/>
  <c r="U16" i="34"/>
  <c r="S13" i="34"/>
  <c r="P12" i="34"/>
  <c r="F65" i="33"/>
  <c r="B65" i="33"/>
  <c r="H65" i="33"/>
  <c r="J18" i="33"/>
  <c r="Q16" i="33"/>
  <c r="U15" i="33"/>
  <c r="U16" i="33"/>
  <c r="S13" i="33"/>
  <c r="P12" i="33"/>
  <c r="F65" i="32"/>
  <c r="H65" i="32"/>
  <c r="B65" i="32"/>
  <c r="J21" i="32"/>
  <c r="J20" i="32"/>
  <c r="J19" i="32"/>
  <c r="Q16" i="32"/>
  <c r="J16" i="32"/>
  <c r="U15" i="32"/>
  <c r="U16" i="32"/>
  <c r="S13" i="32"/>
  <c r="P12" i="32"/>
  <c r="F65" i="31"/>
  <c r="H65" i="31"/>
  <c r="B65" i="31"/>
  <c r="J21" i="31"/>
  <c r="J20" i="31"/>
  <c r="J19" i="31"/>
  <c r="Q16" i="31"/>
  <c r="U15" i="31"/>
  <c r="U16" i="31"/>
  <c r="S13" i="31"/>
  <c r="P12" i="31"/>
  <c r="F65" i="30"/>
  <c r="H65" i="30"/>
  <c r="B65" i="30"/>
  <c r="J24" i="30"/>
  <c r="J23" i="30"/>
  <c r="J22" i="30"/>
  <c r="R21" i="30"/>
  <c r="R20" i="30"/>
  <c r="R19" i="30"/>
  <c r="Q16" i="30"/>
  <c r="U15" i="30"/>
  <c r="U16" i="30"/>
  <c r="S13" i="30"/>
  <c r="P12" i="30"/>
  <c r="F65" i="29"/>
  <c r="H65" i="29"/>
  <c r="B65" i="29"/>
  <c r="Q16" i="29"/>
  <c r="U15" i="29"/>
  <c r="U16" i="29"/>
  <c r="S13" i="29"/>
  <c r="P12" i="29"/>
  <c r="F65" i="28"/>
  <c r="H65" i="28"/>
  <c r="B65" i="28"/>
  <c r="Q16" i="28"/>
  <c r="U15" i="28"/>
  <c r="U16" i="28"/>
  <c r="S13" i="28"/>
  <c r="P12" i="28"/>
  <c r="J12" i="28"/>
  <c r="K13" i="3"/>
  <c r="K11" i="3"/>
  <c r="K22" i="3"/>
  <c r="K61" i="4"/>
  <c r="D28" i="27"/>
  <c r="K22" i="26"/>
  <c r="I26" i="27"/>
  <c r="I25" i="27"/>
  <c r="I30" i="27"/>
  <c r="I24" i="27"/>
  <c r="D25" i="27"/>
  <c r="D23" i="27"/>
  <c r="O21" i="27"/>
  <c r="D20" i="27"/>
  <c r="D17" i="27"/>
  <c r="D21" i="27"/>
  <c r="D26" i="27"/>
  <c r="D15" i="27"/>
  <c r="D14" i="27"/>
  <c r="D13" i="27"/>
  <c r="D12" i="27"/>
  <c r="B9" i="27"/>
  <c r="D18" i="27"/>
  <c r="D27" i="27"/>
  <c r="S77" i="26"/>
  <c r="T77" i="26"/>
  <c r="S76" i="26"/>
  <c r="T76" i="26"/>
  <c r="S75" i="26"/>
  <c r="T75" i="26"/>
  <c r="S74" i="26"/>
  <c r="T74" i="26"/>
  <c r="S73" i="26"/>
  <c r="T73" i="26"/>
  <c r="T72" i="26"/>
  <c r="S72" i="26"/>
  <c r="S71" i="26"/>
  <c r="S78" i="26"/>
  <c r="P45" i="26"/>
  <c r="K32" i="26"/>
  <c r="J32" i="26"/>
  <c r="G32" i="26"/>
  <c r="G31" i="26"/>
  <c r="K31" i="26"/>
  <c r="G30" i="26"/>
  <c r="K30" i="26"/>
  <c r="P29" i="26"/>
  <c r="N29" i="26"/>
  <c r="G28" i="26"/>
  <c r="K28" i="26"/>
  <c r="G27" i="26"/>
  <c r="K27" i="26"/>
  <c r="G26" i="26"/>
  <c r="K26" i="26"/>
  <c r="P25" i="26"/>
  <c r="N25" i="26"/>
  <c r="G23" i="26"/>
  <c r="K23" i="26"/>
  <c r="J22" i="26"/>
  <c r="G22" i="26"/>
  <c r="G20" i="26"/>
  <c r="K20" i="26"/>
  <c r="K18" i="26"/>
  <c r="J18" i="26"/>
  <c r="N18" i="26"/>
  <c r="G18" i="26"/>
  <c r="K17" i="26"/>
  <c r="G17" i="26"/>
  <c r="K16" i="26"/>
  <c r="J16" i="26"/>
  <c r="N16" i="26"/>
  <c r="G16" i="26"/>
  <c r="K15" i="26"/>
  <c r="G15" i="26"/>
  <c r="K13" i="26"/>
  <c r="J13" i="26"/>
  <c r="N13" i="26"/>
  <c r="G13" i="26"/>
  <c r="K12" i="26"/>
  <c r="G12" i="26"/>
  <c r="K11" i="26"/>
  <c r="J11" i="26"/>
  <c r="G11" i="26"/>
  <c r="B5" i="26"/>
  <c r="B4" i="26"/>
  <c r="F2" i="26"/>
  <c r="D28" i="25"/>
  <c r="I26" i="25"/>
  <c r="I25" i="25"/>
  <c r="I30" i="25"/>
  <c r="I24" i="25"/>
  <c r="D25" i="25"/>
  <c r="D23" i="25"/>
  <c r="O21" i="25"/>
  <c r="D20" i="25"/>
  <c r="D17" i="25"/>
  <c r="D15" i="25"/>
  <c r="D14" i="25"/>
  <c r="D13" i="25"/>
  <c r="D12" i="25"/>
  <c r="B9" i="25"/>
  <c r="D18" i="25"/>
  <c r="S77" i="24"/>
  <c r="T77" i="24"/>
  <c r="T76" i="24"/>
  <c r="S76" i="24"/>
  <c r="S75" i="24"/>
  <c r="T75" i="24"/>
  <c r="T74" i="24"/>
  <c r="S74" i="24"/>
  <c r="S73" i="24"/>
  <c r="T73" i="24"/>
  <c r="T72" i="24"/>
  <c r="S72" i="24"/>
  <c r="S71" i="24"/>
  <c r="S78" i="24"/>
  <c r="P45" i="24"/>
  <c r="K32" i="24"/>
  <c r="J32" i="24"/>
  <c r="G32" i="24"/>
  <c r="H32" i="24"/>
  <c r="K31" i="24"/>
  <c r="L31" i="24"/>
  <c r="G31" i="24"/>
  <c r="H31" i="24"/>
  <c r="G30" i="24"/>
  <c r="K30" i="24"/>
  <c r="P29" i="24"/>
  <c r="N29" i="24"/>
  <c r="G28" i="24"/>
  <c r="K28" i="24"/>
  <c r="G27" i="24"/>
  <c r="K27" i="24"/>
  <c r="G26" i="24"/>
  <c r="K26" i="24"/>
  <c r="P25" i="24"/>
  <c r="N25" i="24"/>
  <c r="G23" i="24"/>
  <c r="K23" i="24"/>
  <c r="K22" i="24"/>
  <c r="J22" i="24"/>
  <c r="G22" i="24"/>
  <c r="K20" i="24"/>
  <c r="G20" i="24"/>
  <c r="K18" i="24"/>
  <c r="J18" i="24"/>
  <c r="N18" i="24"/>
  <c r="G18" i="24"/>
  <c r="K17" i="24"/>
  <c r="L17" i="24"/>
  <c r="G17" i="24"/>
  <c r="K16" i="24"/>
  <c r="J16" i="24"/>
  <c r="N16" i="24"/>
  <c r="G16" i="24"/>
  <c r="K15" i="24"/>
  <c r="G15" i="24"/>
  <c r="K13" i="24"/>
  <c r="J13" i="24"/>
  <c r="N13" i="24"/>
  <c r="G13" i="24"/>
  <c r="K12" i="24"/>
  <c r="J12" i="24"/>
  <c r="N12" i="24"/>
  <c r="G12" i="24"/>
  <c r="K11" i="24"/>
  <c r="J11" i="24"/>
  <c r="G11" i="24"/>
  <c r="G34" i="24"/>
  <c r="B5" i="24"/>
  <c r="B4" i="24"/>
  <c r="F2" i="24"/>
  <c r="J22" i="23"/>
  <c r="K23" i="23"/>
  <c r="K18" i="23"/>
  <c r="K18" i="21"/>
  <c r="T77" i="23"/>
  <c r="S77" i="23"/>
  <c r="S76" i="23"/>
  <c r="T76" i="23"/>
  <c r="S75" i="23"/>
  <c r="T75" i="23"/>
  <c r="S74" i="23"/>
  <c r="T74" i="23"/>
  <c r="S73" i="23"/>
  <c r="T73" i="23"/>
  <c r="S72" i="23"/>
  <c r="T72" i="23"/>
  <c r="S71" i="23"/>
  <c r="S78" i="23"/>
  <c r="P45" i="23"/>
  <c r="K32" i="23"/>
  <c r="L32" i="23"/>
  <c r="J32" i="23"/>
  <c r="G32" i="23"/>
  <c r="H32" i="23"/>
  <c r="G31" i="23"/>
  <c r="K31" i="23"/>
  <c r="G30" i="23"/>
  <c r="H30" i="23"/>
  <c r="P29" i="23"/>
  <c r="N29" i="23"/>
  <c r="G28" i="23"/>
  <c r="K28" i="23"/>
  <c r="G27" i="23"/>
  <c r="G34" i="23"/>
  <c r="G26" i="23"/>
  <c r="K26" i="23"/>
  <c r="P25" i="23"/>
  <c r="N25" i="23"/>
  <c r="J23" i="23"/>
  <c r="G23" i="23"/>
  <c r="H23" i="23"/>
  <c r="G22" i="23"/>
  <c r="G20" i="23"/>
  <c r="K20" i="23"/>
  <c r="L18" i="23"/>
  <c r="J18" i="23"/>
  <c r="N18" i="23"/>
  <c r="G18" i="23"/>
  <c r="N17" i="23"/>
  <c r="K17" i="23"/>
  <c r="L17" i="23"/>
  <c r="J17" i="23"/>
  <c r="G17" i="23"/>
  <c r="H17" i="23"/>
  <c r="P17" i="23"/>
  <c r="K16" i="23"/>
  <c r="L16" i="23"/>
  <c r="J16" i="23"/>
  <c r="N16" i="23"/>
  <c r="G16" i="23"/>
  <c r="N15" i="23"/>
  <c r="K15" i="23"/>
  <c r="L15" i="23"/>
  <c r="M15" i="23"/>
  <c r="J15" i="23"/>
  <c r="G15" i="23"/>
  <c r="H15" i="23"/>
  <c r="P15" i="23"/>
  <c r="K13" i="23"/>
  <c r="L13" i="23"/>
  <c r="J13" i="23"/>
  <c r="N13" i="23"/>
  <c r="G13" i="23"/>
  <c r="N12" i="23"/>
  <c r="K12" i="23"/>
  <c r="L12" i="23"/>
  <c r="J12" i="23"/>
  <c r="G12" i="23"/>
  <c r="H12" i="23"/>
  <c r="P12" i="23"/>
  <c r="K11" i="23"/>
  <c r="L11" i="23"/>
  <c r="J11" i="23"/>
  <c r="G11" i="23"/>
  <c r="B5" i="23"/>
  <c r="B4" i="23"/>
  <c r="F2" i="23"/>
  <c r="I26" i="22"/>
  <c r="I25" i="22"/>
  <c r="I30" i="22"/>
  <c r="D25" i="22"/>
  <c r="I24" i="22"/>
  <c r="D23" i="22"/>
  <c r="O21" i="22"/>
  <c r="D20" i="22"/>
  <c r="D17" i="22"/>
  <c r="D15" i="22"/>
  <c r="D14" i="22"/>
  <c r="D13" i="22"/>
  <c r="D12" i="22"/>
  <c r="B9" i="22"/>
  <c r="D18" i="22"/>
  <c r="D27" i="22"/>
  <c r="D27" i="20"/>
  <c r="K28" i="18"/>
  <c r="J28" i="18"/>
  <c r="N28" i="18"/>
  <c r="K27" i="18"/>
  <c r="K26" i="18"/>
  <c r="K20" i="21"/>
  <c r="J20" i="21"/>
  <c r="N20" i="21"/>
  <c r="K28" i="21"/>
  <c r="K27" i="21"/>
  <c r="L27" i="21"/>
  <c r="K26" i="21"/>
  <c r="K15" i="18"/>
  <c r="K15" i="17"/>
  <c r="K15" i="14"/>
  <c r="J15" i="14"/>
  <c r="N15" i="14"/>
  <c r="K15" i="1"/>
  <c r="K15" i="21"/>
  <c r="K11" i="21"/>
  <c r="S77" i="21"/>
  <c r="T77" i="21"/>
  <c r="T76" i="21"/>
  <c r="S76" i="21"/>
  <c r="S75" i="21"/>
  <c r="T75" i="21"/>
  <c r="S74" i="21"/>
  <c r="T74" i="21"/>
  <c r="T73" i="21"/>
  <c r="S73" i="21"/>
  <c r="T72" i="21"/>
  <c r="S72" i="21"/>
  <c r="S71" i="21"/>
  <c r="S78" i="21"/>
  <c r="P45" i="21"/>
  <c r="G32" i="21"/>
  <c r="K31" i="21"/>
  <c r="J31" i="21"/>
  <c r="G31" i="21"/>
  <c r="H31" i="21"/>
  <c r="K30" i="21"/>
  <c r="L30" i="21"/>
  <c r="G30" i="21"/>
  <c r="P29" i="21"/>
  <c r="N29" i="21"/>
  <c r="J28" i="21"/>
  <c r="N28" i="21"/>
  <c r="G28" i="21"/>
  <c r="H28" i="21"/>
  <c r="G27" i="21"/>
  <c r="H27" i="21"/>
  <c r="J26" i="21"/>
  <c r="N26" i="21"/>
  <c r="G26" i="21"/>
  <c r="P25" i="21"/>
  <c r="N25" i="21"/>
  <c r="J23" i="21"/>
  <c r="G23" i="21"/>
  <c r="J22" i="21"/>
  <c r="G22" i="21"/>
  <c r="G20" i="21"/>
  <c r="L18" i="21"/>
  <c r="G18" i="21"/>
  <c r="H18" i="21"/>
  <c r="P18" i="21"/>
  <c r="K17" i="21"/>
  <c r="J17" i="21"/>
  <c r="N17" i="21"/>
  <c r="G17" i="21"/>
  <c r="H17" i="21"/>
  <c r="K16" i="21"/>
  <c r="L16" i="21"/>
  <c r="G16" i="21"/>
  <c r="H16" i="21"/>
  <c r="P16" i="21"/>
  <c r="J15" i="21"/>
  <c r="N15" i="21"/>
  <c r="G15" i="21"/>
  <c r="K13" i="21"/>
  <c r="G13" i="21"/>
  <c r="K12" i="21"/>
  <c r="J12" i="21"/>
  <c r="N12" i="21"/>
  <c r="G12" i="21"/>
  <c r="H12" i="21"/>
  <c r="J11" i="21"/>
  <c r="G11" i="21"/>
  <c r="G34" i="21"/>
  <c r="B5" i="21"/>
  <c r="B4" i="21"/>
  <c r="F2" i="21"/>
  <c r="I26" i="20"/>
  <c r="I25" i="20"/>
  <c r="I30" i="20"/>
  <c r="I24" i="20"/>
  <c r="D25" i="20"/>
  <c r="D23" i="20"/>
  <c r="O21" i="20"/>
  <c r="D20" i="20"/>
  <c r="D17" i="20"/>
  <c r="D15" i="20"/>
  <c r="D14" i="20"/>
  <c r="D13" i="20"/>
  <c r="D12" i="20"/>
  <c r="B9" i="20"/>
  <c r="D18" i="20"/>
  <c r="K32" i="17"/>
  <c r="K31" i="17"/>
  <c r="K30" i="17"/>
  <c r="J20" i="18"/>
  <c r="N20" i="18"/>
  <c r="J26" i="18"/>
  <c r="N26" i="18"/>
  <c r="K32" i="18"/>
  <c r="K31" i="18"/>
  <c r="K30" i="18"/>
  <c r="I30" i="19"/>
  <c r="I26" i="19"/>
  <c r="I25" i="19"/>
  <c r="I24" i="19"/>
  <c r="D25" i="19"/>
  <c r="D23" i="19"/>
  <c r="O21" i="19"/>
  <c r="D21" i="19"/>
  <c r="D26" i="19"/>
  <c r="D20" i="19"/>
  <c r="D18" i="19"/>
  <c r="D27" i="19"/>
  <c r="D17" i="19"/>
  <c r="M20" i="19"/>
  <c r="D15" i="19"/>
  <c r="D14" i="19"/>
  <c r="D13" i="19"/>
  <c r="D12" i="19"/>
  <c r="B9" i="19"/>
  <c r="T77" i="18"/>
  <c r="S77" i="18"/>
  <c r="T76" i="18"/>
  <c r="S76" i="18"/>
  <c r="T75" i="18"/>
  <c r="S75" i="18"/>
  <c r="S74" i="18"/>
  <c r="T74" i="18"/>
  <c r="T73" i="18"/>
  <c r="S73" i="18"/>
  <c r="S72" i="18"/>
  <c r="T72" i="18"/>
  <c r="T71" i="18"/>
  <c r="T78" i="18"/>
  <c r="S71" i="18"/>
  <c r="S78" i="18"/>
  <c r="P45" i="18"/>
  <c r="L32" i="18"/>
  <c r="G32" i="18"/>
  <c r="H32" i="18"/>
  <c r="L31" i="18"/>
  <c r="G31" i="18"/>
  <c r="G30" i="18"/>
  <c r="P29" i="18"/>
  <c r="N29" i="18"/>
  <c r="G28" i="18"/>
  <c r="H28" i="18"/>
  <c r="G27" i="18"/>
  <c r="H27" i="18"/>
  <c r="G26" i="18"/>
  <c r="H26" i="18"/>
  <c r="P25" i="18"/>
  <c r="N25" i="18"/>
  <c r="J23" i="18"/>
  <c r="G23" i="18"/>
  <c r="J22" i="18"/>
  <c r="G22" i="18"/>
  <c r="H22" i="18"/>
  <c r="G20" i="18"/>
  <c r="K18" i="18"/>
  <c r="J18" i="18"/>
  <c r="G18" i="18"/>
  <c r="N18" i="18"/>
  <c r="K17" i="18"/>
  <c r="L17" i="18"/>
  <c r="M17" i="18"/>
  <c r="G17" i="18"/>
  <c r="H17" i="18"/>
  <c r="P17" i="18"/>
  <c r="K16" i="18"/>
  <c r="L16" i="18"/>
  <c r="J16" i="18"/>
  <c r="G16" i="18"/>
  <c r="N16" i="18"/>
  <c r="L15" i="18"/>
  <c r="G15" i="18"/>
  <c r="H15" i="18"/>
  <c r="K13" i="18"/>
  <c r="L13" i="18"/>
  <c r="J13" i="18"/>
  <c r="G13" i="18"/>
  <c r="N13" i="18"/>
  <c r="K12" i="18"/>
  <c r="L12" i="18"/>
  <c r="G12" i="18"/>
  <c r="N11" i="18"/>
  <c r="J11" i="18"/>
  <c r="G11" i="18"/>
  <c r="G34" i="18"/>
  <c r="B5" i="18"/>
  <c r="B4" i="18"/>
  <c r="F2" i="18"/>
  <c r="T77" i="17"/>
  <c r="S77" i="17"/>
  <c r="S76" i="17"/>
  <c r="T76" i="17"/>
  <c r="S75" i="17"/>
  <c r="T75" i="17"/>
  <c r="S74" i="17"/>
  <c r="T74" i="17"/>
  <c r="S73" i="17"/>
  <c r="T73" i="17"/>
  <c r="S72" i="17"/>
  <c r="T72" i="17"/>
  <c r="S71" i="17"/>
  <c r="S78" i="17"/>
  <c r="P45" i="17"/>
  <c r="J32" i="17"/>
  <c r="G32" i="17"/>
  <c r="H32" i="17"/>
  <c r="L31" i="17"/>
  <c r="J31" i="17"/>
  <c r="G31" i="17"/>
  <c r="H31" i="17"/>
  <c r="L30" i="17"/>
  <c r="J30" i="17"/>
  <c r="G30" i="17"/>
  <c r="P29" i="17"/>
  <c r="N29" i="17"/>
  <c r="N28" i="17"/>
  <c r="J28" i="17"/>
  <c r="G28" i="17"/>
  <c r="G27" i="17"/>
  <c r="J26" i="17"/>
  <c r="N26" i="17"/>
  <c r="G26" i="17"/>
  <c r="H26" i="17"/>
  <c r="P25" i="17"/>
  <c r="N25" i="17"/>
  <c r="J23" i="17"/>
  <c r="G23" i="17"/>
  <c r="H23" i="17"/>
  <c r="J22" i="17"/>
  <c r="G22" i="17"/>
  <c r="H22" i="17"/>
  <c r="N20" i="17"/>
  <c r="J20" i="17"/>
  <c r="G20" i="17"/>
  <c r="K18" i="17"/>
  <c r="J18" i="17"/>
  <c r="N18" i="17"/>
  <c r="G18" i="17"/>
  <c r="N17" i="17"/>
  <c r="K17" i="17"/>
  <c r="J17" i="17"/>
  <c r="G17" i="17"/>
  <c r="J16" i="17"/>
  <c r="N16" i="17"/>
  <c r="G16" i="17"/>
  <c r="H16" i="17"/>
  <c r="L15" i="17"/>
  <c r="J15" i="17"/>
  <c r="N15" i="17"/>
  <c r="G15" i="17"/>
  <c r="K13" i="17"/>
  <c r="J13" i="17"/>
  <c r="N13" i="17"/>
  <c r="G13" i="17"/>
  <c r="N12" i="17"/>
  <c r="K12" i="17"/>
  <c r="J12" i="17"/>
  <c r="G12" i="17"/>
  <c r="J11" i="17"/>
  <c r="N11" i="17"/>
  <c r="G11" i="17"/>
  <c r="G34" i="17"/>
  <c r="B5" i="17"/>
  <c r="B4" i="17"/>
  <c r="F2" i="17"/>
  <c r="I26" i="16"/>
  <c r="I25" i="16"/>
  <c r="I30" i="16"/>
  <c r="I24" i="16"/>
  <c r="D25" i="16"/>
  <c r="D23" i="16"/>
  <c r="O21" i="16"/>
  <c r="D21" i="16"/>
  <c r="D26" i="16"/>
  <c r="M20" i="16"/>
  <c r="D20" i="16"/>
  <c r="D17" i="16"/>
  <c r="D15" i="16"/>
  <c r="D14" i="16"/>
  <c r="D13" i="16"/>
  <c r="D12" i="16"/>
  <c r="B9" i="16"/>
  <c r="D18" i="16"/>
  <c r="D27" i="16"/>
  <c r="K32" i="14"/>
  <c r="J32" i="14"/>
  <c r="K31" i="14"/>
  <c r="K30" i="14"/>
  <c r="J30" i="14"/>
  <c r="F2" i="14"/>
  <c r="I26" i="15"/>
  <c r="I25" i="15"/>
  <c r="I30" i="15"/>
  <c r="I24" i="15"/>
  <c r="D25" i="15"/>
  <c r="D23" i="15"/>
  <c r="O21" i="15"/>
  <c r="D20" i="15"/>
  <c r="D17" i="15"/>
  <c r="D15" i="15"/>
  <c r="D14" i="15"/>
  <c r="D13" i="15"/>
  <c r="D12" i="15"/>
  <c r="B9" i="15"/>
  <c r="D18" i="15"/>
  <c r="D27" i="15"/>
  <c r="S77" i="14"/>
  <c r="T77" i="14"/>
  <c r="S76" i="14"/>
  <c r="T76" i="14"/>
  <c r="S75" i="14"/>
  <c r="T75" i="14"/>
  <c r="S74" i="14"/>
  <c r="T74" i="14"/>
  <c r="S73" i="14"/>
  <c r="T73" i="14"/>
  <c r="S72" i="14"/>
  <c r="T72" i="14"/>
  <c r="S71" i="14"/>
  <c r="S78" i="14"/>
  <c r="P45" i="14"/>
  <c r="G32" i="14"/>
  <c r="J31" i="14"/>
  <c r="G31" i="14"/>
  <c r="H31" i="14"/>
  <c r="G30" i="14"/>
  <c r="H30" i="14"/>
  <c r="P29" i="14"/>
  <c r="N29" i="14"/>
  <c r="N28" i="14"/>
  <c r="J28" i="14"/>
  <c r="G28" i="14"/>
  <c r="G27" i="14"/>
  <c r="J26" i="14"/>
  <c r="N26" i="14"/>
  <c r="G26" i="14"/>
  <c r="G34" i="14"/>
  <c r="P25" i="14"/>
  <c r="N25" i="14"/>
  <c r="J23" i="14"/>
  <c r="G23" i="14"/>
  <c r="H23" i="14"/>
  <c r="J22" i="14"/>
  <c r="G22" i="14"/>
  <c r="H22" i="14"/>
  <c r="J20" i="14"/>
  <c r="N20" i="14"/>
  <c r="G20" i="14"/>
  <c r="K18" i="14"/>
  <c r="L18" i="14"/>
  <c r="J18" i="14"/>
  <c r="G18" i="14"/>
  <c r="N18" i="14"/>
  <c r="K17" i="14"/>
  <c r="J17" i="14"/>
  <c r="N17" i="14"/>
  <c r="G17" i="14"/>
  <c r="J16" i="14"/>
  <c r="G16" i="14"/>
  <c r="G15" i="14"/>
  <c r="K13" i="14"/>
  <c r="L13" i="14"/>
  <c r="J13" i="14"/>
  <c r="G13" i="14"/>
  <c r="N13" i="14"/>
  <c r="K12" i="14"/>
  <c r="L12" i="14"/>
  <c r="J12" i="14"/>
  <c r="N12" i="14"/>
  <c r="G12" i="14"/>
  <c r="N11" i="14"/>
  <c r="J11" i="14"/>
  <c r="G11" i="14"/>
  <c r="B5" i="14"/>
  <c r="B4" i="14"/>
  <c r="K18" i="1"/>
  <c r="I32" i="27"/>
  <c r="I29" i="27"/>
  <c r="D29" i="27"/>
  <c r="D30" i="27"/>
  <c r="M20" i="27"/>
  <c r="J31" i="26"/>
  <c r="L17" i="26"/>
  <c r="H32" i="26"/>
  <c r="H16" i="26"/>
  <c r="P16" i="26"/>
  <c r="L30" i="26"/>
  <c r="J30" i="26"/>
  <c r="H18" i="26"/>
  <c r="L32" i="26"/>
  <c r="M32" i="26"/>
  <c r="L20" i="26"/>
  <c r="M20" i="26"/>
  <c r="J20" i="26"/>
  <c r="N20" i="26"/>
  <c r="H11" i="26"/>
  <c r="H22" i="26"/>
  <c r="N11" i="26"/>
  <c r="J23" i="26"/>
  <c r="H12" i="26"/>
  <c r="L12" i="26"/>
  <c r="M12" i="26"/>
  <c r="H13" i="26"/>
  <c r="L26" i="26"/>
  <c r="J26" i="26"/>
  <c r="N26" i="26"/>
  <c r="L27" i="26"/>
  <c r="H15" i="26"/>
  <c r="L28" i="26"/>
  <c r="M28" i="26"/>
  <c r="J28" i="26"/>
  <c r="N28" i="26"/>
  <c r="L18" i="26"/>
  <c r="M18" i="26"/>
  <c r="L22" i="26"/>
  <c r="T71" i="26"/>
  <c r="T78" i="26"/>
  <c r="L13" i="26"/>
  <c r="M13" i="26"/>
  <c r="G34" i="26"/>
  <c r="L31" i="26"/>
  <c r="M31" i="26"/>
  <c r="L16" i="26"/>
  <c r="H20" i="26"/>
  <c r="J12" i="26"/>
  <c r="N12" i="26"/>
  <c r="J15" i="26"/>
  <c r="N15" i="26"/>
  <c r="J17" i="26"/>
  <c r="N17" i="26"/>
  <c r="K34" i="26"/>
  <c r="L11" i="26"/>
  <c r="H28" i="26"/>
  <c r="P28" i="26"/>
  <c r="H31" i="26"/>
  <c r="D27" i="25"/>
  <c r="D21" i="25"/>
  <c r="D26" i="25"/>
  <c r="M20" i="25"/>
  <c r="H22" i="24"/>
  <c r="H18" i="24"/>
  <c r="H16" i="24"/>
  <c r="H13" i="24"/>
  <c r="H11" i="24"/>
  <c r="I38" i="24"/>
  <c r="H20" i="24"/>
  <c r="H17" i="24"/>
  <c r="P17" i="24"/>
  <c r="H15" i="24"/>
  <c r="P15" i="24"/>
  <c r="H12" i="24"/>
  <c r="P12" i="24"/>
  <c r="H30" i="24"/>
  <c r="L20" i="24"/>
  <c r="M20" i="24"/>
  <c r="L32" i="24"/>
  <c r="M32" i="24"/>
  <c r="J34" i="24"/>
  <c r="N11" i="24"/>
  <c r="M31" i="24"/>
  <c r="L12" i="24"/>
  <c r="L26" i="24"/>
  <c r="J26" i="24"/>
  <c r="N26" i="24"/>
  <c r="L27" i="24"/>
  <c r="M27" i="24"/>
  <c r="L15" i="24"/>
  <c r="L28" i="24"/>
  <c r="J28" i="24"/>
  <c r="N28" i="24"/>
  <c r="L23" i="24"/>
  <c r="M23" i="24"/>
  <c r="J23" i="24"/>
  <c r="L30" i="24"/>
  <c r="M30" i="24"/>
  <c r="J30" i="24"/>
  <c r="L13" i="24"/>
  <c r="M13" i="24"/>
  <c r="L18" i="24"/>
  <c r="M18" i="24"/>
  <c r="L22" i="24"/>
  <c r="M22" i="24"/>
  <c r="T71" i="24"/>
  <c r="T78" i="24"/>
  <c r="L11" i="24"/>
  <c r="H23" i="24"/>
  <c r="H27" i="24"/>
  <c r="L16" i="24"/>
  <c r="M16" i="24"/>
  <c r="J15" i="24"/>
  <c r="N15" i="24"/>
  <c r="J17" i="24"/>
  <c r="N17" i="24"/>
  <c r="J20" i="24"/>
  <c r="N20" i="24"/>
  <c r="K34" i="24"/>
  <c r="H28" i="24"/>
  <c r="P28" i="24"/>
  <c r="J31" i="24"/>
  <c r="H26" i="24"/>
  <c r="P26" i="24"/>
  <c r="L31" i="23"/>
  <c r="M31" i="23"/>
  <c r="J31" i="23"/>
  <c r="L28" i="23"/>
  <c r="J28" i="23"/>
  <c r="N28" i="23"/>
  <c r="M32" i="23"/>
  <c r="M17" i="23"/>
  <c r="L20" i="23"/>
  <c r="J20" i="23"/>
  <c r="N20" i="23"/>
  <c r="M13" i="23"/>
  <c r="M11" i="23"/>
  <c r="L26" i="23"/>
  <c r="M26" i="23"/>
  <c r="J26" i="23"/>
  <c r="N26" i="23"/>
  <c r="M12" i="23"/>
  <c r="M16" i="23"/>
  <c r="H16" i="23"/>
  <c r="P16" i="23"/>
  <c r="H13" i="23"/>
  <c r="P13" i="23"/>
  <c r="H11" i="23"/>
  <c r="I38" i="23"/>
  <c r="L22" i="23"/>
  <c r="H22" i="23"/>
  <c r="L23" i="23"/>
  <c r="M23" i="23"/>
  <c r="H18" i="23"/>
  <c r="P18" i="23"/>
  <c r="N11" i="23"/>
  <c r="K27" i="23"/>
  <c r="L27" i="23"/>
  <c r="K30" i="23"/>
  <c r="H27" i="23"/>
  <c r="K34" i="23"/>
  <c r="H20" i="23"/>
  <c r="P20" i="23"/>
  <c r="H28" i="23"/>
  <c r="P28" i="23"/>
  <c r="H31" i="23"/>
  <c r="H26" i="23"/>
  <c r="T71" i="23"/>
  <c r="T78" i="23"/>
  <c r="I32" i="22"/>
  <c r="I29" i="22"/>
  <c r="D29" i="22"/>
  <c r="D21" i="22"/>
  <c r="D26" i="22"/>
  <c r="M20" i="22"/>
  <c r="P15" i="18"/>
  <c r="N16" i="14"/>
  <c r="L15" i="14"/>
  <c r="M27" i="21"/>
  <c r="L15" i="21"/>
  <c r="I38" i="21"/>
  <c r="H22" i="21"/>
  <c r="L23" i="21"/>
  <c r="H23" i="21"/>
  <c r="L20" i="21"/>
  <c r="L11" i="21"/>
  <c r="H30" i="21"/>
  <c r="M30" i="21"/>
  <c r="L22" i="21"/>
  <c r="M22" i="21"/>
  <c r="P12" i="21"/>
  <c r="H13" i="21"/>
  <c r="H32" i="21"/>
  <c r="L13" i="21"/>
  <c r="M13" i="21"/>
  <c r="H15" i="21"/>
  <c r="P17" i="21"/>
  <c r="H26" i="21"/>
  <c r="M16" i="21"/>
  <c r="L26" i="21"/>
  <c r="M26" i="21"/>
  <c r="M18" i="21"/>
  <c r="H20" i="21"/>
  <c r="L12" i="21"/>
  <c r="M12" i="21"/>
  <c r="L31" i="21"/>
  <c r="M31" i="21"/>
  <c r="K32" i="21"/>
  <c r="T71" i="21"/>
  <c r="T78" i="21"/>
  <c r="H11" i="21"/>
  <c r="J13" i="21"/>
  <c r="N13" i="21"/>
  <c r="J16" i="21"/>
  <c r="N16" i="21"/>
  <c r="J18" i="21"/>
  <c r="N18" i="21"/>
  <c r="L28" i="21"/>
  <c r="M28" i="21"/>
  <c r="J30" i="21"/>
  <c r="N11" i="21"/>
  <c r="L17" i="21"/>
  <c r="M17" i="21"/>
  <c r="M20" i="20"/>
  <c r="D21" i="20"/>
  <c r="D26" i="20"/>
  <c r="I32" i="20"/>
  <c r="I29" i="20"/>
  <c r="D29" i="20"/>
  <c r="I32" i="19"/>
  <c r="I29" i="19"/>
  <c r="D29" i="19"/>
  <c r="M15" i="18"/>
  <c r="L20" i="18"/>
  <c r="M20" i="18"/>
  <c r="L28" i="18"/>
  <c r="M28" i="18"/>
  <c r="L26" i="18"/>
  <c r="M26" i="18"/>
  <c r="I38" i="18"/>
  <c r="L23" i="18"/>
  <c r="H31" i="18"/>
  <c r="M31" i="18"/>
  <c r="H23" i="18"/>
  <c r="L27" i="18"/>
  <c r="M27" i="18"/>
  <c r="L11" i="18"/>
  <c r="L22" i="18"/>
  <c r="M22" i="18"/>
  <c r="H11" i="18"/>
  <c r="M32" i="18"/>
  <c r="L18" i="18"/>
  <c r="H20" i="18"/>
  <c r="H30" i="18"/>
  <c r="H12" i="18"/>
  <c r="P12" i="18"/>
  <c r="L30" i="18"/>
  <c r="M30" i="18"/>
  <c r="J32" i="18"/>
  <c r="H13" i="18"/>
  <c r="P13" i="18"/>
  <c r="H16" i="18"/>
  <c r="P16" i="18"/>
  <c r="H18" i="18"/>
  <c r="P18" i="18"/>
  <c r="J30" i="18"/>
  <c r="K34" i="18"/>
  <c r="J31" i="18"/>
  <c r="J12" i="18"/>
  <c r="N12" i="18"/>
  <c r="J15" i="18"/>
  <c r="N15" i="18"/>
  <c r="J17" i="18"/>
  <c r="N17" i="18"/>
  <c r="L16" i="17"/>
  <c r="M16" i="17"/>
  <c r="L32" i="17"/>
  <c r="M32" i="17"/>
  <c r="L12" i="17"/>
  <c r="M12" i="17"/>
  <c r="L18" i="17"/>
  <c r="M31" i="17"/>
  <c r="L20" i="17"/>
  <c r="L26" i="17"/>
  <c r="M26" i="17"/>
  <c r="L28" i="17"/>
  <c r="M28" i="17"/>
  <c r="H20" i="17"/>
  <c r="P20" i="17"/>
  <c r="H17" i="17"/>
  <c r="P17" i="17"/>
  <c r="I38" i="17"/>
  <c r="L22" i="17"/>
  <c r="M22" i="17"/>
  <c r="H28" i="17"/>
  <c r="L23" i="17"/>
  <c r="M23" i="17"/>
  <c r="L27" i="17"/>
  <c r="L11" i="17"/>
  <c r="H12" i="17"/>
  <c r="L17" i="17"/>
  <c r="H27" i="17"/>
  <c r="H18" i="17"/>
  <c r="P18" i="17"/>
  <c r="H13" i="17"/>
  <c r="L13" i="17"/>
  <c r="M13" i="17"/>
  <c r="H30" i="17"/>
  <c r="M30" i="17"/>
  <c r="H15" i="17"/>
  <c r="P15" i="17"/>
  <c r="T71" i="17"/>
  <c r="T78" i="17"/>
  <c r="K34" i="17"/>
  <c r="J34" i="17"/>
  <c r="H11" i="17"/>
  <c r="I32" i="16"/>
  <c r="I29" i="16"/>
  <c r="D29" i="16"/>
  <c r="M20" i="15"/>
  <c r="D21" i="15"/>
  <c r="D26" i="15"/>
  <c r="I29" i="15"/>
  <c r="D29" i="15"/>
  <c r="I32" i="15"/>
  <c r="L16" i="14"/>
  <c r="L28" i="14"/>
  <c r="H20" i="14"/>
  <c r="P20" i="14"/>
  <c r="H17" i="14"/>
  <c r="P17" i="14"/>
  <c r="H15" i="14"/>
  <c r="P15" i="14"/>
  <c r="H12" i="14"/>
  <c r="P12" i="14"/>
  <c r="L32" i="14"/>
  <c r="M32" i="14"/>
  <c r="L31" i="14"/>
  <c r="M31" i="14"/>
  <c r="L23" i="14"/>
  <c r="M23" i="14"/>
  <c r="L11" i="14"/>
  <c r="I38" i="14"/>
  <c r="L27" i="14"/>
  <c r="M27" i="14"/>
  <c r="L22" i="14"/>
  <c r="M22" i="14"/>
  <c r="L20" i="14"/>
  <c r="L30" i="14"/>
  <c r="M30" i="14"/>
  <c r="L26" i="14"/>
  <c r="H32" i="14"/>
  <c r="H27" i="14"/>
  <c r="H11" i="14"/>
  <c r="H28" i="14"/>
  <c r="P28" i="14"/>
  <c r="L17" i="14"/>
  <c r="H26" i="14"/>
  <c r="P26" i="14"/>
  <c r="H13" i="14"/>
  <c r="P13" i="14"/>
  <c r="K34" i="14"/>
  <c r="H18" i="14"/>
  <c r="P18" i="14"/>
  <c r="H16" i="14"/>
  <c r="P16" i="14"/>
  <c r="T71" i="14"/>
  <c r="T78" i="14"/>
  <c r="J34" i="14"/>
  <c r="P11" i="26"/>
  <c r="P18" i="26"/>
  <c r="M27" i="26"/>
  <c r="M22" i="26"/>
  <c r="P15" i="26"/>
  <c r="P13" i="26"/>
  <c r="L34" i="26"/>
  <c r="I37" i="26"/>
  <c r="M11" i="26"/>
  <c r="P20" i="26"/>
  <c r="M16" i="26"/>
  <c r="H26" i="26"/>
  <c r="P26" i="26"/>
  <c r="I38" i="26"/>
  <c r="H30" i="26"/>
  <c r="M30" i="26"/>
  <c r="H27" i="26"/>
  <c r="L23" i="26"/>
  <c r="L15" i="26"/>
  <c r="M15" i="26"/>
  <c r="P12" i="26"/>
  <c r="H23" i="26"/>
  <c r="J34" i="26"/>
  <c r="H17" i="26"/>
  <c r="P17" i="26"/>
  <c r="I32" i="25"/>
  <c r="I29" i="25"/>
  <c r="D29" i="25"/>
  <c r="P20" i="24"/>
  <c r="M28" i="24"/>
  <c r="M15" i="24"/>
  <c r="P11" i="24"/>
  <c r="P13" i="24"/>
  <c r="P16" i="24"/>
  <c r="M26" i="24"/>
  <c r="P18" i="24"/>
  <c r="I39" i="24"/>
  <c r="I41" i="24"/>
  <c r="M17" i="24"/>
  <c r="L34" i="24"/>
  <c r="I37" i="24"/>
  <c r="M11" i="24"/>
  <c r="M12" i="24"/>
  <c r="M27" i="23"/>
  <c r="M20" i="23"/>
  <c r="M18" i="23"/>
  <c r="J30" i="23"/>
  <c r="J34" i="23"/>
  <c r="L30" i="23"/>
  <c r="M30" i="23"/>
  <c r="M28" i="23"/>
  <c r="M22" i="23"/>
  <c r="P11" i="23"/>
  <c r="P26" i="23"/>
  <c r="P20" i="21"/>
  <c r="P16" i="17"/>
  <c r="P15" i="21"/>
  <c r="M20" i="21"/>
  <c r="P28" i="21"/>
  <c r="P11" i="21"/>
  <c r="M11" i="21"/>
  <c r="M23" i="21"/>
  <c r="P26" i="21"/>
  <c r="P13" i="21"/>
  <c r="J32" i="21"/>
  <c r="J34" i="21"/>
  <c r="L32" i="21"/>
  <c r="M32" i="21"/>
  <c r="K34" i="21"/>
  <c r="M15" i="21"/>
  <c r="M23" i="18"/>
  <c r="P20" i="18"/>
  <c r="M13" i="18"/>
  <c r="M12" i="18"/>
  <c r="M18" i="18"/>
  <c r="P28" i="18"/>
  <c r="L34" i="18"/>
  <c r="M11" i="18"/>
  <c r="P26" i="18"/>
  <c r="J34" i="18"/>
  <c r="M16" i="18"/>
  <c r="P11" i="18"/>
  <c r="P13" i="17"/>
  <c r="P11" i="17"/>
  <c r="M20" i="17"/>
  <c r="M18" i="17"/>
  <c r="P26" i="17"/>
  <c r="M11" i="17"/>
  <c r="L34" i="17"/>
  <c r="I41" i="17"/>
  <c r="I39" i="17"/>
  <c r="M17" i="17"/>
  <c r="P12" i="17"/>
  <c r="M27" i="17"/>
  <c r="P28" i="17"/>
  <c r="M15" i="17"/>
  <c r="M11" i="14"/>
  <c r="L34" i="14"/>
  <c r="I41" i="14"/>
  <c r="I39" i="14"/>
  <c r="M18" i="14"/>
  <c r="M15" i="14"/>
  <c r="M17" i="14"/>
  <c r="M20" i="14"/>
  <c r="M12" i="14"/>
  <c r="P11" i="14"/>
  <c r="M28" i="14"/>
  <c r="M26" i="14"/>
  <c r="M16" i="14"/>
  <c r="M13" i="14"/>
  <c r="M17" i="26"/>
  <c r="I41" i="26"/>
  <c r="I39" i="26"/>
  <c r="M23" i="26"/>
  <c r="P46" i="26"/>
  <c r="P48" i="26"/>
  <c r="M26" i="26"/>
  <c r="D30" i="25"/>
  <c r="P46" i="24"/>
  <c r="P48" i="24"/>
  <c r="I41" i="23"/>
  <c r="I39" i="23"/>
  <c r="L34" i="23"/>
  <c r="P46" i="23"/>
  <c r="P48" i="23"/>
  <c r="I37" i="18"/>
  <c r="D28" i="19"/>
  <c r="I37" i="14"/>
  <c r="D28" i="15"/>
  <c r="D30" i="15"/>
  <c r="D28" i="16"/>
  <c r="D30" i="16"/>
  <c r="I39" i="21"/>
  <c r="I41" i="21"/>
  <c r="L34" i="21"/>
  <c r="P46" i="21"/>
  <c r="P48" i="21"/>
  <c r="I37" i="17"/>
  <c r="P46" i="18"/>
  <c r="P48" i="18"/>
  <c r="I39" i="18"/>
  <c r="I41" i="18"/>
  <c r="P46" i="17"/>
  <c r="P48" i="17"/>
  <c r="P46" i="14"/>
  <c r="P48" i="14"/>
  <c r="I37" i="23"/>
  <c r="D28" i="22"/>
  <c r="I37" i="21"/>
  <c r="D28" i="20"/>
  <c r="D30" i="19"/>
  <c r="D30" i="22"/>
  <c r="D30" i="20"/>
  <c r="K32" i="3"/>
  <c r="K28" i="3"/>
  <c r="K27" i="3"/>
  <c r="K26" i="3"/>
  <c r="K23" i="3"/>
  <c r="K12" i="3"/>
  <c r="C38" i="3"/>
  <c r="C39" i="3"/>
  <c r="O28" i="3"/>
  <c r="O27" i="3"/>
  <c r="O26" i="3"/>
  <c r="I26" i="4"/>
  <c r="I25" i="4"/>
  <c r="I30" i="4"/>
  <c r="I24" i="4"/>
  <c r="D25" i="4"/>
  <c r="O21" i="4"/>
  <c r="D21" i="4"/>
  <c r="D26" i="4"/>
  <c r="M20" i="4"/>
  <c r="D20" i="4"/>
  <c r="D17" i="4"/>
  <c r="D15" i="4"/>
  <c r="D14" i="4"/>
  <c r="D13" i="4"/>
  <c r="D12" i="4"/>
  <c r="B9" i="4"/>
  <c r="D18" i="4"/>
  <c r="D27" i="4"/>
  <c r="S77" i="3"/>
  <c r="T77" i="3"/>
  <c r="S76" i="3"/>
  <c r="T76" i="3"/>
  <c r="S75" i="3"/>
  <c r="T75" i="3"/>
  <c r="S74" i="3"/>
  <c r="T74" i="3"/>
  <c r="S73" i="3"/>
  <c r="T73" i="3"/>
  <c r="S72" i="3"/>
  <c r="T72" i="3"/>
  <c r="S71" i="3"/>
  <c r="T71" i="3"/>
  <c r="T78" i="3"/>
  <c r="P45" i="3"/>
  <c r="J32" i="3"/>
  <c r="G32" i="3"/>
  <c r="K31" i="3"/>
  <c r="G31" i="3"/>
  <c r="K30" i="3"/>
  <c r="J30" i="3"/>
  <c r="G30" i="3"/>
  <c r="P29" i="3"/>
  <c r="N29" i="3"/>
  <c r="J28" i="3"/>
  <c r="N28" i="3"/>
  <c r="G28" i="3"/>
  <c r="G27" i="3"/>
  <c r="J26" i="3"/>
  <c r="N26" i="3"/>
  <c r="G26" i="3"/>
  <c r="P25" i="3"/>
  <c r="N25" i="3"/>
  <c r="J23" i="3"/>
  <c r="G23" i="3"/>
  <c r="J22" i="3"/>
  <c r="G22" i="3"/>
  <c r="K20" i="3"/>
  <c r="G20" i="3"/>
  <c r="K18" i="3"/>
  <c r="J18" i="3"/>
  <c r="N18" i="3"/>
  <c r="G18" i="3"/>
  <c r="K17" i="3"/>
  <c r="G17" i="3"/>
  <c r="K16" i="3"/>
  <c r="J16" i="3"/>
  <c r="N16" i="3"/>
  <c r="G16" i="3"/>
  <c r="K15" i="3"/>
  <c r="G15" i="3"/>
  <c r="J13" i="3"/>
  <c r="N13" i="3"/>
  <c r="G13" i="3"/>
  <c r="G12" i="3"/>
  <c r="J11" i="3"/>
  <c r="N11" i="3"/>
  <c r="B5" i="3"/>
  <c r="B4" i="3"/>
  <c r="F2" i="3"/>
  <c r="I32" i="4"/>
  <c r="I29" i="4"/>
  <c r="D29" i="4"/>
  <c r="K34" i="3"/>
  <c r="J12" i="3"/>
  <c r="N12" i="3"/>
  <c r="J15" i="3"/>
  <c r="N15" i="3"/>
  <c r="J17" i="3"/>
  <c r="N17" i="3"/>
  <c r="J20" i="3"/>
  <c r="N20" i="3"/>
  <c r="J31" i="3"/>
  <c r="S78" i="3"/>
  <c r="H17" i="3"/>
  <c r="P17" i="3"/>
  <c r="P11" i="3"/>
  <c r="I38" i="3"/>
  <c r="H26" i="3"/>
  <c r="M26" i="3"/>
  <c r="H20" i="3"/>
  <c r="P20" i="3"/>
  <c r="H18" i="3"/>
  <c r="P18" i="3"/>
  <c r="H15" i="3"/>
  <c r="H30" i="3"/>
  <c r="J34" i="3"/>
  <c r="H31" i="3"/>
  <c r="M31" i="3"/>
  <c r="H27" i="3"/>
  <c r="H16" i="3"/>
  <c r="H13" i="3"/>
  <c r="H12" i="3"/>
  <c r="M16" i="3"/>
  <c r="M17" i="3"/>
  <c r="H28" i="3"/>
  <c r="H32" i="3"/>
  <c r="M32" i="3"/>
  <c r="H23" i="3"/>
  <c r="M23" i="3"/>
  <c r="M13" i="3"/>
  <c r="M30" i="3"/>
  <c r="M12" i="3"/>
  <c r="H22" i="3"/>
  <c r="P28" i="3"/>
  <c r="P15" i="3"/>
  <c r="M27" i="3"/>
  <c r="M22" i="3"/>
  <c r="I39" i="3"/>
  <c r="I41" i="3"/>
  <c r="M15" i="3"/>
  <c r="P12" i="3"/>
  <c r="P13" i="3"/>
  <c r="P16" i="3"/>
  <c r="M28" i="3"/>
  <c r="M11" i="3"/>
  <c r="M20" i="3"/>
  <c r="M18" i="3"/>
  <c r="P26" i="3"/>
  <c r="I37" i="3"/>
  <c r="D28" i="4"/>
  <c r="D30" i="4"/>
  <c r="P46" i="3"/>
  <c r="P48" i="3"/>
  <c r="K17" i="1"/>
  <c r="D23" i="2"/>
  <c r="J30" i="1"/>
  <c r="J31" i="1"/>
  <c r="J32" i="1"/>
  <c r="J13" i="1"/>
  <c r="J20" i="1"/>
  <c r="J17" i="1"/>
  <c r="M27" i="1"/>
  <c r="L27" i="1"/>
  <c r="L28" i="1"/>
  <c r="L30" i="1"/>
  <c r="M30" i="1"/>
  <c r="L31" i="1"/>
  <c r="L32" i="1"/>
  <c r="K13" i="1"/>
  <c r="K12" i="1"/>
  <c r="F2" i="1"/>
  <c r="O21" i="2"/>
  <c r="G16" i="1"/>
  <c r="G15" i="1"/>
  <c r="G27" i="1"/>
  <c r="J22" i="1"/>
  <c r="J23" i="1"/>
  <c r="G22" i="1"/>
  <c r="G23" i="1"/>
  <c r="G17" i="1"/>
  <c r="G32" i="1"/>
  <c r="G31" i="1"/>
  <c r="G30" i="1"/>
  <c r="B5" i="1"/>
  <c r="B4" i="1"/>
  <c r="I26" i="2"/>
  <c r="I25" i="2"/>
  <c r="I30" i="2"/>
  <c r="I24" i="2"/>
  <c r="D25" i="2"/>
  <c r="D20" i="2"/>
  <c r="D17" i="2"/>
  <c r="D15" i="2"/>
  <c r="D14" i="2"/>
  <c r="D13" i="2"/>
  <c r="D12" i="2"/>
  <c r="B9" i="2"/>
  <c r="D18" i="2"/>
  <c r="D27" i="2"/>
  <c r="I29" i="2"/>
  <c r="D29" i="2"/>
  <c r="S77" i="1"/>
  <c r="T77" i="1"/>
  <c r="S76" i="1"/>
  <c r="T76" i="1"/>
  <c r="S75" i="1"/>
  <c r="T75" i="1"/>
  <c r="S74" i="1"/>
  <c r="T74" i="1"/>
  <c r="S73" i="1"/>
  <c r="T73" i="1"/>
  <c r="S72" i="1"/>
  <c r="T72" i="1"/>
  <c r="S71" i="1"/>
  <c r="P45" i="1"/>
  <c r="J28" i="1"/>
  <c r="G28" i="1"/>
  <c r="J26" i="1"/>
  <c r="G26" i="1"/>
  <c r="G20" i="1"/>
  <c r="J18" i="1"/>
  <c r="G18" i="1"/>
  <c r="J16" i="1"/>
  <c r="G13" i="1"/>
  <c r="J12" i="1"/>
  <c r="G12" i="1"/>
  <c r="J11" i="1"/>
  <c r="G11" i="1"/>
  <c r="G34" i="1"/>
  <c r="N20" i="1"/>
  <c r="N13" i="1"/>
  <c r="N16" i="1"/>
  <c r="N25" i="1"/>
  <c r="N26" i="1"/>
  <c r="N29" i="1"/>
  <c r="S78" i="1"/>
  <c r="N18" i="1"/>
  <c r="N12" i="1"/>
  <c r="N11" i="1"/>
  <c r="M20" i="2"/>
  <c r="I32" i="2"/>
  <c r="D21" i="2"/>
  <c r="D26" i="2"/>
  <c r="T71" i="1"/>
  <c r="T78" i="1"/>
  <c r="N17" i="1"/>
  <c r="N28" i="1"/>
  <c r="P25" i="1"/>
  <c r="P29" i="1"/>
  <c r="L20" i="1"/>
  <c r="H12" i="1"/>
  <c r="H16" i="1"/>
  <c r="L22" i="1"/>
  <c r="M22" i="1"/>
  <c r="H11" i="1"/>
  <c r="L26" i="1"/>
  <c r="H15" i="1"/>
  <c r="H32" i="1"/>
  <c r="M32" i="1"/>
  <c r="H22" i="1"/>
  <c r="H27" i="1"/>
  <c r="L16" i="1"/>
  <c r="M16" i="1"/>
  <c r="L12" i="1"/>
  <c r="M12" i="1"/>
  <c r="H23" i="1"/>
  <c r="H26" i="1"/>
  <c r="P26" i="1"/>
  <c r="H17" i="1"/>
  <c r="H18" i="1"/>
  <c r="L11" i="1"/>
  <c r="H31" i="1"/>
  <c r="M31" i="1"/>
  <c r="H13" i="1"/>
  <c r="I38" i="1"/>
  <c r="L23" i="1"/>
  <c r="H28" i="1"/>
  <c r="P28" i="1"/>
  <c r="H20" i="1"/>
  <c r="P20" i="1"/>
  <c r="H30" i="1"/>
  <c r="L17" i="1"/>
  <c r="L18" i="1"/>
  <c r="L13" i="1"/>
  <c r="M13" i="1"/>
  <c r="M18" i="1"/>
  <c r="P16" i="1"/>
  <c r="M26" i="1"/>
  <c r="P17" i="1"/>
  <c r="P13" i="1"/>
  <c r="M17" i="1"/>
  <c r="M11" i="1"/>
  <c r="M20" i="1"/>
  <c r="P12" i="1"/>
  <c r="P18" i="1"/>
  <c r="M23" i="1"/>
  <c r="P11" i="1"/>
  <c r="M28" i="1"/>
  <c r="J15" i="1"/>
  <c r="L15" i="1"/>
  <c r="K34" i="1"/>
  <c r="P15" i="1"/>
  <c r="L34" i="1"/>
  <c r="N15" i="1"/>
  <c r="J34" i="1"/>
  <c r="P46" i="1"/>
  <c r="P48" i="1"/>
  <c r="M15" i="1"/>
  <c r="I41" i="1"/>
  <c r="I39" i="1"/>
  <c r="I37" i="1"/>
  <c r="D28" i="2"/>
  <c r="D30" i="2"/>
  <c r="H34" i="3"/>
  <c r="H34" i="18"/>
  <c r="H34" i="1"/>
  <c r="H34" i="23"/>
  <c r="H34" i="26"/>
  <c r="H34" i="17"/>
  <c r="H34" i="21"/>
  <c r="H34" i="24"/>
  <c r="H34" i="14"/>
</calcChain>
</file>

<file path=xl/sharedStrings.xml><?xml version="1.0" encoding="utf-8"?>
<sst xmlns="http://schemas.openxmlformats.org/spreadsheetml/2006/main" count="2890" uniqueCount="240">
  <si>
    <t>STATEMENT OF WORK ACCOMPLISHMENT</t>
  </si>
  <si>
    <t>Project Title:</t>
  </si>
  <si>
    <t>Location:</t>
  </si>
  <si>
    <t>ITEM</t>
  </si>
  <si>
    <t>DESCRIPTION OF WORK</t>
  </si>
  <si>
    <t>PROGRAMMED</t>
  </si>
  <si>
    <t>UNIT</t>
  </si>
  <si>
    <t xml:space="preserve">CONTRACT </t>
  </si>
  <si>
    <t>WEIGHT</t>
  </si>
  <si>
    <t>ACCOMPLISHMENT</t>
  </si>
  <si>
    <t>REMARKS/</t>
  </si>
  <si>
    <t>NO.</t>
  </si>
  <si>
    <t>QUANTITY</t>
  </si>
  <si>
    <t>PRICE</t>
  </si>
  <si>
    <t>AMOUNT</t>
  </si>
  <si>
    <t>%</t>
  </si>
  <si>
    <t>PREVIOUS</t>
  </si>
  <si>
    <t>THIS PERIOD</t>
  </si>
  <si>
    <t>TO DATE</t>
  </si>
  <si>
    <t>STATUS</t>
  </si>
  <si>
    <t>ORIGINAL</t>
  </si>
  <si>
    <t>I</t>
  </si>
  <si>
    <t>OTHER GENERAL REQUIREMENTS</t>
  </si>
  <si>
    <t>B.5</t>
  </si>
  <si>
    <t>Project Billboard</t>
  </si>
  <si>
    <t>Each</t>
  </si>
  <si>
    <t>B.7</t>
  </si>
  <si>
    <t>Construction Safety and Health Program</t>
  </si>
  <si>
    <t>L.S.</t>
  </si>
  <si>
    <t>B.9</t>
  </si>
  <si>
    <t>Mobilization/ Demobilization</t>
  </si>
  <si>
    <t>II.</t>
  </si>
  <si>
    <t>WORK ITEMS</t>
  </si>
  <si>
    <t>cu.m</t>
  </si>
  <si>
    <t>sq.m</t>
  </si>
  <si>
    <t xml:space="preserve"> </t>
  </si>
  <si>
    <t xml:space="preserve">                                                 T  O  T  A  L  S</t>
  </si>
  <si>
    <t>BOQ</t>
  </si>
  <si>
    <t>% THIS ACCOMPLISHMENT</t>
  </si>
  <si>
    <t>TOTAL PROJECT COST</t>
  </si>
  <si>
    <t>TOTAL THIS  ACCOMPLISHMENT</t>
  </si>
  <si>
    <t xml:space="preserve">Less: </t>
  </si>
  <si>
    <t>MOBILIZATION</t>
  </si>
  <si>
    <t>TOTAL THIS VOUCHER</t>
  </si>
  <si>
    <t>Prepared by:</t>
  </si>
  <si>
    <t>Checked by:</t>
  </si>
  <si>
    <t xml:space="preserve">Recommending Approval: </t>
  </si>
  <si>
    <t>Approved:</t>
  </si>
  <si>
    <t>PORFIRIO S. CANAPI</t>
  </si>
  <si>
    <t>KATHLEEN MEI P. BAGASIN</t>
  </si>
  <si>
    <t>KINGSTON JAMES S. DELA CRUZ</t>
  </si>
  <si>
    <t>GEN. EDGAR B. AGLIPAY (RET.)</t>
  </si>
  <si>
    <t>Engineer II</t>
  </si>
  <si>
    <t>Chief of Construction Division</t>
  </si>
  <si>
    <t>Provincial Engineer</t>
  </si>
  <si>
    <t>Governor</t>
  </si>
  <si>
    <t>Republic of the Philippines</t>
  </si>
  <si>
    <t>PROVINCE OF CAGAYAN</t>
  </si>
  <si>
    <t>Capitol Hills, Tuguegarao City</t>
  </si>
  <si>
    <t>PROVINCIAL ENGINEER'S OFFICE</t>
  </si>
  <si>
    <t>JUST FILL IN ON BLUE CELL!!!</t>
  </si>
  <si>
    <t>LEGEND:</t>
  </si>
  <si>
    <t>STATEMENT OF TIME ELAPSED AND WORK ACCOMPLISHED</t>
  </si>
  <si>
    <t>single</t>
  </si>
  <si>
    <t>WITHOUT REVISION</t>
  </si>
  <si>
    <t>in a relationship</t>
  </si>
  <si>
    <t>WITH REVISION</t>
  </si>
  <si>
    <t>To be Filled In</t>
  </si>
  <si>
    <t>complicated</t>
  </si>
  <si>
    <t>ON THE EXPIRY DATE WITHOUT REVISION</t>
  </si>
  <si>
    <t>married</t>
  </si>
  <si>
    <t>ON THE EXPIRY DATE WITH REVISION</t>
  </si>
  <si>
    <t>separated</t>
  </si>
  <si>
    <t>ON THE COMPLETION DATE WITHOUT REVISION</t>
  </si>
  <si>
    <t>Project Name</t>
  </si>
  <si>
    <t>:</t>
  </si>
  <si>
    <t>divorced</t>
  </si>
  <si>
    <t>ON THE COMPLETION DATE WITH REVISION</t>
  </si>
  <si>
    <t xml:space="preserve">Location     </t>
  </si>
  <si>
    <t>LDR_1</t>
  </si>
  <si>
    <t>Contract Amount</t>
  </si>
  <si>
    <t>LDR_2</t>
  </si>
  <si>
    <t>Contractor</t>
  </si>
  <si>
    <t>1.</t>
  </si>
  <si>
    <t>Period Covered:</t>
  </si>
  <si>
    <t>to</t>
  </si>
  <si>
    <t>2.</t>
  </si>
  <si>
    <t>Contract Duration</t>
  </si>
  <si>
    <t>3.</t>
  </si>
  <si>
    <t>Date of Receipt of  Notice to Proceed</t>
  </si>
  <si>
    <t>4.</t>
  </si>
  <si>
    <t>Expiry Date</t>
  </si>
  <si>
    <t>5.</t>
  </si>
  <si>
    <t>Approved Time Extension</t>
  </si>
  <si>
    <t>6.</t>
  </si>
  <si>
    <t>Approved Time Suspension</t>
  </si>
  <si>
    <t>7.</t>
  </si>
  <si>
    <t>Total Time Extension</t>
  </si>
  <si>
    <t>Don't Fill In</t>
  </si>
  <si>
    <t>8.</t>
  </si>
  <si>
    <t>Revised Contract Duration</t>
  </si>
  <si>
    <t>9.</t>
  </si>
  <si>
    <t>Revised Expiry Date</t>
  </si>
  <si>
    <t>10.</t>
  </si>
  <si>
    <t>Total Calendar days Elapsed to Date</t>
  </si>
  <si>
    <t>11.</t>
  </si>
  <si>
    <t>Percentage of work accomplished - Actual</t>
  </si>
  <si>
    <t>(FROM SWA)</t>
  </si>
  <si>
    <t>12.</t>
  </si>
  <si>
    <t>Percentage of work accomplished  -Planned</t>
  </si>
  <si>
    <t>W/ FORMULA - Planned (WITHOUT time extension)</t>
  </si>
  <si>
    <t>13.</t>
  </si>
  <si>
    <t>Slippage</t>
  </si>
  <si>
    <t>W/ FORMULA - Planned (WITH time extension)</t>
  </si>
  <si>
    <t>14.</t>
  </si>
  <si>
    <t>Remarks</t>
  </si>
  <si>
    <t>LINEAR - Planned (WITHOUT time extension)</t>
  </si>
  <si>
    <t>LINEAR - Planned (WITH time extension)</t>
  </si>
  <si>
    <t>Submitted by:</t>
  </si>
  <si>
    <t>Noted by:</t>
  </si>
  <si>
    <t>F</t>
  </si>
  <si>
    <t>WRITE "F" - OPT TO USE FORMULA</t>
  </si>
  <si>
    <t>WRITE "L" - OPT TO USE LINEAR</t>
  </si>
  <si>
    <t>Engineer IV (Chief-Construction Division)</t>
  </si>
  <si>
    <t xml:space="preserve">EMAIL:     peo@cagayan.gov.ph </t>
  </si>
  <si>
    <t>Dragonace Construction Corporation</t>
  </si>
  <si>
    <t>kgs</t>
  </si>
  <si>
    <t>101(3)b1</t>
  </si>
  <si>
    <t>101(6)</t>
  </si>
  <si>
    <t>103(1)a</t>
  </si>
  <si>
    <t>105(1)</t>
  </si>
  <si>
    <t>200(1)</t>
  </si>
  <si>
    <t>III.</t>
  </si>
  <si>
    <t>SUB-BASE COURSE</t>
  </si>
  <si>
    <t>Removal of Actual Structures/Obstructions (ACP)</t>
  </si>
  <si>
    <t>Removal of Structures and Obstruction</t>
  </si>
  <si>
    <t>Structure Excavation (Common Soil)</t>
  </si>
  <si>
    <t>Sub-Grade Preparation (Common Materials)</t>
  </si>
  <si>
    <t>IV.</t>
  </si>
  <si>
    <t>SURFACE COURSE</t>
  </si>
  <si>
    <t>a.</t>
  </si>
  <si>
    <t>RETAINING WALL</t>
  </si>
  <si>
    <t>404(1)a</t>
  </si>
  <si>
    <t>404(1)b</t>
  </si>
  <si>
    <t>405(1)a3</t>
  </si>
  <si>
    <t>b.</t>
  </si>
  <si>
    <t>REINFORCED CONCRETE BOX CULVERT</t>
  </si>
  <si>
    <t>404(1)c</t>
  </si>
  <si>
    <t>Reiinforced Steel, Grade 40 (Retaining Wall)</t>
  </si>
  <si>
    <t>Reiinforced Steel, Grade 60 (Retaining Wall)</t>
  </si>
  <si>
    <t>Structural Concrete Class A (Retaining Wall)</t>
  </si>
  <si>
    <t>Reinforced Steel, Grade 40 (RCBC Double Barrel)</t>
  </si>
  <si>
    <t>Reinforced Steel, Grade 60 (RCBC Double Barrel)</t>
  </si>
  <si>
    <t>Structural Concrete Class A (RCBC Double Barrel)</t>
  </si>
  <si>
    <t>CONSTRUCTION OF BOX CULVERT ALONG CATO-CONNER ROAD, TUAO</t>
  </si>
  <si>
    <t>Cato, Tuao, Cagayan</t>
  </si>
  <si>
    <t>311(1)c</t>
  </si>
  <si>
    <t>311(2)e1</t>
  </si>
  <si>
    <t>Portland Cement Concrete Pavement , 230mm thick (Unreinforced)</t>
  </si>
  <si>
    <t>Portland Cement Concrete Pavement (reinforced)</t>
  </si>
  <si>
    <t>V.</t>
  </si>
  <si>
    <t>DRAINAGE AND SLOPE PROTECTION</t>
  </si>
  <si>
    <t>Feb 2-6, 2026</t>
  </si>
  <si>
    <t>Feb. 9-13, 2026</t>
  </si>
  <si>
    <t>Feb. 16-20, 2026</t>
  </si>
  <si>
    <t>Feb 23-27, 2026</t>
  </si>
  <si>
    <t xml:space="preserve">As of </t>
  </si>
  <si>
    <t>ONGOING</t>
  </si>
  <si>
    <t>RENNIEL T. ARMAS</t>
  </si>
  <si>
    <t>Aggregate Sub-Base Course</t>
  </si>
  <si>
    <t>ANDEAGEIL.CSU</t>
  </si>
  <si>
    <t>Aggregates Sub-Base Course</t>
  </si>
  <si>
    <t>Contract No.</t>
  </si>
  <si>
    <t>CONSTRUCTION OF BOX CULVERT ALONG CATO - CONNER ROAD, TUAO</t>
  </si>
  <si>
    <t>Tuao, Cagayan</t>
  </si>
  <si>
    <t xml:space="preserve">      Municipality:</t>
  </si>
  <si>
    <t>Tuao,Cagayan</t>
  </si>
  <si>
    <t>Contractor:</t>
  </si>
  <si>
    <t>DRAGONACE CONSTRUCTION CORPORATION</t>
  </si>
  <si>
    <t xml:space="preserve">      Week 
Covered:</t>
  </si>
  <si>
    <t>JULY 1-3, 2026</t>
  </si>
  <si>
    <t>Item No.</t>
  </si>
  <si>
    <t>Description</t>
  </si>
  <si>
    <t>Location / Station</t>
  </si>
  <si>
    <t>Quantity for the week</t>
  </si>
  <si>
    <t>Unit</t>
  </si>
  <si>
    <t>Physical</t>
  </si>
  <si>
    <t>Billable</t>
  </si>
  <si>
    <t>FOR VARIATION ORDER</t>
  </si>
  <si>
    <t>Quantity</t>
  </si>
  <si>
    <t>Additive</t>
  </si>
  <si>
    <t>Deductive</t>
  </si>
  <si>
    <t>New Item</t>
  </si>
  <si>
    <t>ACTIVITIES FOR THE WEEK:</t>
  </si>
  <si>
    <t>FIELD INSTRUCTIONS:</t>
  </si>
  <si>
    <t>-REMOVAL OF ACTUAL STRUCTURES AND OBSTRUCTION</t>
  </si>
  <si>
    <t>-INSTALLATION OF REBARS FOR BOX CULVERT</t>
  </si>
  <si>
    <t>PROBLEMS ENCOUNTERED/ REMARKS:</t>
  </si>
  <si>
    <t>MANPOWER</t>
  </si>
  <si>
    <t>EQUIPMENT</t>
  </si>
  <si>
    <t>Foreman</t>
  </si>
  <si>
    <t>Transit Mixer</t>
  </si>
  <si>
    <t>Leadman</t>
  </si>
  <si>
    <t>Concrete Vibrator</t>
  </si>
  <si>
    <t>Laborer</t>
  </si>
  <si>
    <t>Back hoe</t>
  </si>
  <si>
    <t>Operator</t>
  </si>
  <si>
    <t>Jackhammer</t>
  </si>
  <si>
    <t>WEEKLY PHYSICAL ACCOMPLISHMENT PERCENTAGE (CUMULATIVE):</t>
  </si>
  <si>
    <t>ORIG. TARGET</t>
  </si>
  <si>
    <t>REV. TARGET</t>
  </si>
  <si>
    <t>ACTUAL</t>
  </si>
  <si>
    <t>VARIANCE</t>
  </si>
  <si>
    <t>REMARKS</t>
  </si>
  <si>
    <t>ON GOING</t>
  </si>
  <si>
    <t>Checked and Reviewed By:</t>
  </si>
  <si>
    <t>Noted By:</t>
  </si>
  <si>
    <t>Conforme:</t>
  </si>
  <si>
    <t>ARNOLD L. MANUEL</t>
  </si>
  <si>
    <t>PEO Engineer I</t>
  </si>
  <si>
    <t>PEO Engineer II</t>
  </si>
  <si>
    <t>PEO Engineer III</t>
  </si>
  <si>
    <t xml:space="preserve">  Contractor's Representative</t>
  </si>
  <si>
    <t>JULY 6-17, 2026</t>
  </si>
  <si>
    <t>-INSTALLATION OF RSB FOR BOX CULVERT</t>
  </si>
  <si>
    <t>-CONCRETE POURING OF BOX CULVERT</t>
  </si>
  <si>
    <t>JULY 20-24, 2026</t>
  </si>
  <si>
    <t>JULY 27-30, 2026</t>
  </si>
  <si>
    <t>-INSTALLATION OF RSB FOR RETAINING WALL</t>
  </si>
  <si>
    <t>-CONCRETE POURING OF RETAINING WALL</t>
  </si>
  <si>
    <t>AUGUST 3-7, 2026</t>
  </si>
  <si>
    <t>-BACKFILLING AND PREPARATION (SUBBASE COURSE)</t>
  </si>
  <si>
    <t>Roller</t>
  </si>
  <si>
    <t>AUGUST 10-14, 2026</t>
  </si>
  <si>
    <t>-INSTALLATION OF RSB FOR REINFORCED PCCP</t>
  </si>
  <si>
    <t>-CONCRETE POURING OF PCCP</t>
  </si>
  <si>
    <t>AUGUST 17-21, 2026</t>
  </si>
  <si>
    <t>-CONCRETE POURING OF UNREINFORCED PCCP</t>
  </si>
  <si>
    <t>AUGUST 24-31, 2026</t>
  </si>
  <si>
    <t>-DEMOBALIZATION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</si>
</sst>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0_-;\-* #,##0.000_-;_-* &quot;-&quot;???_-;_-@_-"/>
    <numFmt numFmtId="166" formatCode="0.000%"/>
    <numFmt numFmtId="167" formatCode="_(&quot;P&quot;* #,##0.00_);_(&quot;P&quot;* \(#,##0.00\);_(&quot;P&quot;* &quot;-&quot;??_);_(@_)"/>
    <numFmt numFmtId="168" formatCode="_(* #,##0.000_);_(* \(#,##0.000\);_(* &quot;-&quot;??_);_(@_)"/>
    <numFmt numFmtId="169" formatCode="[$-3409]mmmm\ dd\,\ yyyy;@"/>
    <numFmt numFmtId="170" formatCode="[$-F800]dddd\,\ mmmm\ dd\,\ yyyy"/>
    <numFmt numFmtId="171" formatCode="_-* #,##0_-;\-* #,##0_-;_-* &quot;-&quot;??_-;_-@_-"/>
    <numFmt numFmtId="172" formatCode="[$-409]mmmm\ d\,\ yyyy;@"/>
    <numFmt numFmtId="173" formatCode="m/d/yyyy;@"/>
    <numFmt numFmtId="174" formatCode="#,##0\ [$€-1];[Red]\-#,##0\ [$€-1]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3"/>
      <color theme="1"/>
      <name val="Tahoma"/>
      <family val="2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FF0000"/>
      <name val="Arial"/>
      <family val="2"/>
    </font>
    <font>
      <sz val="8"/>
      <color theme="1"/>
      <name val="Times New Roman"/>
      <family val="1"/>
    </font>
    <font>
      <sz val="10"/>
      <name val="Times New Roman"/>
      <family val="1"/>
    </font>
    <font>
      <sz val="24"/>
      <color theme="1"/>
      <name val="Times New Roman"/>
      <family val="1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10"/>
      <name val="Arial"/>
      <family val="2"/>
    </font>
    <font>
      <sz val="11"/>
      <color indexed="8"/>
      <name val="Myriad Pro"/>
      <family val="2"/>
    </font>
    <font>
      <b/>
      <sz val="12"/>
      <color indexed="8"/>
      <name val="Myriad Pro"/>
      <family val="2"/>
    </font>
    <font>
      <sz val="14"/>
      <color indexed="8"/>
      <name val="Myriad Pro"/>
      <family val="2"/>
    </font>
    <font>
      <sz val="16"/>
      <color indexed="8"/>
      <name val="Myriad Pro"/>
      <family val="2"/>
    </font>
    <font>
      <sz val="13"/>
      <color indexed="8"/>
      <name val="Myriad Pro"/>
      <family val="2"/>
    </font>
    <font>
      <b/>
      <sz val="14"/>
      <color indexed="8"/>
      <name val="Myriad Pro"/>
      <family val="2"/>
    </font>
    <font>
      <b/>
      <sz val="16"/>
      <color indexed="8"/>
      <name val="Myriad Pro"/>
      <family val="2"/>
    </font>
    <font>
      <sz val="14"/>
      <color rgb="FF000000"/>
      <name val="Myroid pro"/>
      <charset val="134"/>
    </font>
    <font>
      <sz val="14"/>
      <color theme="1"/>
      <name val="Myroid pro"/>
      <charset val="134"/>
    </font>
    <font>
      <i/>
      <sz val="14"/>
      <color rgb="FF000000"/>
      <name val="Myroid Pro"/>
      <charset val="134"/>
    </font>
    <font>
      <sz val="14"/>
      <color indexed="8"/>
      <name val="Myroid pro"/>
      <charset val="134"/>
    </font>
    <font>
      <i/>
      <sz val="14"/>
      <color indexed="8"/>
      <name val="Myriad Pro"/>
      <family val="2"/>
    </font>
    <font>
      <i/>
      <sz val="11"/>
      <name val="Myriad Pro"/>
      <family val="2"/>
    </font>
    <font>
      <sz val="8"/>
      <name val="Arial Narrow"/>
      <family val="2"/>
    </font>
    <font>
      <i/>
      <sz val="14"/>
      <name val="Myriad Pro"/>
      <family val="2"/>
    </font>
    <font>
      <sz val="12"/>
      <color indexed="8"/>
      <name val="Myriad Pro"/>
      <family val="2"/>
    </font>
    <font>
      <i/>
      <sz val="14"/>
      <color indexed="8"/>
      <name val="Myroid Pro"/>
      <charset val="134"/>
    </font>
    <font>
      <sz val="14"/>
      <name val="Myroid pro"/>
      <charset val="134"/>
    </font>
    <font>
      <i/>
      <sz val="14"/>
      <name val="Myroid pro"/>
      <charset val="134"/>
    </font>
    <font>
      <i/>
      <sz val="14"/>
      <name val="Myroid Pro"/>
    </font>
    <font>
      <sz val="14"/>
      <name val="Myriod Pro"/>
      <charset val="134"/>
    </font>
    <font>
      <sz val="11"/>
      <color rgb="FF000000"/>
      <name val="Aptos Narrow"/>
      <family val="2"/>
    </font>
    <font>
      <sz val="14"/>
      <name val="Myriad Pro"/>
      <family val="2"/>
    </font>
    <font>
      <b/>
      <sz val="16"/>
      <name val="Myriad Pro"/>
      <family val="2"/>
    </font>
    <font>
      <sz val="16"/>
      <name val="Myriad Pro"/>
      <family val="2"/>
    </font>
    <font>
      <b/>
      <sz val="14"/>
      <name val="Myriad Pro"/>
      <family val="2"/>
    </font>
    <font>
      <sz val="14"/>
      <color rgb="FFFF0000"/>
      <name val="Myriad Pro"/>
      <family val="2"/>
    </font>
    <font>
      <sz val="16"/>
      <color theme="1"/>
      <name val="Arial"/>
      <family val="2"/>
    </font>
    <font>
      <b/>
      <i/>
      <sz val="16"/>
      <name val="Myriad Pro"/>
    </font>
    <font>
      <i/>
      <sz val="16"/>
      <name val="Myriad Pro"/>
      <family val="2"/>
    </font>
    <font>
      <i/>
      <sz val="16"/>
      <color indexed="8"/>
      <name val="Myriad Pro"/>
      <family val="2"/>
    </font>
    <font>
      <i/>
      <sz val="16"/>
      <name val="Myriad Pro"/>
    </font>
    <font>
      <sz val="12"/>
      <name val="Myriad Pro"/>
      <family val="2"/>
    </font>
    <font>
      <i/>
      <sz val="10"/>
      <name val="Myriad Pro"/>
      <family val="2"/>
    </font>
    <font>
      <sz val="10"/>
      <name val="Myriad Pro"/>
      <family val="2"/>
    </font>
    <font>
      <sz val="10"/>
      <color indexed="8"/>
      <name val="Myriad Pro"/>
      <family val="2"/>
    </font>
    <font>
      <i/>
      <sz val="14"/>
      <color indexed="8"/>
      <name val="Myriad Pro"/>
    </font>
    <font>
      <i/>
      <sz val="14"/>
      <name val="Myriad Pro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9" fillId="0" borderId="0"/>
    <xf numFmtId="0" fontId="1" fillId="0" borderId="0"/>
    <xf numFmtId="43" fontId="29" fillId="0" borderId="0" applyFont="0" applyFill="0" applyBorder="0" applyAlignment="0" applyProtection="0"/>
    <xf numFmtId="0" fontId="43" fillId="0" borderId="0"/>
    <xf numFmtId="0" fontId="43" fillId="0" borderId="0"/>
    <xf numFmtId="0" fontId="29" fillId="0" borderId="0"/>
  </cellStyleXfs>
  <cellXfs count="512">
    <xf numFmtId="0" fontId="0" fillId="0" borderId="0" xfId="0"/>
    <xf numFmtId="164" fontId="2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0" borderId="0" xfId="0" applyFont="1"/>
    <xf numFmtId="43" fontId="5" fillId="0" borderId="0" xfId="1" applyFont="1" applyAlignment="1" applyProtection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4" fontId="3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5" fontId="4" fillId="0" borderId="0" xfId="0" applyNumberFormat="1" applyFont="1"/>
    <xf numFmtId="0" fontId="4" fillId="2" borderId="17" xfId="0" applyFont="1" applyFill="1" applyBorder="1" applyAlignment="1">
      <alignment horizontal="left"/>
    </xf>
    <xf numFmtId="0" fontId="3" fillId="2" borderId="15" xfId="0" applyFont="1" applyFill="1" applyBorder="1"/>
    <xf numFmtId="0" fontId="3" fillId="2" borderId="14" xfId="0" applyFont="1" applyFill="1" applyBorder="1"/>
    <xf numFmtId="43" fontId="3" fillId="2" borderId="14" xfId="1" applyFont="1" applyFill="1" applyBorder="1" applyAlignment="1" applyProtection="1">
      <alignment horizontal="center"/>
    </xf>
    <xf numFmtId="43" fontId="4" fillId="2" borderId="1" xfId="1" applyFont="1" applyFill="1" applyBorder="1" applyAlignment="1" applyProtection="1"/>
    <xf numFmtId="43" fontId="4" fillId="2" borderId="15" xfId="0" applyNumberFormat="1" applyFont="1" applyFill="1" applyBorder="1" applyAlignment="1">
      <alignment horizontal="center"/>
    </xf>
    <xf numFmtId="43" fontId="4" fillId="2" borderId="13" xfId="0" applyNumberFormat="1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1" fontId="3" fillId="3" borderId="17" xfId="0" applyNumberFormat="1" applyFont="1" applyFill="1" applyBorder="1" applyAlignment="1">
      <alignment horizontal="center" vertical="center"/>
    </xf>
    <xf numFmtId="0" fontId="3" fillId="3" borderId="15" xfId="0" applyFont="1" applyFill="1" applyBorder="1"/>
    <xf numFmtId="0" fontId="4" fillId="3" borderId="14" xfId="0" applyFont="1" applyFill="1" applyBorder="1"/>
    <xf numFmtId="4" fontId="4" fillId="3" borderId="15" xfId="1" applyNumberFormat="1" applyFont="1" applyFill="1" applyBorder="1" applyAlignment="1" applyProtection="1">
      <alignment vertical="center"/>
    </xf>
    <xf numFmtId="0" fontId="4" fillId="3" borderId="14" xfId="0" applyFont="1" applyFill="1" applyBorder="1" applyAlignment="1">
      <alignment vertical="center"/>
    </xf>
    <xf numFmtId="43" fontId="4" fillId="3" borderId="20" xfId="1" applyFont="1" applyFill="1" applyBorder="1" applyAlignment="1" applyProtection="1"/>
    <xf numFmtId="43" fontId="4" fillId="3" borderId="13" xfId="1" applyFont="1" applyFill="1" applyBorder="1" applyAlignment="1" applyProtection="1"/>
    <xf numFmtId="10" fontId="4" fillId="3" borderId="13" xfId="3" applyNumberFormat="1" applyFont="1" applyFill="1" applyBorder="1" applyAlignment="1" applyProtection="1">
      <alignment horizontal="center"/>
    </xf>
    <xf numFmtId="43" fontId="4" fillId="3" borderId="1" xfId="1" applyFont="1" applyFill="1" applyBorder="1" applyAlignment="1" applyProtection="1"/>
    <xf numFmtId="166" fontId="4" fillId="3" borderId="13" xfId="3" applyNumberFormat="1" applyFont="1" applyFill="1" applyBorder="1" applyAlignment="1" applyProtection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 applyProtection="1"/>
    <xf numFmtId="0" fontId="2" fillId="0" borderId="1" xfId="0" applyFont="1" applyBorder="1"/>
    <xf numFmtId="10" fontId="4" fillId="0" borderId="13" xfId="3" applyNumberFormat="1" applyFont="1" applyBorder="1" applyAlignment="1" applyProtection="1">
      <alignment horizontal="center"/>
    </xf>
    <xf numFmtId="43" fontId="6" fillId="0" borderId="1" xfId="1" applyFont="1" applyBorder="1" applyAlignment="1" applyProtection="1"/>
    <xf numFmtId="43" fontId="4" fillId="0" borderId="1" xfId="1" applyFont="1" applyBorder="1" applyAlignment="1" applyProtection="1"/>
    <xf numFmtId="0" fontId="4" fillId="0" borderId="19" xfId="0" applyFont="1" applyBorder="1" applyAlignment="1">
      <alignment horizontal="center"/>
    </xf>
    <xf numFmtId="10" fontId="5" fillId="0" borderId="0" xfId="3" applyNumberFormat="1" applyFont="1" applyAlignment="1" applyProtection="1"/>
    <xf numFmtId="0" fontId="2" fillId="0" borderId="20" xfId="0" applyFont="1" applyBorder="1" applyAlignment="1">
      <alignment horizontal="center"/>
    </xf>
    <xf numFmtId="10" fontId="4" fillId="4" borderId="13" xfId="3" applyNumberFormat="1" applyFont="1" applyFill="1" applyBorder="1" applyAlignment="1" applyProtection="1">
      <alignment horizontal="center"/>
    </xf>
    <xf numFmtId="43" fontId="6" fillId="4" borderId="13" xfId="1" applyFont="1" applyFill="1" applyBorder="1" applyAlignment="1" applyProtection="1"/>
    <xf numFmtId="43" fontId="4" fillId="4" borderId="1" xfId="1" applyFont="1" applyFill="1" applyBorder="1" applyAlignment="1" applyProtection="1"/>
    <xf numFmtId="0" fontId="6" fillId="0" borderId="0" xfId="0" applyFont="1" applyAlignment="1">
      <alignment horizontal="center"/>
    </xf>
    <xf numFmtId="43" fontId="4" fillId="5" borderId="21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4" fontId="4" fillId="0" borderId="0" xfId="1" applyNumberFormat="1" applyFont="1" applyAlignment="1" applyProtection="1">
      <alignment vertical="center"/>
    </xf>
    <xf numFmtId="43" fontId="4" fillId="0" borderId="0" xfId="1" applyFont="1" applyAlignment="1" applyProtection="1"/>
    <xf numFmtId="10" fontId="4" fillId="0" borderId="0" xfId="3" applyNumberFormat="1" applyFont="1" applyAlignment="1" applyProtection="1">
      <alignment horizontal="center"/>
    </xf>
    <xf numFmtId="43" fontId="6" fillId="0" borderId="0" xfId="1" applyFont="1" applyAlignment="1" applyProtection="1"/>
    <xf numFmtId="4" fontId="5" fillId="0" borderId="0" xfId="0" applyNumberFormat="1" applyFont="1"/>
    <xf numFmtId="10" fontId="4" fillId="0" borderId="0" xfId="3" applyNumberFormat="1" applyFont="1" applyAlignment="1" applyProtection="1">
      <alignment horizontal="right"/>
    </xf>
    <xf numFmtId="167" fontId="4" fillId="0" borderId="0" xfId="2" applyNumberFormat="1" applyFont="1" applyBorder="1" applyAlignment="1">
      <alignment horizontal="center"/>
    </xf>
    <xf numFmtId="43" fontId="4" fillId="0" borderId="0" xfId="0" applyNumberFormat="1" applyFont="1"/>
    <xf numFmtId="167" fontId="4" fillId="0" borderId="22" xfId="2" applyNumberFormat="1" applyFont="1" applyFill="1" applyBorder="1" applyAlignment="1">
      <alignment horizontal="center"/>
    </xf>
    <xf numFmtId="167" fontId="3" fillId="0" borderId="23" xfId="2" applyNumberFormat="1" applyFont="1" applyBorder="1" applyAlignment="1">
      <alignment horizontal="center"/>
    </xf>
    <xf numFmtId="4" fontId="4" fillId="0" borderId="0" xfId="1" applyNumberFormat="1" applyFont="1" applyAlignment="1" applyProtection="1"/>
    <xf numFmtId="167" fontId="3" fillId="0" borderId="0" xfId="2" applyNumberFormat="1" applyFont="1" applyBorder="1" applyAlignment="1">
      <alignment horizontal="center"/>
    </xf>
    <xf numFmtId="4" fontId="4" fillId="0" borderId="0" xfId="0" applyNumberFormat="1" applyFont="1"/>
    <xf numFmtId="0" fontId="4" fillId="0" borderId="0" xfId="0" applyFont="1" applyAlignment="1">
      <alignment horizontal="left"/>
    </xf>
    <xf numFmtId="43" fontId="5" fillId="0" borderId="0" xfId="0" applyNumberFormat="1" applyFont="1"/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43" fontId="5" fillId="0" borderId="0" xfId="1" applyFont="1" applyAlignment="1" applyProtection="1">
      <alignment vertical="center"/>
    </xf>
    <xf numFmtId="0" fontId="3" fillId="0" borderId="0" xfId="0" applyFont="1" applyAlignment="1">
      <alignment horizontal="left"/>
    </xf>
    <xf numFmtId="9" fontId="5" fillId="0" borderId="0" xfId="3" applyFont="1" applyAlignment="1" applyProtection="1"/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3" fillId="2" borderId="0" xfId="0" applyFont="1" applyFill="1"/>
    <xf numFmtId="43" fontId="3" fillId="2" borderId="0" xfId="1" applyFont="1" applyFill="1" applyAlignment="1" applyProtection="1">
      <alignment horizontal="center"/>
    </xf>
    <xf numFmtId="43" fontId="4" fillId="2" borderId="0" xfId="1" applyFont="1" applyFill="1" applyAlignment="1" applyProtection="1"/>
    <xf numFmtId="43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  <xf numFmtId="168" fontId="4" fillId="0" borderId="0" xfId="1" applyNumberFormat="1" applyFont="1" applyAlignment="1" applyProtection="1"/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10" fontId="3" fillId="0" borderId="0" xfId="3" applyNumberFormat="1" applyFont="1" applyAlignment="1" applyProtection="1">
      <alignment horizontal="center" vertical="center"/>
    </xf>
    <xf numFmtId="4" fontId="3" fillId="0" borderId="0" xfId="0" applyNumberFormat="1" applyFont="1" applyAlignment="1">
      <alignment horizontal="left"/>
    </xf>
    <xf numFmtId="168" fontId="4" fillId="0" borderId="0" xfId="0" applyNumberFormat="1" applyFont="1"/>
    <xf numFmtId="43" fontId="4" fillId="0" borderId="0" xfId="2" applyNumberFormat="1" applyFont="1" applyBorder="1" applyAlignment="1">
      <alignment horizontal="center"/>
    </xf>
    <xf numFmtId="9" fontId="4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7" borderId="1" xfId="0" applyFont="1" applyFill="1" applyBorder="1"/>
    <xf numFmtId="0" fontId="17" fillId="0" borderId="0" xfId="0" applyFont="1"/>
    <xf numFmtId="0" fontId="18" fillId="0" borderId="0" xfId="0" applyFont="1"/>
    <xf numFmtId="0" fontId="11" fillId="8" borderId="1" xfId="0" applyFont="1" applyFill="1" applyBorder="1"/>
    <xf numFmtId="0" fontId="11" fillId="8" borderId="15" xfId="0" applyFont="1" applyFill="1" applyBorder="1"/>
    <xf numFmtId="0" fontId="11" fillId="8" borderId="18" xfId="0" applyFont="1" applyFill="1" applyBorder="1"/>
    <xf numFmtId="0" fontId="11" fillId="8" borderId="14" xfId="0" applyFont="1" applyFill="1" applyBorder="1"/>
    <xf numFmtId="0" fontId="19" fillId="0" borderId="0" xfId="0" applyFont="1"/>
    <xf numFmtId="0" fontId="18" fillId="0" borderId="0" xfId="0" applyFont="1" applyAlignment="1">
      <alignment horizontal="center"/>
    </xf>
    <xf numFmtId="0" fontId="11" fillId="9" borderId="1" xfId="0" applyFont="1" applyFill="1" applyBorder="1"/>
    <xf numFmtId="0" fontId="11" fillId="9" borderId="15" xfId="0" applyFont="1" applyFill="1" applyBorder="1"/>
    <xf numFmtId="0" fontId="11" fillId="9" borderId="18" xfId="0" applyFont="1" applyFill="1" applyBorder="1"/>
    <xf numFmtId="0" fontId="11" fillId="9" borderId="14" xfId="0" applyFont="1" applyFill="1" applyBorder="1"/>
    <xf numFmtId="0" fontId="21" fillId="0" borderId="0" xfId="0" applyFont="1"/>
    <xf numFmtId="169" fontId="11" fillId="6" borderId="18" xfId="0" applyNumberFormat="1" applyFont="1" applyFill="1" applyBorder="1" applyAlignment="1">
      <alignment horizontal="left"/>
    </xf>
    <xf numFmtId="0" fontId="11" fillId="10" borderId="1" xfId="0" applyFont="1" applyFill="1" applyBorder="1"/>
    <xf numFmtId="0" fontId="11" fillId="10" borderId="15" xfId="0" applyFont="1" applyFill="1" applyBorder="1"/>
    <xf numFmtId="0" fontId="11" fillId="10" borderId="18" xfId="0" applyFont="1" applyFill="1" applyBorder="1"/>
    <xf numFmtId="0" fontId="11" fillId="10" borderId="14" xfId="0" applyFont="1" applyFill="1" applyBorder="1"/>
    <xf numFmtId="169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1" fillId="11" borderId="1" xfId="0" applyFont="1" applyFill="1" applyBorder="1"/>
    <xf numFmtId="0" fontId="11" fillId="11" borderId="15" xfId="0" applyFont="1" applyFill="1" applyBorder="1"/>
    <xf numFmtId="0" fontId="11" fillId="11" borderId="18" xfId="0" applyFont="1" applyFill="1" applyBorder="1"/>
    <xf numFmtId="0" fontId="11" fillId="11" borderId="14" xfId="0" applyFont="1" applyFill="1" applyBorder="1"/>
    <xf numFmtId="0" fontId="11" fillId="12" borderId="1" xfId="0" applyFont="1" applyFill="1" applyBorder="1"/>
    <xf numFmtId="0" fontId="11" fillId="12" borderId="15" xfId="0" applyFont="1" applyFill="1" applyBorder="1"/>
    <xf numFmtId="0" fontId="11" fillId="12" borderId="18" xfId="0" applyFont="1" applyFill="1" applyBorder="1"/>
    <xf numFmtId="0" fontId="11" fillId="12" borderId="14" xfId="0" applyFont="1" applyFill="1" applyBorder="1"/>
    <xf numFmtId="0" fontId="11" fillId="0" borderId="0" xfId="0" applyFont="1" applyAlignment="1">
      <alignment vertical="top"/>
    </xf>
    <xf numFmtId="0" fontId="11" fillId="0" borderId="0" xfId="0" quotePrefix="1" applyFont="1" applyAlignment="1">
      <alignment horizontal="center" vertical="top"/>
    </xf>
    <xf numFmtId="0" fontId="22" fillId="6" borderId="1" xfId="0" applyFont="1" applyFill="1" applyBorder="1" applyAlignment="1">
      <alignment wrapText="1"/>
    </xf>
    <xf numFmtId="0" fontId="11" fillId="13" borderId="1" xfId="0" applyFont="1" applyFill="1" applyBorder="1"/>
    <xf numFmtId="0" fontId="11" fillId="13" borderId="15" xfId="0" applyFont="1" applyFill="1" applyBorder="1"/>
    <xf numFmtId="0" fontId="11" fillId="13" borderId="18" xfId="0" applyFont="1" applyFill="1" applyBorder="1"/>
    <xf numFmtId="0" fontId="11" fillId="13" borderId="14" xfId="0" applyFont="1" applyFill="1" applyBorder="1"/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11" fillId="6" borderId="1" xfId="0" applyFont="1" applyFill="1" applyBorder="1" applyAlignment="1">
      <alignment horizontal="left"/>
    </xf>
    <xf numFmtId="0" fontId="11" fillId="7" borderId="1" xfId="0" applyFont="1" applyFill="1" applyBorder="1"/>
    <xf numFmtId="0" fontId="11" fillId="7" borderId="15" xfId="0" applyFont="1" applyFill="1" applyBorder="1"/>
    <xf numFmtId="0" fontId="11" fillId="7" borderId="18" xfId="0" applyFont="1" applyFill="1" applyBorder="1"/>
    <xf numFmtId="0" fontId="11" fillId="7" borderId="14" xfId="0" applyFont="1" applyFill="1" applyBorder="1"/>
    <xf numFmtId="0" fontId="11" fillId="0" borderId="0" xfId="0" applyFont="1" applyAlignment="1">
      <alignment horizontal="left" vertical="center"/>
    </xf>
    <xf numFmtId="4" fontId="11" fillId="0" borderId="18" xfId="0" applyNumberFormat="1" applyFont="1" applyBorder="1" applyAlignment="1">
      <alignment horizontal="left"/>
    </xf>
    <xf numFmtId="43" fontId="11" fillId="6" borderId="1" xfId="1" applyFont="1" applyFill="1" applyBorder="1" applyAlignment="1" applyProtection="1">
      <alignment horizontal="center"/>
    </xf>
    <xf numFmtId="0" fontId="11" fillId="14" borderId="1" xfId="0" applyFont="1" applyFill="1" applyBorder="1"/>
    <xf numFmtId="0" fontId="11" fillId="14" borderId="15" xfId="0" applyFont="1" applyFill="1" applyBorder="1"/>
    <xf numFmtId="0" fontId="11" fillId="14" borderId="18" xfId="0" applyFont="1" applyFill="1" applyBorder="1"/>
    <xf numFmtId="0" fontId="11" fillId="14" borderId="14" xfId="0" applyFont="1" applyFill="1" applyBorder="1"/>
    <xf numFmtId="0" fontId="12" fillId="0" borderId="0" xfId="0" applyFont="1" applyAlignment="1">
      <alignment vertical="center"/>
    </xf>
    <xf numFmtId="0" fontId="11" fillId="0" borderId="1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quotePrefix="1" applyFont="1"/>
    <xf numFmtId="169" fontId="11" fillId="0" borderId="18" xfId="0" applyNumberFormat="1" applyFont="1" applyBorder="1" applyAlignment="1">
      <alignment horizontal="left"/>
    </xf>
    <xf numFmtId="0" fontId="12" fillId="0" borderId="18" xfId="0" applyFont="1" applyBorder="1"/>
    <xf numFmtId="0" fontId="2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169" fontId="11" fillId="0" borderId="22" xfId="0" applyNumberFormat="1" applyFont="1" applyBorder="1" applyAlignment="1">
      <alignment horizontal="left"/>
    </xf>
    <xf numFmtId="170" fontId="12" fillId="0" borderId="0" xfId="0" applyNumberFormat="1" applyFont="1"/>
    <xf numFmtId="170" fontId="22" fillId="0" borderId="0" xfId="0" applyNumberFormat="1" applyFont="1" applyAlignment="1">
      <alignment horizontal="center"/>
    </xf>
    <xf numFmtId="171" fontId="11" fillId="0" borderId="22" xfId="1" applyNumberFormat="1" applyFont="1" applyBorder="1" applyAlignment="1" applyProtection="1">
      <alignment horizontal="left"/>
    </xf>
    <xf numFmtId="1" fontId="11" fillId="0" borderId="22" xfId="0" applyNumberFormat="1" applyFont="1" applyBorder="1" applyAlignment="1">
      <alignment horizontal="left"/>
    </xf>
    <xf numFmtId="0" fontId="21" fillId="0" borderId="0" xfId="0" applyFont="1" applyAlignment="1">
      <alignment horizontal="right"/>
    </xf>
    <xf numFmtId="171" fontId="11" fillId="6" borderId="1" xfId="1" applyNumberFormat="1" applyFont="1" applyFill="1" applyBorder="1" applyAlignment="1" applyProtection="1">
      <alignment horizontal="left"/>
    </xf>
    <xf numFmtId="169" fontId="12" fillId="0" borderId="0" xfId="0" applyNumberFormat="1" applyFont="1"/>
    <xf numFmtId="172" fontId="12" fillId="0" borderId="0" xfId="0" applyNumberFormat="1" applyFont="1"/>
    <xf numFmtId="0" fontId="22" fillId="0" borderId="0" xfId="0" applyFont="1" applyAlignment="1">
      <alignment horizontal="right"/>
    </xf>
    <xf numFmtId="171" fontId="11" fillId="0" borderId="18" xfId="1" applyNumberFormat="1" applyFont="1" applyBorder="1" applyAlignment="1" applyProtection="1">
      <alignment horizontal="left"/>
    </xf>
    <xf numFmtId="171" fontId="11" fillId="6" borderId="1" xfId="1" applyNumberFormat="1" applyFont="1" applyFill="1" applyBorder="1" applyAlignment="1" applyProtection="1"/>
    <xf numFmtId="171" fontId="11" fillId="5" borderId="1" xfId="1" applyNumberFormat="1" applyFont="1" applyFill="1" applyBorder="1" applyAlignment="1" applyProtection="1"/>
    <xf numFmtId="1" fontId="11" fillId="0" borderId="18" xfId="0" applyNumberFormat="1" applyFont="1" applyBorder="1"/>
    <xf numFmtId="0" fontId="22" fillId="0" borderId="0" xfId="0" applyFont="1"/>
    <xf numFmtId="171" fontId="12" fillId="0" borderId="0" xfId="0" applyNumberFormat="1" applyFont="1" applyAlignment="1">
      <alignment horizontal="left"/>
    </xf>
    <xf numFmtId="173" fontId="11" fillId="0" borderId="18" xfId="0" applyNumberFormat="1" applyFont="1" applyBorder="1" applyAlignment="1">
      <alignment horizontal="left"/>
    </xf>
    <xf numFmtId="2" fontId="11" fillId="0" borderId="18" xfId="0" applyNumberFormat="1" applyFont="1" applyBorder="1" applyAlignment="1">
      <alignment horizontal="left"/>
    </xf>
    <xf numFmtId="169" fontId="24" fillId="0" borderId="18" xfId="0" applyNumberFormat="1" applyFont="1" applyBorder="1" applyAlignment="1">
      <alignment horizontal="left"/>
    </xf>
    <xf numFmtId="10" fontId="11" fillId="0" borderId="18" xfId="0" applyNumberFormat="1" applyFont="1" applyBorder="1" applyAlignment="1">
      <alignment horizontal="left"/>
    </xf>
    <xf numFmtId="10" fontId="11" fillId="6" borderId="1" xfId="3" applyNumberFormat="1" applyFont="1" applyFill="1" applyBorder="1" applyAlignment="1" applyProtection="1">
      <alignment horizontal="left"/>
    </xf>
    <xf numFmtId="10" fontId="25" fillId="0" borderId="18" xfId="3" applyNumberFormat="1" applyFont="1" applyBorder="1" applyAlignment="1" applyProtection="1">
      <alignment horizontal="left"/>
    </xf>
    <xf numFmtId="10" fontId="25" fillId="5" borderId="1" xfId="3" applyNumberFormat="1" applyFont="1" applyFill="1" applyBorder="1" applyAlignment="1" applyProtection="1">
      <alignment horizontal="left"/>
    </xf>
    <xf numFmtId="0" fontId="11" fillId="0" borderId="15" xfId="0" applyFont="1" applyBorder="1" applyAlignment="1">
      <alignment vertical="center"/>
    </xf>
    <xf numFmtId="0" fontId="12" fillId="0" borderId="14" xfId="0" applyFont="1" applyBorder="1"/>
    <xf numFmtId="10" fontId="11" fillId="0" borderId="22" xfId="0" applyNumberFormat="1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24" xfId="0" applyFont="1" applyBorder="1"/>
    <xf numFmtId="10" fontId="25" fillId="5" borderId="0" xfId="3" applyNumberFormat="1" applyFont="1" applyFill="1" applyAlignment="1" applyProtection="1">
      <alignment horizontal="left"/>
    </xf>
    <xf numFmtId="10" fontId="11" fillId="0" borderId="0" xfId="0" applyNumberFormat="1" applyFont="1"/>
    <xf numFmtId="0" fontId="11" fillId="9" borderId="25" xfId="0" applyFont="1" applyFill="1" applyBorder="1"/>
    <xf numFmtId="0" fontId="12" fillId="9" borderId="26" xfId="0" applyFont="1" applyFill="1" applyBorder="1"/>
    <xf numFmtId="0" fontId="11" fillId="9" borderId="27" xfId="0" applyFont="1" applyFill="1" applyBorder="1"/>
    <xf numFmtId="0" fontId="12" fillId="9" borderId="28" xfId="0" applyFont="1" applyFill="1" applyBorder="1"/>
    <xf numFmtId="0" fontId="11" fillId="0" borderId="0" xfId="0" applyFont="1" applyAlignment="1">
      <alignment horizontal="center"/>
    </xf>
    <xf numFmtId="0" fontId="9" fillId="0" borderId="0" xfId="0" applyFont="1"/>
    <xf numFmtId="0" fontId="11" fillId="6" borderId="1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10" fontId="4" fillId="0" borderId="1" xfId="3" applyNumberFormat="1" applyFont="1" applyBorder="1" applyAlignment="1" applyProtection="1">
      <alignment horizontal="center"/>
    </xf>
    <xf numFmtId="43" fontId="4" fillId="0" borderId="1" xfId="0" applyNumberFormat="1" applyFon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10" fontId="3" fillId="0" borderId="1" xfId="3" applyNumberFormat="1" applyFont="1" applyBorder="1" applyAlignment="1" applyProtection="1">
      <alignment vertical="center"/>
    </xf>
    <xf numFmtId="43" fontId="8" fillId="0" borderId="1" xfId="0" applyNumberFormat="1" applyFont="1" applyBorder="1" applyAlignment="1">
      <alignment vertical="center"/>
    </xf>
    <xf numFmtId="10" fontId="3" fillId="0" borderId="1" xfId="3" applyNumberFormat="1" applyFont="1" applyBorder="1" applyAlignment="1" applyProtection="1">
      <alignment horizontal="center" vertical="center"/>
    </xf>
    <xf numFmtId="0" fontId="2" fillId="0" borderId="15" xfId="0" applyFont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0" fontId="4" fillId="15" borderId="14" xfId="0" applyFont="1" applyFill="1" applyBorder="1" applyAlignment="1">
      <alignment horizontal="left"/>
    </xf>
    <xf numFmtId="43" fontId="2" fillId="15" borderId="1" xfId="1" applyFont="1" applyFill="1" applyBorder="1" applyAlignment="1" applyProtection="1"/>
    <xf numFmtId="0" fontId="2" fillId="15" borderId="1" xfId="0" applyFont="1" applyFill="1" applyBorder="1"/>
    <xf numFmtId="164" fontId="2" fillId="15" borderId="1" xfId="0" applyNumberFormat="1" applyFont="1" applyFill="1" applyBorder="1"/>
    <xf numFmtId="10" fontId="4" fillId="15" borderId="13" xfId="3" applyNumberFormat="1" applyFont="1" applyFill="1" applyBorder="1" applyAlignment="1" applyProtection="1">
      <alignment horizontal="center"/>
    </xf>
    <xf numFmtId="43" fontId="6" fillId="15" borderId="1" xfId="1" applyFont="1" applyFill="1" applyBorder="1" applyAlignment="1" applyProtection="1"/>
    <xf numFmtId="43" fontId="4" fillId="15" borderId="1" xfId="1" applyFont="1" applyFill="1" applyBorder="1" applyAlignment="1" applyProtection="1"/>
    <xf numFmtId="0" fontId="4" fillId="15" borderId="19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10" fontId="5" fillId="0" borderId="0" xfId="3" applyNumberFormat="1" applyFont="1" applyFill="1" applyAlignment="1" applyProtection="1"/>
    <xf numFmtId="0" fontId="27" fillId="15" borderId="15" xfId="0" applyFont="1" applyFill="1" applyBorder="1" applyAlignment="1">
      <alignment horizontal="left"/>
    </xf>
    <xf numFmtId="0" fontId="2" fillId="0" borderId="29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 vertical="center"/>
    </xf>
    <xf numFmtId="4" fontId="4" fillId="0" borderId="13" xfId="1" applyNumberFormat="1" applyFont="1" applyBorder="1" applyAlignment="1" applyProtection="1">
      <alignment vertical="center"/>
    </xf>
    <xf numFmtId="0" fontId="4" fillId="0" borderId="13" xfId="0" applyFont="1" applyBorder="1" applyAlignment="1">
      <alignment vertical="center"/>
    </xf>
    <xf numFmtId="43" fontId="4" fillId="0" borderId="13" xfId="1" applyFont="1" applyBorder="1" applyAlignment="1" applyProtection="1"/>
    <xf numFmtId="43" fontId="6" fillId="0" borderId="13" xfId="1" applyFont="1" applyBorder="1" applyAlignment="1" applyProtection="1"/>
    <xf numFmtId="0" fontId="6" fillId="0" borderId="13" xfId="0" applyFont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8" fillId="2" borderId="15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43" fontId="2" fillId="2" borderId="1" xfId="1" applyFont="1" applyFill="1" applyBorder="1" applyAlignment="1" applyProtection="1"/>
    <xf numFmtId="0" fontId="2" fillId="2" borderId="1" xfId="0" applyFont="1" applyFill="1" applyBorder="1"/>
    <xf numFmtId="164" fontId="2" fillId="2" borderId="1" xfId="0" applyNumberFormat="1" applyFont="1" applyFill="1" applyBorder="1"/>
    <xf numFmtId="10" fontId="4" fillId="2" borderId="13" xfId="3" applyNumberFormat="1" applyFont="1" applyFill="1" applyBorder="1" applyAlignment="1" applyProtection="1">
      <alignment horizontal="center"/>
    </xf>
    <xf numFmtId="43" fontId="6" fillId="2" borderId="1" xfId="1" applyFont="1" applyFill="1" applyBorder="1" applyAlignment="1" applyProtection="1"/>
    <xf numFmtId="0" fontId="7" fillId="2" borderId="1" xfId="0" applyFont="1" applyFill="1" applyBorder="1" applyAlignment="1">
      <alignment horizontal="center"/>
    </xf>
    <xf numFmtId="0" fontId="28" fillId="2" borderId="29" xfId="0" applyFont="1" applyFill="1" applyBorder="1" applyAlignment="1">
      <alignment horizontal="left"/>
    </xf>
    <xf numFmtId="43" fontId="2" fillId="0" borderId="1" xfId="1" applyFont="1" applyFill="1" applyBorder="1" applyAlignment="1" applyProtection="1"/>
    <xf numFmtId="43" fontId="6" fillId="0" borderId="1" xfId="1" applyFont="1" applyFill="1" applyBorder="1" applyAlignment="1" applyProtection="1"/>
    <xf numFmtId="43" fontId="5" fillId="0" borderId="0" xfId="1" applyFont="1" applyFill="1" applyAlignment="1" applyProtection="1"/>
    <xf numFmtId="0" fontId="4" fillId="15" borderId="0" xfId="0" applyFont="1" applyFill="1" applyAlignment="1">
      <alignment horizontal="center"/>
    </xf>
    <xf numFmtId="0" fontId="4" fillId="15" borderId="0" xfId="0" applyFont="1" applyFill="1"/>
    <xf numFmtId="10" fontId="5" fillId="15" borderId="0" xfId="3" applyNumberFormat="1" applyFont="1" applyFill="1" applyAlignment="1" applyProtection="1"/>
    <xf numFmtId="43" fontId="5" fillId="15" borderId="0" xfId="1" applyFont="1" applyFill="1" applyAlignment="1" applyProtection="1"/>
    <xf numFmtId="0" fontId="5" fillId="15" borderId="0" xfId="0" applyFont="1" applyFill="1"/>
    <xf numFmtId="0" fontId="7" fillId="15" borderId="1" xfId="0" applyFont="1" applyFill="1" applyBorder="1" applyAlignment="1">
      <alignment horizontal="center"/>
    </xf>
    <xf numFmtId="0" fontId="3" fillId="15" borderId="14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3" fillId="5" borderId="1" xfId="0" applyFont="1" applyFill="1" applyBorder="1"/>
    <xf numFmtId="169" fontId="3" fillId="0" borderId="0" xfId="0" applyNumberFormat="1" applyFont="1"/>
    <xf numFmtId="164" fontId="4" fillId="0" borderId="1" xfId="1" applyNumberFormat="1" applyFont="1" applyBorder="1" applyAlignment="1" applyProtection="1"/>
    <xf numFmtId="164" fontId="4" fillId="0" borderId="0" xfId="0" applyNumberFormat="1" applyFont="1"/>
    <xf numFmtId="164" fontId="5" fillId="0" borderId="0" xfId="0" applyNumberFormat="1" applyFont="1"/>
    <xf numFmtId="0" fontId="5" fillId="0" borderId="15" xfId="0" applyFont="1" applyBorder="1"/>
    <xf numFmtId="0" fontId="5" fillId="0" borderId="14" xfId="0" applyFont="1" applyBorder="1"/>
    <xf numFmtId="0" fontId="4" fillId="0" borderId="15" xfId="0" applyFont="1" applyBorder="1"/>
    <xf numFmtId="0" fontId="4" fillId="0" borderId="14" xfId="0" applyFont="1" applyBorder="1"/>
    <xf numFmtId="0" fontId="3" fillId="4" borderId="15" xfId="0" applyFont="1" applyFill="1" applyBorder="1"/>
    <xf numFmtId="0" fontId="3" fillId="4" borderId="14" xfId="0" applyFont="1" applyFill="1" applyBorder="1"/>
    <xf numFmtId="0" fontId="30" fillId="0" borderId="0" xfId="0" applyFont="1" applyAlignment="1">
      <alignment vertical="top" wrapText="1"/>
    </xf>
    <xf numFmtId="0" fontId="31" fillId="0" borderId="0" xfId="0" applyFont="1" applyAlignment="1">
      <alignment horizontal="left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top"/>
    </xf>
    <xf numFmtId="0" fontId="32" fillId="0" borderId="0" xfId="0" applyFont="1" applyAlignment="1">
      <alignment vertical="top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top" wrapText="1"/>
    </xf>
    <xf numFmtId="0" fontId="35" fillId="0" borderId="0" xfId="0" applyFont="1" applyAlignment="1">
      <alignment horizontal="center" vertical="top" wrapText="1"/>
    </xf>
    <xf numFmtId="0" fontId="37" fillId="0" borderId="1" xfId="0" applyFont="1" applyBorder="1" applyAlignment="1">
      <alignment horizontal="center"/>
    </xf>
    <xf numFmtId="0" fontId="38" fillId="0" borderId="15" xfId="0" applyFont="1" applyBorder="1" applyAlignment="1">
      <alignment horizontal="left"/>
    </xf>
    <xf numFmtId="0" fontId="39" fillId="0" borderId="18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43" fontId="40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center"/>
    </xf>
    <xf numFmtId="0" fontId="40" fillId="0" borderId="0" xfId="0" applyFont="1" applyAlignment="1">
      <alignment vertical="top" wrapText="1"/>
    </xf>
    <xf numFmtId="0" fontId="44" fillId="0" borderId="1" xfId="9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top" wrapText="1"/>
    </xf>
    <xf numFmtId="0" fontId="46" fillId="0" borderId="18" xfId="0" applyFont="1" applyBorder="1" applyAlignment="1">
      <alignment vertical="center" wrapText="1"/>
    </xf>
    <xf numFmtId="0" fontId="46" fillId="0" borderId="14" xfId="0" applyFont="1" applyBorder="1" applyAlignment="1">
      <alignment vertical="center" wrapText="1"/>
    </xf>
    <xf numFmtId="43" fontId="47" fillId="0" borderId="1" xfId="5" applyNumberFormat="1" applyFont="1" applyBorder="1" applyAlignment="1" applyProtection="1">
      <alignment horizontal="center" vertical="center" wrapText="1"/>
      <protection locked="0"/>
    </xf>
    <xf numFmtId="0" fontId="48" fillId="0" borderId="1" xfId="5" applyNumberFormat="1" applyFont="1" applyBorder="1" applyAlignment="1" applyProtection="1">
      <alignment horizontal="center" vertical="center" wrapText="1"/>
      <protection locked="0"/>
    </xf>
    <xf numFmtId="0" fontId="44" fillId="0" borderId="1" xfId="5" applyNumberFormat="1" applyFont="1" applyBorder="1" applyAlignment="1" applyProtection="1">
      <alignment horizontal="center" vertical="center" wrapText="1"/>
      <protection locked="0"/>
    </xf>
    <xf numFmtId="0" fontId="47" fillId="0" borderId="14" xfId="0" applyFont="1" applyBorder="1" applyAlignment="1">
      <alignment horizontal="left"/>
    </xf>
    <xf numFmtId="174" fontId="37" fillId="0" borderId="1" xfId="0" applyNumberFormat="1" applyFont="1" applyBorder="1" applyAlignment="1">
      <alignment horizontal="center"/>
    </xf>
    <xf numFmtId="0" fontId="38" fillId="0" borderId="15" xfId="0" applyFont="1" applyBorder="1"/>
    <xf numFmtId="0" fontId="38" fillId="0" borderId="14" xfId="0" applyFont="1" applyBorder="1"/>
    <xf numFmtId="0" fontId="37" fillId="0" borderId="15" xfId="0" applyFont="1" applyBorder="1" applyAlignment="1">
      <alignment horizontal="center"/>
    </xf>
    <xf numFmtId="0" fontId="47" fillId="0" borderId="15" xfId="0" applyFont="1" applyBorder="1"/>
    <xf numFmtId="0" fontId="47" fillId="0" borderId="14" xfId="0" applyFont="1" applyBorder="1"/>
    <xf numFmtId="0" fontId="49" fillId="0" borderId="1" xfId="5" applyNumberFormat="1" applyFont="1" applyBorder="1" applyAlignment="1" applyProtection="1">
      <alignment horizontal="center" vertical="center" wrapText="1"/>
      <protection locked="0"/>
    </xf>
    <xf numFmtId="0" fontId="37" fillId="0" borderId="29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7" fillId="0" borderId="15" xfId="0" applyFont="1" applyBorder="1" applyAlignment="1">
      <alignment vertical="center" wrapText="1"/>
    </xf>
    <xf numFmtId="0" fontId="40" fillId="0" borderId="18" xfId="0" applyFont="1" applyBorder="1" applyAlignment="1">
      <alignment vertical="center" wrapText="1"/>
    </xf>
    <xf numFmtId="0" fontId="40" fillId="0" borderId="14" xfId="0" applyFont="1" applyBorder="1" applyAlignment="1">
      <alignment vertical="center" wrapText="1"/>
    </xf>
    <xf numFmtId="0" fontId="42" fillId="0" borderId="1" xfId="5" applyNumberFormat="1" applyFont="1" applyBorder="1" applyAlignment="1" applyProtection="1">
      <alignment horizontal="center" vertical="center" wrapText="1"/>
      <protection locked="0"/>
    </xf>
    <xf numFmtId="0" fontId="42" fillId="0" borderId="1" xfId="9" applyFont="1" applyBorder="1" applyAlignment="1" applyProtection="1">
      <alignment horizontal="center" vertical="center" wrapText="1"/>
      <protection locked="0"/>
    </xf>
    <xf numFmtId="43" fontId="50" fillId="0" borderId="1" xfId="5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42" fillId="0" borderId="1" xfId="0" applyFont="1" applyBorder="1" applyAlignment="1" applyProtection="1">
      <alignment horizontal="center" vertical="center" wrapText="1"/>
      <protection locked="0"/>
    </xf>
    <xf numFmtId="1" fontId="52" fillId="0" borderId="0" xfId="6" applyNumberFormat="1" applyFont="1" applyAlignment="1" applyProtection="1">
      <alignment horizontal="center" vertical="center" wrapText="1"/>
      <protection hidden="1"/>
    </xf>
    <xf numFmtId="0" fontId="52" fillId="0" borderId="0" xfId="9" applyFont="1" applyAlignment="1">
      <alignment vertical="center" wrapText="1"/>
    </xf>
    <xf numFmtId="0" fontId="52" fillId="0" borderId="0" xfId="9" applyFont="1" applyAlignment="1">
      <alignment horizontal="center" vertical="center" wrapText="1"/>
    </xf>
    <xf numFmtId="1" fontId="52" fillId="0" borderId="0" xfId="9" applyNumberFormat="1" applyFont="1" applyAlignment="1">
      <alignment horizontal="center" vertical="center" wrapText="1"/>
    </xf>
    <xf numFmtId="1" fontId="53" fillId="0" borderId="0" xfId="6" applyNumberFormat="1" applyFont="1" applyAlignment="1" applyProtection="1">
      <alignment horizontal="left" vertical="top"/>
      <protection hidden="1"/>
    </xf>
    <xf numFmtId="1" fontId="54" fillId="0" borderId="0" xfId="6" applyNumberFormat="1" applyFont="1" applyAlignment="1" applyProtection="1">
      <alignment horizontal="center" vertical="top" wrapText="1"/>
      <protection hidden="1"/>
    </xf>
    <xf numFmtId="1" fontId="52" fillId="0" borderId="0" xfId="6" applyNumberFormat="1" applyFont="1" applyAlignment="1" applyProtection="1">
      <alignment horizontal="center" vertical="top" wrapText="1"/>
      <protection hidden="1"/>
    </xf>
    <xf numFmtId="0" fontId="52" fillId="0" borderId="0" xfId="10" applyFont="1" applyAlignment="1" applyProtection="1">
      <alignment horizontal="left" vertical="top" wrapText="1" shrinkToFit="1"/>
      <protection hidden="1"/>
    </xf>
    <xf numFmtId="1" fontId="53" fillId="0" borderId="1" xfId="6" applyNumberFormat="1" applyFont="1" applyBorder="1" applyAlignment="1" applyProtection="1">
      <alignment horizontal="center" vertical="center" wrapText="1"/>
      <protection hidden="1"/>
    </xf>
    <xf numFmtId="0" fontId="53" fillId="0" borderId="1" xfId="10" applyFont="1" applyBorder="1" applyAlignment="1" applyProtection="1">
      <alignment horizontal="center" vertical="center" wrapText="1" shrinkToFit="1"/>
      <protection hidden="1"/>
    </xf>
    <xf numFmtId="0" fontId="32" fillId="0" borderId="0" xfId="0" applyFont="1" applyAlignment="1">
      <alignment horizontal="center" vertical="center" wrapText="1"/>
    </xf>
    <xf numFmtId="0" fontId="45" fillId="0" borderId="1" xfId="0" applyFont="1" applyBorder="1" applyAlignment="1">
      <alignment vertical="top" wrapText="1"/>
    </xf>
    <xf numFmtId="0" fontId="42" fillId="0" borderId="1" xfId="10" applyFont="1" applyBorder="1" applyAlignment="1" applyProtection="1">
      <alignment horizontal="center" vertical="center" wrapText="1" shrinkToFit="1"/>
      <protection locked="0" hidden="1"/>
    </xf>
    <xf numFmtId="1" fontId="42" fillId="0" borderId="1" xfId="6" applyNumberFormat="1" applyFont="1" applyBorder="1" applyAlignment="1" applyProtection="1">
      <alignment horizontal="left" vertical="center" wrapText="1"/>
      <protection locked="0" hidden="1"/>
    </xf>
    <xf numFmtId="1" fontId="52" fillId="0" borderId="0" xfId="6" applyNumberFormat="1" applyFont="1" applyAlignment="1" applyProtection="1">
      <alignment horizontal="left" vertical="top" wrapText="1"/>
      <protection hidden="1"/>
    </xf>
    <xf numFmtId="1" fontId="53" fillId="0" borderId="0" xfId="6" applyNumberFormat="1" applyFont="1" applyAlignment="1" applyProtection="1">
      <alignment vertical="top"/>
      <protection hidden="1"/>
    </xf>
    <xf numFmtId="1" fontId="55" fillId="0" borderId="0" xfId="6" applyNumberFormat="1" applyFont="1" applyAlignment="1" applyProtection="1">
      <alignment vertical="top"/>
      <protection hidden="1"/>
    </xf>
    <xf numFmtId="0" fontId="56" fillId="0" borderId="0" xfId="10" applyFont="1" applyAlignment="1" applyProtection="1">
      <alignment horizontal="left" vertical="top" wrapText="1" shrinkToFit="1"/>
      <protection hidden="1"/>
    </xf>
    <xf numFmtId="1" fontId="53" fillId="0" borderId="0" xfId="6" applyNumberFormat="1" applyFont="1" applyAlignment="1" applyProtection="1">
      <alignment vertical="center"/>
      <protection hidden="1"/>
    </xf>
    <xf numFmtId="0" fontId="42" fillId="0" borderId="0" xfId="10" applyFont="1" applyAlignment="1" applyProtection="1">
      <alignment horizontal="left" wrapText="1" shrinkToFit="1"/>
      <protection locked="0" hidden="1"/>
    </xf>
    <xf numFmtId="1" fontId="56" fillId="0" borderId="0" xfId="6" applyNumberFormat="1" applyFont="1" applyAlignment="1" applyProtection="1">
      <alignment horizontal="center" vertical="top" wrapText="1"/>
      <protection hidden="1"/>
    </xf>
    <xf numFmtId="0" fontId="57" fillId="0" borderId="18" xfId="0" applyFont="1" applyBorder="1" applyAlignment="1">
      <alignment vertical="center" wrapText="1"/>
    </xf>
    <xf numFmtId="1" fontId="42" fillId="0" borderId="0" xfId="6" applyNumberFormat="1" applyFont="1" applyAlignment="1" applyProtection="1">
      <alignment horizontal="left" wrapText="1"/>
      <protection locked="0" hidden="1"/>
    </xf>
    <xf numFmtId="0" fontId="57" fillId="0" borderId="22" xfId="0" applyFont="1" applyBorder="1" applyAlignment="1">
      <alignment vertical="center" wrapText="1"/>
    </xf>
    <xf numFmtId="1" fontId="52" fillId="0" borderId="22" xfId="6" applyNumberFormat="1" applyFont="1" applyBorder="1" applyAlignment="1" applyProtection="1">
      <alignment horizontal="left" wrapText="1"/>
      <protection locked="0" hidden="1"/>
    </xf>
    <xf numFmtId="1" fontId="52" fillId="0" borderId="18" xfId="6" applyNumberFormat="1" applyFont="1" applyBorder="1" applyAlignment="1" applyProtection="1">
      <alignment horizontal="left" wrapText="1"/>
      <protection locked="0" hidden="1"/>
    </xf>
    <xf numFmtId="0" fontId="32" fillId="0" borderId="18" xfId="0" applyFont="1" applyBorder="1" applyAlignment="1">
      <alignment vertical="top" wrapText="1"/>
    </xf>
    <xf numFmtId="0" fontId="36" fillId="0" borderId="0" xfId="0" applyFont="1" applyAlignment="1">
      <alignment vertical="top"/>
    </xf>
    <xf numFmtId="0" fontId="54" fillId="0" borderId="0" xfId="0" applyFont="1" applyAlignment="1" applyProtection="1">
      <alignment horizontal="left" vertical="top" wrapText="1"/>
      <protection hidden="1"/>
    </xf>
    <xf numFmtId="0" fontId="54" fillId="0" borderId="0" xfId="0" applyFont="1" applyAlignment="1" applyProtection="1">
      <alignment horizontal="left" vertical="top" wrapText="1"/>
      <protection locked="0"/>
    </xf>
    <xf numFmtId="0" fontId="33" fillId="0" borderId="0" xfId="0" applyFont="1" applyAlignment="1">
      <alignment vertical="top" wrapText="1"/>
    </xf>
    <xf numFmtId="0" fontId="42" fillId="0" borderId="0" xfId="0" applyFont="1" applyAlignment="1" applyProtection="1">
      <alignment horizontal="left" vertical="center" wrapText="1"/>
      <protection locked="0"/>
    </xf>
    <xf numFmtId="0" fontId="53" fillId="0" borderId="1" xfId="0" applyFont="1" applyBorder="1" applyAlignment="1" applyProtection="1">
      <alignment horizontal="center" vertical="center" wrapText="1"/>
      <protection locked="0"/>
    </xf>
    <xf numFmtId="0" fontId="53" fillId="0" borderId="1" xfId="0" applyFont="1" applyBorder="1" applyAlignment="1" applyProtection="1">
      <alignment horizontal="center" vertical="top" wrapText="1"/>
      <protection locked="0"/>
    </xf>
    <xf numFmtId="0" fontId="59" fillId="0" borderId="0" xfId="0" applyFont="1" applyAlignment="1" applyProtection="1">
      <alignment vertical="center" wrapText="1"/>
      <protection locked="0"/>
    </xf>
    <xf numFmtId="0" fontId="59" fillId="0" borderId="1" xfId="0" applyFont="1" applyBorder="1" applyAlignment="1" applyProtection="1">
      <alignment horizontal="center" vertical="center" wrapText="1"/>
      <protection locked="0"/>
    </xf>
    <xf numFmtId="0" fontId="54" fillId="0" borderId="1" xfId="0" applyFont="1" applyBorder="1" applyAlignment="1" applyProtection="1">
      <alignment horizontal="center" vertical="center" wrapText="1"/>
      <protection locked="0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 applyProtection="1">
      <alignment vertical="center" wrapText="1"/>
      <protection locked="0"/>
    </xf>
    <xf numFmtId="0" fontId="60" fillId="0" borderId="1" xfId="0" applyFont="1" applyBorder="1" applyAlignment="1">
      <alignment horizontal="center" vertical="top" wrapText="1"/>
    </xf>
    <xf numFmtId="0" fontId="60" fillId="0" borderId="1" xfId="0" applyFont="1" applyBorder="1" applyAlignment="1">
      <alignment horizontal="center" vertical="center" wrapText="1"/>
    </xf>
    <xf numFmtId="0" fontId="55" fillId="0" borderId="0" xfId="0" applyFont="1" applyAlignment="1">
      <alignment horizontal="left"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 applyProtection="1">
      <alignment vertical="center" wrapText="1"/>
      <protection locked="0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top"/>
    </xf>
    <xf numFmtId="0" fontId="54" fillId="0" borderId="0" xfId="0" applyFont="1" applyAlignment="1">
      <alignment vertical="center" wrapText="1"/>
    </xf>
    <xf numFmtId="0" fontId="54" fillId="0" borderId="0" xfId="0" applyFont="1" applyAlignment="1" applyProtection="1">
      <alignment vertical="center" wrapText="1"/>
      <protection locked="0"/>
    </xf>
    <xf numFmtId="0" fontId="52" fillId="0" borderId="0" xfId="0" applyFont="1" applyAlignment="1">
      <alignment horizontal="left" vertical="center" wrapText="1"/>
    </xf>
    <xf numFmtId="0" fontId="55" fillId="0" borderId="31" xfId="0" applyFont="1" applyBorder="1" applyAlignment="1">
      <alignment vertical="center" wrapText="1"/>
    </xf>
    <xf numFmtId="0" fontId="52" fillId="0" borderId="0" xfId="0" applyFont="1" applyAlignment="1">
      <alignment vertical="top" wrapText="1"/>
    </xf>
    <xf numFmtId="10" fontId="52" fillId="0" borderId="0" xfId="0" applyNumberFormat="1" applyFont="1" applyAlignment="1" applyProtection="1">
      <alignment horizontal="center" vertical="center" wrapText="1"/>
      <protection locked="0"/>
    </xf>
    <xf numFmtId="9" fontId="52" fillId="0" borderId="0" xfId="0" applyNumberFormat="1" applyFont="1" applyAlignment="1" applyProtection="1">
      <alignment horizontal="center" vertical="center" wrapText="1"/>
      <protection locked="0"/>
    </xf>
    <xf numFmtId="0" fontId="55" fillId="0" borderId="0" xfId="0" applyFont="1" applyAlignment="1">
      <alignment vertical="center" wrapText="1"/>
    </xf>
    <xf numFmtId="0" fontId="55" fillId="0" borderId="0" xfId="11" applyFont="1" applyAlignment="1">
      <alignment horizontal="left" vertical="top"/>
    </xf>
    <xf numFmtId="0" fontId="52" fillId="0" borderId="0" xfId="11" applyFont="1" applyAlignment="1">
      <alignment horizontal="left" vertical="top"/>
    </xf>
    <xf numFmtId="0" fontId="52" fillId="0" borderId="0" xfId="6" applyFont="1" applyAlignment="1">
      <alignment horizontal="left" vertical="top" wrapText="1"/>
    </xf>
    <xf numFmtId="0" fontId="55" fillId="0" borderId="0" xfId="6" applyFont="1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62" fillId="0" borderId="0" xfId="11" applyFont="1" applyAlignment="1" applyProtection="1">
      <alignment vertical="top"/>
      <protection locked="0"/>
    </xf>
    <xf numFmtId="0" fontId="52" fillId="0" borderId="0" xfId="11" applyFont="1" applyAlignment="1">
      <alignment vertical="top"/>
    </xf>
    <xf numFmtId="0" fontId="54" fillId="0" borderId="0" xfId="6" applyFont="1" applyAlignment="1">
      <alignment horizontal="left" vertical="top"/>
    </xf>
    <xf numFmtId="0" fontId="54" fillId="0" borderId="0" xfId="6" applyFont="1" applyAlignment="1">
      <alignment vertical="top"/>
    </xf>
    <xf numFmtId="0" fontId="63" fillId="0" borderId="0" xfId="11" applyFont="1" applyAlignment="1">
      <alignment horizontal="left" vertical="top"/>
    </xf>
    <xf numFmtId="1" fontId="52" fillId="0" borderId="0" xfId="0" applyNumberFormat="1" applyFont="1" applyAlignment="1" applyProtection="1">
      <alignment horizontal="left" vertical="top" wrapText="1"/>
      <protection hidden="1"/>
    </xf>
    <xf numFmtId="0" fontId="52" fillId="0" borderId="0" xfId="6" applyFont="1" applyAlignment="1" applyProtection="1">
      <alignment horizontal="left" vertical="top" wrapText="1"/>
      <protection locked="0"/>
    </xf>
    <xf numFmtId="0" fontId="52" fillId="0" borderId="0" xfId="0" applyFont="1" applyAlignment="1" applyProtection="1">
      <alignment horizontal="left" vertical="top" wrapText="1"/>
      <protection locked="0"/>
    </xf>
    <xf numFmtId="0" fontId="52" fillId="0" borderId="0" xfId="9" applyFont="1" applyAlignment="1">
      <alignment horizontal="left" vertical="top" wrapText="1"/>
    </xf>
    <xf numFmtId="0" fontId="32" fillId="0" borderId="0" xfId="0" applyFont="1" applyAlignment="1" applyProtection="1">
      <alignment horizontal="left" vertical="top" wrapText="1"/>
      <protection locked="0"/>
    </xf>
    <xf numFmtId="1" fontId="64" fillId="0" borderId="0" xfId="6" applyNumberFormat="1" applyFont="1" applyAlignment="1" applyProtection="1">
      <alignment horizontal="left" vertical="top" wrapText="1"/>
      <protection hidden="1"/>
    </xf>
    <xf numFmtId="0" fontId="65" fillId="0" borderId="0" xfId="0" applyFont="1" applyAlignment="1" applyProtection="1">
      <alignment horizontal="left" vertical="top" wrapText="1"/>
      <protection locked="0"/>
    </xf>
    <xf numFmtId="0" fontId="65" fillId="0" borderId="0" xfId="0" applyFont="1" applyAlignment="1">
      <alignment vertical="top" wrapText="1"/>
    </xf>
    <xf numFmtId="0" fontId="64" fillId="0" borderId="0" xfId="0" applyFont="1" applyAlignment="1" applyProtection="1">
      <alignment horizontal="left" vertical="top" wrapText="1"/>
      <protection locked="0"/>
    </xf>
    <xf numFmtId="0" fontId="65" fillId="0" borderId="0" xfId="0" applyFont="1" applyAlignment="1">
      <alignment horizontal="left" vertical="top" wrapText="1"/>
    </xf>
    <xf numFmtId="0" fontId="64" fillId="0" borderId="0" xfId="9" applyFont="1" applyAlignment="1">
      <alignment horizontal="left" vertical="top" wrapText="1"/>
    </xf>
    <xf numFmtId="0" fontId="64" fillId="0" borderId="0" xfId="6" applyFont="1" applyAlignment="1" applyProtection="1">
      <alignment horizontal="left" vertical="top" wrapText="1"/>
      <protection locked="0"/>
    </xf>
    <xf numFmtId="0" fontId="64" fillId="0" borderId="0" xfId="11" applyFont="1" applyAlignment="1">
      <alignment horizontal="left" vertical="top" wrapText="1"/>
    </xf>
    <xf numFmtId="0" fontId="64" fillId="0" borderId="0" xfId="11" applyFont="1" applyAlignment="1">
      <alignment horizontal="left" vertical="top"/>
    </xf>
    <xf numFmtId="1" fontId="64" fillId="0" borderId="0" xfId="0" applyNumberFormat="1" applyFont="1" applyAlignment="1" applyProtection="1">
      <alignment horizontal="left" vertical="top" wrapText="1"/>
      <protection hidden="1"/>
    </xf>
    <xf numFmtId="164" fontId="44" fillId="0" borderId="1" xfId="5" applyFont="1" applyBorder="1" applyAlignment="1" applyProtection="1">
      <alignment horizontal="center" vertical="center" wrapText="1"/>
      <protection locked="0"/>
    </xf>
    <xf numFmtId="164" fontId="44" fillId="0" borderId="1" xfId="5" applyFont="1" applyBorder="1" applyAlignment="1" applyProtection="1">
      <alignment horizontal="right" vertical="center" wrapText="1"/>
      <protection locked="0"/>
    </xf>
    <xf numFmtId="0" fontId="44" fillId="0" borderId="1" xfId="5" applyNumberFormat="1" applyFont="1" applyBorder="1" applyAlignment="1" applyProtection="1">
      <alignment horizontal="right" vertical="center" wrapText="1"/>
      <protection locked="0"/>
    </xf>
    <xf numFmtId="0" fontId="48" fillId="0" borderId="1" xfId="5" applyNumberFormat="1" applyFont="1" applyBorder="1" applyAlignment="1" applyProtection="1">
      <alignment horizontal="right" vertical="center" wrapText="1"/>
      <protection locked="0"/>
    </xf>
    <xf numFmtId="0" fontId="4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7" fontId="4" fillId="0" borderId="0" xfId="2" applyNumberFormat="1" applyFont="1" applyBorder="1" applyAlignment="1">
      <alignment horizontal="center"/>
    </xf>
    <xf numFmtId="167" fontId="4" fillId="0" borderId="0" xfId="2" applyNumberFormat="1" applyFont="1" applyFill="1" applyBorder="1" applyAlignment="1">
      <alignment horizontal="center"/>
    </xf>
    <xf numFmtId="167" fontId="3" fillId="0" borderId="0" xfId="2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2" borderId="15" xfId="1" applyFont="1" applyFill="1" applyBorder="1" applyAlignment="1" applyProtection="1">
      <alignment horizontal="center"/>
    </xf>
    <xf numFmtId="43" fontId="3" fillId="2" borderId="18" xfId="1" applyFont="1" applyFill="1" applyBorder="1" applyAlignment="1" applyProtection="1">
      <alignment horizontal="center"/>
    </xf>
    <xf numFmtId="0" fontId="3" fillId="2" borderId="15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169" fontId="20" fillId="0" borderId="0" xfId="0" applyNumberFormat="1" applyFont="1" applyAlignment="1">
      <alignment horizontal="center"/>
    </xf>
    <xf numFmtId="0" fontId="18" fillId="0" borderId="22" xfId="0" applyFont="1" applyBorder="1" applyAlignment="1">
      <alignment vertical="top" wrapText="1"/>
    </xf>
    <xf numFmtId="0" fontId="26" fillId="6" borderId="20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6" borderId="15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33" fillId="0" borderId="22" xfId="0" applyFont="1" applyBorder="1" applyAlignment="1" applyProtection="1">
      <alignment horizontal="left" vertical="center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32" fillId="0" borderId="22" xfId="0" applyFont="1" applyBorder="1" applyAlignment="1" applyProtection="1">
      <alignment horizontal="left" vertical="center"/>
      <protection locked="0"/>
    </xf>
    <xf numFmtId="0" fontId="30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24" xfId="0" applyFont="1" applyBorder="1" applyAlignment="1" applyProtection="1">
      <alignment horizontal="left" vertical="center" wrapText="1"/>
      <protection locked="0"/>
    </xf>
    <xf numFmtId="0" fontId="33" fillId="0" borderId="22" xfId="0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top" wrapText="1"/>
    </xf>
    <xf numFmtId="0" fontId="38" fillId="0" borderId="15" xfId="0" applyFont="1" applyBorder="1" applyAlignment="1">
      <alignment horizontal="left" wrapText="1"/>
    </xf>
    <xf numFmtId="0" fontId="38" fillId="0" borderId="18" xfId="0" applyFont="1" applyBorder="1" applyAlignment="1">
      <alignment horizontal="left" wrapText="1"/>
    </xf>
    <xf numFmtId="0" fontId="38" fillId="0" borderId="14" xfId="0" applyFont="1" applyBorder="1" applyAlignment="1">
      <alignment horizontal="left" wrapText="1"/>
    </xf>
    <xf numFmtId="1" fontId="42" fillId="0" borderId="1" xfId="6" applyNumberFormat="1" applyFont="1" applyBorder="1" applyAlignment="1" applyProtection="1">
      <alignment horizontal="center" vertical="center" wrapText="1"/>
      <protection locked="0" hidden="1"/>
    </xf>
    <xf numFmtId="0" fontId="33" fillId="0" borderId="18" xfId="0" applyFont="1" applyBorder="1" applyAlignment="1" applyProtection="1">
      <alignment horizontal="left" vertical="center"/>
      <protection locked="0"/>
    </xf>
    <xf numFmtId="17" fontId="32" fillId="0" borderId="22" xfId="0" applyNumberFormat="1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1" fontId="42" fillId="0" borderId="15" xfId="6" applyNumberFormat="1" applyFont="1" applyBorder="1" applyAlignment="1" applyProtection="1">
      <alignment horizontal="center" vertical="center" wrapText="1"/>
      <protection locked="0" hidden="1"/>
    </xf>
    <xf numFmtId="1" fontId="42" fillId="0" borderId="18" xfId="6" applyNumberFormat="1" applyFont="1" applyBorder="1" applyAlignment="1" applyProtection="1">
      <alignment horizontal="center" vertical="center" wrapText="1"/>
      <protection locked="0" hidden="1"/>
    </xf>
    <xf numFmtId="1" fontId="42" fillId="0" borderId="14" xfId="6" applyNumberFormat="1" applyFont="1" applyBorder="1" applyAlignment="1" applyProtection="1">
      <alignment horizontal="center" vertical="center" wrapText="1"/>
      <protection locked="0" hidden="1"/>
    </xf>
    <xf numFmtId="0" fontId="35" fillId="0" borderId="15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172" fontId="53" fillId="0" borderId="1" xfId="6" applyNumberFormat="1" applyFont="1" applyBorder="1" applyAlignment="1" applyProtection="1">
      <alignment horizontal="center" vertical="center" wrapText="1"/>
      <protection hidden="1"/>
    </xf>
    <xf numFmtId="0" fontId="53" fillId="0" borderId="1" xfId="10" applyFont="1" applyBorder="1" applyAlignment="1" applyProtection="1">
      <alignment horizontal="center" vertical="center" wrapText="1" shrinkToFit="1"/>
      <protection hidden="1"/>
    </xf>
    <xf numFmtId="0" fontId="51" fillId="0" borderId="15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1" fontId="52" fillId="0" borderId="0" xfId="6" applyNumberFormat="1" applyFont="1" applyAlignment="1" applyProtection="1">
      <alignment horizontal="center" vertical="center" wrapText="1"/>
      <protection hidden="1"/>
    </xf>
    <xf numFmtId="172" fontId="42" fillId="0" borderId="1" xfId="6" applyNumberFormat="1" applyFont="1" applyBorder="1" applyAlignment="1" applyProtection="1">
      <alignment horizontal="left" vertical="center" wrapText="1"/>
      <protection locked="0" hidden="1"/>
    </xf>
    <xf numFmtId="0" fontId="42" fillId="0" borderId="1" xfId="10" applyFont="1" applyBorder="1" applyAlignment="1" applyProtection="1">
      <alignment horizontal="center" vertical="center" wrapText="1" shrinkToFit="1"/>
      <protection locked="0" hidden="1"/>
    </xf>
    <xf numFmtId="172" fontId="42" fillId="0" borderId="15" xfId="6" applyNumberFormat="1" applyFont="1" applyBorder="1" applyAlignment="1" applyProtection="1">
      <alignment horizontal="center" vertical="center" wrapText="1"/>
      <protection locked="0" hidden="1"/>
    </xf>
    <xf numFmtId="172" fontId="42" fillId="0" borderId="18" xfId="6" applyNumberFormat="1" applyFont="1" applyBorder="1" applyAlignment="1" applyProtection="1">
      <alignment horizontal="center" vertical="center" wrapText="1"/>
      <protection locked="0" hidden="1"/>
    </xf>
    <xf numFmtId="172" fontId="42" fillId="0" borderId="14" xfId="6" applyNumberFormat="1" applyFont="1" applyBorder="1" applyAlignment="1" applyProtection="1">
      <alignment horizontal="center" vertical="center" wrapText="1"/>
      <protection locked="0" hidden="1"/>
    </xf>
    <xf numFmtId="0" fontId="42" fillId="0" borderId="15" xfId="10" applyFont="1" applyBorder="1" applyAlignment="1" applyProtection="1">
      <alignment horizontal="center" vertical="center" wrapText="1" shrinkToFit="1"/>
      <protection locked="0" hidden="1"/>
    </xf>
    <xf numFmtId="0" fontId="42" fillId="0" borderId="14" xfId="10" applyFont="1" applyBorder="1" applyAlignment="1" applyProtection="1">
      <alignment horizontal="center" vertical="center" wrapText="1" shrinkToFit="1"/>
      <protection locked="0" hidden="1"/>
    </xf>
    <xf numFmtId="1" fontId="52" fillId="0" borderId="18" xfId="6" quotePrefix="1" applyNumberFormat="1" applyFont="1" applyBorder="1" applyAlignment="1" applyProtection="1">
      <alignment horizontal="left"/>
      <protection locked="0" hidden="1"/>
    </xf>
    <xf numFmtId="1" fontId="52" fillId="0" borderId="18" xfId="6" applyNumberFormat="1" applyFont="1" applyBorder="1" applyAlignment="1" applyProtection="1">
      <alignment horizontal="left"/>
      <protection locked="0" hidden="1"/>
    </xf>
    <xf numFmtId="172" fontId="52" fillId="0" borderId="0" xfId="6" applyNumberFormat="1" applyFont="1" applyAlignment="1" applyProtection="1">
      <alignment horizontal="center" vertical="center" wrapText="1"/>
      <protection hidden="1"/>
    </xf>
    <xf numFmtId="0" fontId="32" fillId="0" borderId="0" xfId="0" quotePrefix="1" applyFont="1" applyAlignment="1">
      <alignment horizontal="left" vertical="top" wrapText="1"/>
    </xf>
    <xf numFmtId="1" fontId="42" fillId="0" borderId="22" xfId="6" applyNumberFormat="1" applyFont="1" applyBorder="1" applyAlignment="1" applyProtection="1">
      <alignment horizontal="left" wrapText="1"/>
      <protection locked="0" hidden="1"/>
    </xf>
    <xf numFmtId="0" fontId="32" fillId="0" borderId="22" xfId="0" quotePrefix="1" applyFont="1" applyBorder="1" applyAlignment="1">
      <alignment horizontal="left" vertical="top" wrapText="1"/>
    </xf>
    <xf numFmtId="0" fontId="59" fillId="0" borderId="1" xfId="0" applyFont="1" applyBorder="1" applyAlignment="1" applyProtection="1">
      <alignment horizontal="center" vertical="center" wrapText="1"/>
      <protection locked="0"/>
    </xf>
    <xf numFmtId="1" fontId="42" fillId="0" borderId="0" xfId="6" applyNumberFormat="1" applyFont="1" applyAlignment="1" applyProtection="1">
      <alignment horizontal="left" wrapText="1"/>
      <protection locked="0" hidden="1"/>
    </xf>
    <xf numFmtId="0" fontId="36" fillId="0" borderId="1" xfId="0" applyFont="1" applyBorder="1" applyAlignment="1">
      <alignment horizontal="center" vertical="top"/>
    </xf>
    <xf numFmtId="0" fontId="58" fillId="0" borderId="0" xfId="0" applyFont="1" applyAlignment="1" applyProtection="1">
      <alignment horizontal="left" vertical="center" wrapText="1"/>
      <protection locked="0"/>
    </xf>
    <xf numFmtId="0" fontId="53" fillId="0" borderId="1" xfId="0" applyFont="1" applyBorder="1" applyAlignment="1" applyProtection="1">
      <alignment horizontal="center" vertical="center" wrapText="1"/>
      <protection locked="0"/>
    </xf>
    <xf numFmtId="0" fontId="59" fillId="0" borderId="15" xfId="0" applyFont="1" applyBorder="1" applyAlignment="1" applyProtection="1">
      <alignment horizontal="center" vertical="center" wrapText="1"/>
      <protection locked="0"/>
    </xf>
    <xf numFmtId="0" fontId="59" fillId="0" borderId="14" xfId="0" applyFont="1" applyBorder="1" applyAlignment="1" applyProtection="1">
      <alignment horizontal="center" vertical="center" wrapText="1"/>
      <protection locked="0"/>
    </xf>
    <xf numFmtId="0" fontId="59" fillId="0" borderId="22" xfId="0" applyFont="1" applyBorder="1" applyAlignment="1" applyProtection="1">
      <alignment horizontal="center" vertical="center" wrapText="1"/>
      <protection locked="0"/>
    </xf>
    <xf numFmtId="0" fontId="53" fillId="0" borderId="15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10" fontId="54" fillId="0" borderId="29" xfId="0" applyNumberFormat="1" applyFont="1" applyBorder="1" applyAlignment="1" applyProtection="1">
      <alignment horizontal="center" vertical="center" wrapText="1"/>
      <protection locked="0"/>
    </xf>
    <xf numFmtId="10" fontId="54" fillId="0" borderId="30" xfId="0" applyNumberFormat="1" applyFont="1" applyBorder="1" applyAlignment="1" applyProtection="1">
      <alignment horizontal="center" vertical="center" wrapText="1"/>
      <protection locked="0"/>
    </xf>
    <xf numFmtId="10" fontId="54" fillId="0" borderId="11" xfId="0" applyNumberFormat="1" applyFont="1" applyBorder="1" applyAlignment="1" applyProtection="1">
      <alignment horizontal="center" vertical="center" wrapText="1"/>
      <protection locked="0"/>
    </xf>
    <xf numFmtId="10" fontId="54" fillId="0" borderId="12" xfId="0" applyNumberFormat="1" applyFont="1" applyBorder="1" applyAlignment="1" applyProtection="1">
      <alignment horizontal="center" vertical="center" wrapText="1"/>
      <protection locked="0"/>
    </xf>
    <xf numFmtId="10" fontId="52" fillId="0" borderId="29" xfId="0" applyNumberFormat="1" applyFont="1" applyBorder="1" applyAlignment="1" applyProtection="1">
      <alignment horizontal="center" vertical="center" wrapText="1"/>
      <protection locked="0"/>
    </xf>
    <xf numFmtId="10" fontId="52" fillId="0" borderId="30" xfId="0" applyNumberFormat="1" applyFont="1" applyBorder="1" applyAlignment="1" applyProtection="1">
      <alignment horizontal="center" vertical="center" wrapText="1"/>
      <protection locked="0"/>
    </xf>
    <xf numFmtId="10" fontId="52" fillId="0" borderId="11" xfId="0" applyNumberFormat="1" applyFont="1" applyBorder="1" applyAlignment="1" applyProtection="1">
      <alignment horizontal="center" vertical="center" wrapText="1"/>
      <protection locked="0"/>
    </xf>
    <xf numFmtId="10" fontId="52" fillId="0" borderId="12" xfId="0" applyNumberFormat="1" applyFont="1" applyBorder="1" applyAlignment="1" applyProtection="1">
      <alignment horizontal="center" vertical="center" wrapText="1"/>
      <protection locked="0"/>
    </xf>
    <xf numFmtId="9" fontId="54" fillId="0" borderId="29" xfId="0" applyNumberFormat="1" applyFont="1" applyBorder="1" applyAlignment="1" applyProtection="1">
      <alignment horizontal="center" vertical="center" wrapText="1"/>
      <protection locked="0"/>
    </xf>
    <xf numFmtId="9" fontId="54" fillId="0" borderId="30" xfId="0" applyNumberFormat="1" applyFont="1" applyBorder="1" applyAlignment="1" applyProtection="1">
      <alignment horizontal="center" vertical="center" wrapText="1"/>
      <protection locked="0"/>
    </xf>
    <xf numFmtId="9" fontId="54" fillId="0" borderId="11" xfId="0" applyNumberFormat="1" applyFont="1" applyBorder="1" applyAlignment="1" applyProtection="1">
      <alignment horizontal="center" vertical="center" wrapText="1"/>
      <protection locked="0"/>
    </xf>
    <xf numFmtId="9" fontId="54" fillId="0" borderId="12" xfId="0" applyNumberFormat="1" applyFont="1" applyBorder="1" applyAlignment="1" applyProtection="1">
      <alignment horizontal="center" vertical="center" wrapText="1"/>
      <protection locked="0"/>
    </xf>
    <xf numFmtId="0" fontId="54" fillId="0" borderId="22" xfId="11" applyFont="1" applyBorder="1" applyAlignment="1" applyProtection="1">
      <alignment horizontal="center" vertical="top"/>
      <protection locked="0"/>
    </xf>
    <xf numFmtId="0" fontId="54" fillId="0" borderId="22" xfId="11" applyFont="1" applyBorder="1" applyAlignment="1">
      <alignment horizontal="center" vertical="top"/>
    </xf>
    <xf numFmtId="0" fontId="62" fillId="0" borderId="0" xfId="11" applyFont="1" applyAlignment="1" applyProtection="1">
      <alignment horizontal="center" vertical="center"/>
      <protection locked="0"/>
    </xf>
    <xf numFmtId="0" fontId="54" fillId="0" borderId="0" xfId="11" applyFont="1" applyAlignment="1">
      <alignment horizontal="center" vertical="top"/>
    </xf>
    <xf numFmtId="0" fontId="54" fillId="0" borderId="0" xfId="11" quotePrefix="1" applyFont="1" applyAlignment="1">
      <alignment horizontal="center" vertical="top"/>
    </xf>
    <xf numFmtId="0" fontId="66" fillId="0" borderId="0" xfId="0" quotePrefix="1" applyFont="1" applyAlignment="1">
      <alignment horizontal="left" vertical="top" wrapText="1"/>
    </xf>
    <xf numFmtId="1" fontId="67" fillId="0" borderId="18" xfId="6" quotePrefix="1" applyNumberFormat="1" applyFont="1" applyBorder="1" applyAlignment="1" applyProtection="1">
      <alignment horizontal="left"/>
      <protection locked="0" hidden="1"/>
    </xf>
    <xf numFmtId="1" fontId="67" fillId="0" borderId="18" xfId="6" applyNumberFormat="1" applyFont="1" applyBorder="1" applyAlignment="1" applyProtection="1">
      <alignment horizontal="left"/>
      <protection locked="0" hidden="1"/>
    </xf>
    <xf numFmtId="0" fontId="66" fillId="0" borderId="18" xfId="0" quotePrefix="1" applyFont="1" applyBorder="1" applyAlignment="1">
      <alignment horizontal="left" vertical="top" wrapText="1"/>
    </xf>
  </cellXfs>
  <cellStyles count="12">
    <cellStyle name="Comma" xfId="1" builtinId="3"/>
    <cellStyle name="Comma 10 2" xfId="8" xr:uid="{26AEFF6A-B718-4FCF-8419-E99A2F52BE31}"/>
    <cellStyle name="Comma 2 4" xfId="5" xr:uid="{ABA45DBE-4B1C-497C-8490-1141D258AE65}"/>
    <cellStyle name="Currency" xfId="2" builtinId="4"/>
    <cellStyle name="Normal" xfId="0" builtinId="0"/>
    <cellStyle name="Normal 2 2" xfId="6" xr:uid="{9EA10B7A-A332-42EB-8D42-051CE333F14D}"/>
    <cellStyle name="Normal 2 2 2 2" xfId="7" xr:uid="{DB3FCF8A-B650-4AFF-BBBE-4BC4202D665B}"/>
    <cellStyle name="Normal 3" xfId="4" xr:uid="{2E1BB132-E9E8-40F0-9645-1C63F659E670}"/>
    <cellStyle name="Normal_Aspect ID worksheet_meatprep 2" xfId="9" xr:uid="{72CC2C5A-CFC2-446C-83EE-EEBD08973DC9}"/>
    <cellStyle name="Normal_Book1" xfId="11" xr:uid="{CC4FC164-B890-42E4-8695-AF178CCC6E31}"/>
    <cellStyle name="Normal_Consolidated HIRAC, TIP - 051708 2" xfId="10" xr:uid="{6D039374-2ACB-4EA8-9966-6AD2C2DC9E27}"/>
    <cellStyle name="Percent" xfId="3" builtinId="5"/>
  </cellStyles>
  <dxfs count="27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externalLink" Target="externalLinks/externalLink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externalLink" Target="externalLinks/externalLink1.xml" /><Relationship Id="rId30" Type="http://schemas.openxmlformats.org/officeDocument/2006/relationships/externalLink" Target="externalLinks/externalLink4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5F989CD8-2C34-4764-A226-D0FA780A1AD1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16836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BC9C97-826A-4706-8F81-EB5A9F3E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5276"/>
          <a:ext cx="581024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BABC6A18-B8D0-45DF-96D4-1ABBF70FD433}"/>
            </a:ext>
          </a:extLst>
        </xdr:cNvPr>
        <xdr:cNvSpPr>
          <a:spLocks noChangeShapeType="1"/>
        </xdr:cNvSpPr>
      </xdr:nvSpPr>
      <xdr:spPr bwMode="auto">
        <a:xfrm flipV="1">
          <a:off x="59055" y="1095375"/>
          <a:ext cx="616836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20F1CE-24AA-4936-82A3-BA3C1E815FBC}"/>
            </a:ext>
          </a:extLst>
        </xdr:cNvPr>
        <xdr:cNvSpPr txBox="1"/>
      </xdr:nvSpPr>
      <xdr:spPr>
        <a:xfrm>
          <a:off x="2188498" y="1696372"/>
          <a:ext cx="501015" cy="255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C92F7EBC-B450-47E1-A3CC-695283F4C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5275"/>
          <a:ext cx="6702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9ADEC536-9099-429D-8992-10E43B7C1F33}"/>
            </a:ext>
          </a:extLst>
        </xdr:cNvPr>
        <xdr:cNvSpPr>
          <a:spLocks noChangeShapeType="1"/>
        </xdr:cNvSpPr>
      </xdr:nvSpPr>
      <xdr:spPr bwMode="auto">
        <a:xfrm flipV="1">
          <a:off x="69663" y="10467975"/>
          <a:ext cx="616201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90361ED-858B-44E9-AAE7-2D96BAEBAAA3}"/>
            </a:ext>
          </a:extLst>
        </xdr:cNvPr>
        <xdr:cNvSpPr txBox="1">
          <a:spLocks noChangeArrowheads="1"/>
        </xdr:cNvSpPr>
      </xdr:nvSpPr>
      <xdr:spPr bwMode="auto">
        <a:xfrm>
          <a:off x="4189878" y="9886390"/>
          <a:ext cx="1993527" cy="373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F80834AA-4FA9-42D6-80B9-BE4C5ADB7F1C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2D9B1EB1-7153-466B-9573-F1F6FD3D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6B8A3B79-C86C-4AE3-9265-A61E5A4A3823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F232CF-2E84-4979-A064-F2C9FDA4D0DF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34D24061-C7A5-491A-B874-AA781B02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BEBF939C-AE2C-4948-8DCE-D3370D2A49D4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D740A26-6810-4E1B-B4CB-7C3C3779E82D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6EC9F630-960E-4DBF-B172-DAA5C14BB9F5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9ED42D30-37AE-4FA2-85A3-E2691E89A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583B99F-C2BE-4B8C-864E-BF6AD206DC5C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31D47-DAAC-40FE-A0F3-D32705A0EB0E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D70CFBF0-518B-4DBC-A82C-3447C3AF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A014BEAB-F459-4D8C-9661-29CB2212D34D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1538511B-A1B3-42F8-81EC-C9B3234FD97E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16B261FD-92E5-4AAC-B835-5E420316B7DB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22729BA-8668-4A9D-9FF1-076FB8B8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F9A763CC-B099-4F12-A42D-AC8AD4429049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AC78E5-3CCE-4099-A2DB-05D18C2F5A9B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24D477B2-0D78-4E8A-A74D-D06F5043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AEDE93F7-E941-4703-91C4-15FFF11942F7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5A5168CD-0A8A-4D51-8603-6FCD72EDF32B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A06E6A00-AEB6-48B3-A090-9826CE7FAFF2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C9D8E4A2-C1FE-41A8-906E-B7F03406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5DDD22E0-F45D-407D-8361-E3A8E9753B13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C7930-008C-43E1-AFC3-C7011E9E0524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E21F69FF-912E-4046-B502-487C8AED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BE4D64C9-8EEA-40B9-B34F-40F950FFCF85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8D224DA2-7970-4A1C-91AF-533EEC1C7583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C8032491-18A2-4C28-B960-4E13B69A94C1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D520E5A9-73F5-4508-9429-C41D4387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4BCD7116-3A59-48FF-8E51-395F2627F89D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90BB3B-1036-43D2-A055-794D6127F5B9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96B29FA4-0B39-4158-928C-E0B79FCCC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FE4C598E-BFA8-4D3F-A193-A137FA72B61D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8786D71E-8EF7-402D-8571-C0E32613328B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64EA50A1-03BC-415F-8B25-171FC0C4480E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B181C92F-95E6-41DC-9D10-63A9F1E1E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F1DC0579-A2F6-455B-9201-4184436205E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984803-82C2-4036-8904-5BA133F9AE66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DFFD83E7-FAB3-4D2A-981B-05CE2CAF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DD62B374-DAD7-4B9F-AC66-4C2AE8551B11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4A4997B7-7401-4743-89CB-45B27AA6135A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9F8BE8A6-7165-48ED-A8F8-1B9C51BC1B24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F54602E1-BD6D-4EE7-9DD7-B868B75DA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FD8849B6-1B68-4FDC-AEB6-2D91A113C59A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8D46EB-EAAB-41DD-AB45-B05609FDD489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78A5CE8B-20F4-479D-9358-2DA620165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947D2696-2D33-4AB5-918B-30F566B50E02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3E7D108-9B94-4FB4-B989-705BB369F0FA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486F67E7-9D59-4A03-8ECF-E0FF1CF92C8A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58FC7B35-FF4D-4E66-B488-941FE0F5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27105265-A9CF-45F6-BA2F-D65EEF02FE18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1921798</xdr:colOff>
      <xdr:row>7</xdr:row>
      <xdr:rowOff>191422</xdr:rowOff>
    </xdr:from>
    <xdr:to>
      <xdr:col>1</xdr:col>
      <xdr:colOff>2422813</xdr:colOff>
      <xdr:row>9</xdr:row>
      <xdr:rowOff>46528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EFC957-7834-4FE1-8D9A-8B57D3C08E49}"/>
            </a:ext>
          </a:extLst>
        </xdr:cNvPr>
        <xdr:cNvSpPr txBox="1"/>
      </xdr:nvSpPr>
      <xdr:spPr>
        <a:xfrm>
          <a:off x="2196118" y="1677322"/>
          <a:ext cx="501015" cy="25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C939A79A-BCFB-481C-9018-D76F86627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69663</xdr:colOff>
      <xdr:row>50</xdr:row>
      <xdr:rowOff>142875</xdr:rowOff>
    </xdr:from>
    <xdr:to>
      <xdr:col>6</xdr:col>
      <xdr:colOff>2323</xdr:colOff>
      <xdr:row>50</xdr:row>
      <xdr:rowOff>142875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582AA980-6461-425C-8CA5-E581500E5E6D}"/>
            </a:ext>
          </a:extLst>
        </xdr:cNvPr>
        <xdr:cNvSpPr>
          <a:spLocks noChangeShapeType="1"/>
        </xdr:cNvSpPr>
      </xdr:nvSpPr>
      <xdr:spPr bwMode="auto">
        <a:xfrm flipV="1">
          <a:off x="69663" y="10368915"/>
          <a:ext cx="63410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3</xdr:col>
      <xdr:colOff>1084728</xdr:colOff>
      <xdr:row>47</xdr:row>
      <xdr:rowOff>161365</xdr:rowOff>
    </xdr:from>
    <xdr:to>
      <xdr:col>5</xdr:col>
      <xdr:colOff>582705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D1A64DBD-7E51-4D7B-B9DF-12424CCF4214}"/>
            </a:ext>
          </a:extLst>
        </xdr:cNvPr>
        <xdr:cNvSpPr txBox="1">
          <a:spLocks noChangeArrowheads="1"/>
        </xdr:cNvSpPr>
      </xdr:nvSpPr>
      <xdr:spPr bwMode="auto">
        <a:xfrm>
          <a:off x="4285128" y="9793045"/>
          <a:ext cx="2058297" cy="36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CAGANDA </a:t>
          </a:r>
          <a:r>
            <a:rPr lang="en-US" sz="2400">
              <a:solidFill>
                <a:srgbClr val="800000"/>
              </a:solidFill>
              <a:effectLst>
                <a:outerShdw blurRad="50800" dist="38100" dir="2700000" algn="tl">
                  <a:srgbClr val="000000">
                    <a:alpha val="40000"/>
                  </a:srgbClr>
                </a:outerShdw>
              </a:effectLst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2025</a:t>
          </a:r>
          <a:endParaRPr lang="en-US" sz="14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CC3E3860-7A88-423C-95CE-EF552C9FACF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F707FBD9-13E4-43EB-A7A0-0D5BF5DEA32B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99A84F0C-B991-4802-BDF3-83360E56F415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D973FB6D-FBC9-49FB-882E-E13182FA521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5C6BEE6-420B-422A-AEB2-0FB4B2D205C7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3FF1485B-13EF-4370-B76D-71078E1358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DFBA5938-ECCE-47A5-8520-92FB7E2949FD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CCCAFA05-F4CC-40AA-985A-F33A78ECC7E6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CEE0161B-FA32-4CF2-A33F-110E14BAD7B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6F207B3-7C49-40A9-815C-ACA04B9AA130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6E4A8A22-8896-4A38-B1A2-9B86EEA7D1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DB19C854-9021-472A-A374-075982689214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C1CA78D1-D1B1-49EA-86A1-D928B7BBB33B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D8E8156B-DB4C-4C13-8956-FA1DA599669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2E590FC-F38A-4C5B-B815-1036D41E4F07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EE35C128-275D-47B8-BF39-9637C5ACD8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724A2954-439D-4368-82BB-5165F50B52D1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41083FC6-DD85-4207-9FE2-2D75BBD56307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0182D86D-C3B3-4893-B5AC-08BCB44C2B7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213CD11-AEEB-482A-94D2-7FB37C20CC65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B795534A-BFEB-49A1-B74F-5800687327D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C48A77F7-80C7-4A3A-8495-0A0348A00A87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24FF8AFD-4149-48DE-A6EE-7DBE41CE22E1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9E24B92C-FEFF-4D20-A171-5094358A5B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0628C75-DA32-43A5-94B3-150D5CE77942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C4487A89-139D-4ABA-825D-51401C54DA8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43EA9DD4-DD51-4F84-9238-365BE473E425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74F5C0DD-8495-4B10-BB3D-49CB6C275F7E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D8E06B3D-6B42-4B01-81E3-FBB8A427993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C91BF6E-E360-4BEC-800E-02A1657BBC10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B962E9D5-DF18-4B3E-80D6-C249D6436C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78B997A2-8693-47C0-B97C-884C181DEAFC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8775F293-5648-4EB9-A616-4CB5F7B87AC3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5233F8AB-DD5C-403C-AE9A-8B47C59717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AEAE358-ED52-4B80-8251-B4C9D841BB34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55956</xdr:colOff>
      <xdr:row>0</xdr:row>
      <xdr:rowOff>429741</xdr:rowOff>
    </xdr:from>
    <xdr:to>
      <xdr:col>10</xdr:col>
      <xdr:colOff>330681</xdr:colOff>
      <xdr:row>1</xdr:row>
      <xdr:rowOff>37467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652523B5-4924-4119-A860-D4E445595C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956" y="429741"/>
          <a:ext cx="10371225" cy="2706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65786</xdr:colOff>
      <xdr:row>0</xdr:row>
      <xdr:rowOff>557361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1E45023B-0FCA-413B-9FFC-64E5CD2A97E6}"/>
            </a:ext>
          </a:extLst>
        </xdr:cNvPr>
        <xdr:cNvSpPr txBox="1"/>
      </xdr:nvSpPr>
      <xdr:spPr>
        <a:xfrm>
          <a:off x="0" y="0"/>
          <a:ext cx="8066786" cy="5573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INSPECTION ACCOMPLISHMENT REPORT</a:t>
          </a:r>
          <a:r>
            <a:rPr lang="en-US" altLang="zh-CN" sz="36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</a:rPr>
            <a:t> </a:t>
          </a:r>
        </a:p>
      </xdr:txBody>
    </xdr:sp>
    <xdr:clientData/>
  </xdr:twoCellAnchor>
  <xdr:twoCellAnchor>
    <xdr:from>
      <xdr:col>0</xdr:col>
      <xdr:colOff>11478</xdr:colOff>
      <xdr:row>0</xdr:row>
      <xdr:rowOff>531316</xdr:rowOff>
    </xdr:from>
    <xdr:to>
      <xdr:col>4</xdr:col>
      <xdr:colOff>412681</xdr:colOff>
      <xdr:row>2</xdr:row>
      <xdr:rowOff>12278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4D371076-9884-4E56-9B64-6AA1BD3D12D3}"/>
            </a:ext>
          </a:extLst>
        </xdr:cNvPr>
        <xdr:cNvSpPr txBox="1"/>
      </xdr:nvSpPr>
      <xdr:spPr>
        <a:xfrm>
          <a:off x="11478" y="531316"/>
          <a:ext cx="4249303" cy="31916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>
              <a:solidFill>
                <a:srgbClr val="333333"/>
              </a:solidFill>
              <a:latin typeface="Times New Roman" panose="02020603050405020304" charset="0"/>
              <a:ea typeface="Times New Roman" panose="02020603050405020304" charset="0"/>
            </a:rPr>
            <a:t>PROVINCIAL ENGINEER'S OFFICE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 </a:t>
          </a:r>
        </a:p>
      </xdr:txBody>
    </xdr:sp>
    <xdr:clientData/>
  </xdr:twoCellAnchor>
  <xdr:twoCellAnchor>
    <xdr:from>
      <xdr:col>10</xdr:col>
      <xdr:colOff>758084</xdr:colOff>
      <xdr:row>0</xdr:row>
      <xdr:rowOff>36462</xdr:rowOff>
    </xdr:from>
    <xdr:to>
      <xdr:col>11</xdr:col>
      <xdr:colOff>784689</xdr:colOff>
      <xdr:row>3</xdr:row>
      <xdr:rowOff>177626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41C9D810-F3E1-4C09-8EB1-7C462AD62A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854584" y="36462"/>
          <a:ext cx="1771585" cy="1185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155196</xdr:colOff>
      <xdr:row>73</xdr:row>
      <xdr:rowOff>0</xdr:rowOff>
    </xdr:from>
    <xdr:to>
      <xdr:col>12</xdr:col>
      <xdr:colOff>5715</xdr:colOff>
      <xdr:row>73</xdr:row>
      <xdr:rowOff>3810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14A18F5-0BB5-4F31-BB47-7B5106CDE38D}"/>
            </a:ext>
          </a:extLst>
        </xdr:cNvPr>
        <xdr:cNvCxnSpPr/>
      </xdr:nvCxnSpPr>
      <xdr:spPr>
        <a:xfrm>
          <a:off x="10251696" y="21457920"/>
          <a:ext cx="3134739" cy="3810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Users/Ernie/AppData/Local/Temp/Equipment/Plant%20and%20Equipment%20Rates%20Hire%20ACEL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ENOVO/AppData/Local/Temp/Rar$DI00.855/Users/ericson/Downloads/Equipment/Plant%20and%20Equipment%20Rates%20Hire%20ACEL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Masteral%20Project/CDMA%20MVUC.xls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Programs%20of%20Work/Asphalting/Repair%20of%20CDMA1%20Road00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OLOD RENTAL RATES"/>
      <sheetName val="Equipment Rental ACEL"/>
      <sheetName val="ACEL"/>
      <sheetName val="entry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OLOD RENTAL RATES"/>
      <sheetName val="Equipment Rental ACEL"/>
      <sheetName val="ACEL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"/>
      <sheetName val="entry"/>
      <sheetName val="10MAAEF2"/>
      <sheetName val="F"/>
      <sheetName val="B"/>
      <sheetName val="Durations"/>
      <sheetName val="Stationing"/>
      <sheetName val="404 (c)"/>
      <sheetName val="door"/>
      <sheetName val="BUDGET COST ALL"/>
      <sheetName val="DetailedEst"/>
      <sheetName val="valicon- test summary"/>
      <sheetName val="valicon- bid"/>
      <sheetName val="Materials(santa rosa)"/>
      <sheetName val="UPA"/>
      <sheetName val="SUMMARY ALL"/>
      <sheetName val="GENERAL SUMMARY"/>
      <sheetName val="B.5"/>
      <sheetName val="B.7"/>
      <sheetName val="B.9"/>
      <sheetName val="103"/>
      <sheetName val="803"/>
      <sheetName val=" 804 (a)"/>
      <sheetName val="804 (b)"/>
      <sheetName val="804 (C)"/>
      <sheetName val="900(1)"/>
      <sheetName val="900(2a)"/>
      <sheetName val="900(2b)"/>
      <sheetName val="900(3a)"/>
      <sheetName val="900(4a)"/>
      <sheetName val="900(3b)"/>
      <sheetName val="900(4)"/>
      <sheetName val="900(5)"/>
      <sheetName val="900(6a)"/>
      <sheetName val="900(6b)"/>
      <sheetName val="902 G-60 (1a)"/>
      <sheetName val="902 G-60 (1b)"/>
      <sheetName val="902 G-60 (2)"/>
      <sheetName val="902 G-60 (3)"/>
      <sheetName val="902 G-60 (4a)"/>
      <sheetName val="902 G-60 (4)"/>
      <sheetName val="902 G-40 (1a)"/>
      <sheetName val="902 G-40 (1b)"/>
      <sheetName val="902 G-40 (2)"/>
      <sheetName val="902 G-40 (3)"/>
      <sheetName val="902 G-40 (4a)"/>
      <sheetName val="902 G-40 (4)"/>
      <sheetName val="902 G-40 (5)"/>
      <sheetName val="1003(1)"/>
      <sheetName val="1003(2)"/>
      <sheetName val="1046(1)"/>
      <sheetName val="1046(2)"/>
      <sheetName val="1046(3)"/>
      <sheetName val="1027(a)"/>
      <sheetName val="1027 (b)"/>
      <sheetName val="1047"/>
      <sheetName val="1014(a)"/>
      <sheetName val="1014(b)"/>
      <sheetName val="1018"/>
      <sheetName val="1032(1)"/>
      <sheetName val="1032(2)"/>
      <sheetName val="WATERPROOFING"/>
      <sheetName val="1032(3)"/>
      <sheetName val="1032(4)"/>
      <sheetName val="1005-WINDOWS"/>
      <sheetName val=" 1007-DOORS"/>
      <sheetName val=" 1010-DOORS"/>
      <sheetName val=" 1011(1)-DOORS"/>
      <sheetName val=" 1011-DOORS (2)"/>
      <sheetName val="1100"/>
      <sheetName val="1101"/>
      <sheetName val="1103(1)"/>
      <sheetName val="1103(2)"/>
      <sheetName val="1103(3)"/>
      <sheetName val="1102-Pnl Brds"/>
      <sheetName val="1001"/>
      <sheetName val="1002(1)"/>
      <sheetName val="1002(2)"/>
      <sheetName val="SPL1"/>
      <sheetName val="SPL2"/>
      <sheetName val="SPL3"/>
      <sheetName val="SPL4"/>
      <sheetName val="SPL5"/>
      <sheetName val="SPL6"/>
      <sheetName val="SPL7 "/>
      <sheetName val="SPL8"/>
      <sheetName val="ElectlWires"/>
      <sheetName val="IMCpipes"/>
      <sheetName val="Atlanta(DVW&amp;Sewer)pipes"/>
      <sheetName val="billboard (2)"/>
      <sheetName val="RAILINGS (2)"/>
      <sheetName val="Atlanta(potable)pressurepipes"/>
      <sheetName val="Atlanta(Electl)pipes"/>
      <sheetName val="AtlantaHDPEspiral"/>
      <sheetName val="SteelCasements"/>
      <sheetName val="FLOOR TOPPING"/>
      <sheetName val="BOQ"/>
      <sheetName val="BOQ (2)"/>
      <sheetName val="ACEL-rates"/>
      <sheetName val="Rental Equip"/>
      <sheetName val="Labor-CAGAYAN"/>
      <sheetName val="Labor"/>
      <sheetName val="Total ,RSB"/>
      <sheetName val="UNIT COST"/>
      <sheetName val="Footings"/>
      <sheetName val="Columns"/>
      <sheetName val="FTB"/>
      <sheetName val="Bleacher Beams"/>
      <sheetName val="Stairs &amp; Ramps"/>
      <sheetName val="Roof Beams-Gutters"/>
      <sheetName val="TRUSSES"/>
      <sheetName val="catwalk"/>
      <sheetName val="TILES"/>
      <sheetName val="RAILINGS"/>
      <sheetName val="DOORS AND WINDOWS"/>
      <sheetName val="STIFFENER"/>
      <sheetName val="billboard"/>
      <sheetName val="RebarComputer"/>
      <sheetName val="BOQ_2IPM"/>
      <sheetName val="SWA-orig"/>
      <sheetName val="CFlow Valicon"/>
      <sheetName val="Bidder2"/>
      <sheetName val="Bidder3"/>
      <sheetName val="bidder 3 summary"/>
      <sheetName val="CFlow Bidder (2)"/>
      <sheetName val="CFlow Bidder (3)"/>
      <sheetName val="BRICK WALL"/>
      <sheetName val="Steel Ratios"/>
      <sheetName val="404_(c)"/>
      <sheetName val="ITEMS"/>
      <sheetName val="404_(c)1"/>
      <sheetName val="404_(c)2"/>
      <sheetName val="404_(c)3"/>
      <sheetName val="404_(c)5"/>
      <sheetName val="404_(c)4"/>
      <sheetName val="404_(c)6"/>
      <sheetName val="404_(c)8"/>
      <sheetName val="404_(c)7"/>
      <sheetName val="404_(c)13"/>
      <sheetName val="404_(c)11"/>
      <sheetName val="404_(c)10"/>
      <sheetName val="404_(c)9"/>
      <sheetName val="404_(c)12"/>
      <sheetName val="404_(c)14"/>
      <sheetName val="404_(c)16"/>
      <sheetName val="404_(c)15"/>
      <sheetName val="404_(c)17"/>
      <sheetName val="404_(c)18"/>
      <sheetName val="404_(c)20"/>
      <sheetName val="404_(c)19"/>
      <sheetName val="404_(c)26"/>
      <sheetName val="404_(c)21"/>
      <sheetName val="404_(c)22"/>
      <sheetName val="404_(c)23"/>
      <sheetName val="404_(c)24"/>
      <sheetName val="404_(c)25"/>
      <sheetName val="404_(c)28"/>
      <sheetName val="404_(c)27"/>
      <sheetName val="404_(c)29"/>
      <sheetName val="404_(c)30"/>
      <sheetName val="404_(c)31"/>
      <sheetName val="404_(c)32"/>
      <sheetName val="404_(c)33"/>
      <sheetName val="404_(c)35"/>
      <sheetName val="404_(c)34"/>
      <sheetName val="404_(c)36"/>
      <sheetName val="404_(c)37"/>
      <sheetName val="404_(c)39"/>
      <sheetName val="404_(c)38"/>
      <sheetName val="404_(c)40"/>
      <sheetName val="404_(c)43"/>
      <sheetName val="404_(c)41"/>
      <sheetName val="404_(c)42"/>
      <sheetName val="404_(c)44"/>
      <sheetName val="404_(c)45"/>
      <sheetName val="404_(c)46"/>
      <sheetName val="404_(c)47"/>
      <sheetName val="404_(c)48"/>
      <sheetName val="404_(c)49"/>
      <sheetName val="404_(c)50"/>
      <sheetName val="404_(c)51"/>
      <sheetName val="404_(c)52"/>
      <sheetName val="SAMPLE"/>
      <sheetName val="sample3 (2)"/>
      <sheetName val="ABC SIGNATORIES"/>
      <sheetName val="BREAKDOWN"/>
      <sheetName val="ABC-"/>
      <sheetName val="ITEMIZED"/>
      <sheetName val="ABC SIGNATORIES (2)"/>
      <sheetName val="PROJ.DETAIL"/>
      <sheetName val="POW NEW"/>
      <sheetName val="ABC SUMMARY"/>
      <sheetName val="WORKSHEET (ABC.IT.DB)"/>
      <sheetName val="SUMMARY OF QUANTITIES"/>
      <sheetName val="DERIVATION OF PROJECT DURATION"/>
      <sheetName val="NETWORKING DAYS"/>
      <sheetName val="EQUIPMENT"/>
      <sheetName val="MAN-DAYS"/>
      <sheetName val="Labor Rates"/>
      <sheetName val="PRICE MONITORING 2019"/>
      <sheetName val="FURNISH BOULDERS"/>
      <sheetName val="FURNISH AGGREGATES"/>
      <sheetName val="EARTHWORKS"/>
      <sheetName val="REM. OF PCCP(t=0.23)"/>
      <sheetName val="SCHED. DRAINAGE"/>
      <sheetName val="Structure Excavation"/>
      <sheetName val="Structure Excavation (Existing)"/>
      <sheetName val="Conc. &amp; RSB"/>
      <sheetName val="Lined Canal Conc."/>
      <sheetName val="Trees (Furnish &amp; Planting)"/>
      <sheetName val="Electric Poles"/>
      <sheetName val="Stone Masonry"/>
      <sheetName val="CUT &amp; FILL"/>
      <sheetName val="Thermo Plastic (White) (2)"/>
      <sheetName val="Painting for Parapet Wall"/>
      <sheetName val="EqipmentRentalRatesBridge"/>
      <sheetName val="EquipmentRentalRatesRoads"/>
      <sheetName val="REFERENCES AND FOR CANVASS"/>
      <sheetName val="A.1.1(16)"/>
      <sheetName val="A.1.2(2)"/>
      <sheetName val="A.1.3(2)"/>
      <sheetName val="A.1.2(5)"/>
      <sheetName val="A.1.4(1)"/>
      <sheetName val="B.7(2)"/>
      <sheetName val="B.8"/>
      <sheetName val="B.13"/>
      <sheetName val="404(1).a"/>
      <sheetName val="404(1).b"/>
      <sheetName val="405(1).a3"/>
      <sheetName val="407(8)"/>
      <sheetName val="1407(3)"/>
      <sheetName val="1700(1)"/>
      <sheetName val="1700(3).a1"/>
      <sheetName val="1700(3).a2"/>
      <sheetName val="1700(3).a3"/>
      <sheetName val="1700(3).a4"/>
      <sheetName val="1702(1).a"/>
      <sheetName val="1704(1).a"/>
      <sheetName val="1704(1).b"/>
      <sheetName val="600(4)"/>
      <sheetName val="1710(2).a"/>
      <sheetName val="1711(1)"/>
      <sheetName val="1712 (2)"/>
      <sheetName val="1713(1)"/>
      <sheetName val="1714(1).a3"/>
      <sheetName val="1714(2).a1 "/>
      <sheetName val="1714(3)"/>
      <sheetName val="1716(6).a"/>
      <sheetName val="1716(12)"/>
      <sheetName val="Removal of Trees"/>
      <sheetName val="CUT&amp;FILL"/>
      <sheetName val="SSP Calculation"/>
      <sheetName val="Class A"/>
      <sheetName val="Parapet Wall"/>
      <sheetName val="RSB"/>
      <sheetName val="hexapod"/>
      <sheetName val="gabions"/>
      <sheetName val="mattresses"/>
      <sheetName val="filter cloth"/>
      <sheetName val="toe protection"/>
      <sheetName val="mattresses spur dike"/>
      <sheetName val="gabionsspur dike "/>
      <sheetName val="filter cloth spur dike"/>
      <sheetName val="excavation"/>
      <sheetName val="SUMMARY"/>
      <sheetName val="Footing"/>
      <sheetName val="Column"/>
      <sheetName val="Slab"/>
      <sheetName val="Beam"/>
      <sheetName val="CHB"/>
      <sheetName val="Plastering"/>
      <sheetName val="Metal Structures"/>
      <sheetName val="SECTIONS"/>
      <sheetName val="LIBRARY"/>
      <sheetName val="404_(c)53"/>
      <sheetName val="404_(c)54"/>
      <sheetName val="sample3_(2)"/>
      <sheetName val="ABC_SIGNATORIES"/>
      <sheetName val="ABC_SIGNATORIES_(2)"/>
      <sheetName val="PROJ_DETAIL"/>
      <sheetName val="POW_NEW"/>
      <sheetName val="ABC_SUMMARY"/>
      <sheetName val="WORKSHEET_(ABC_IT_DB)"/>
      <sheetName val="SUMMARY_OF_QUANTITIES"/>
      <sheetName val="DERIVATION_OF_PROJECT_DURATION"/>
      <sheetName val="NETWORKING_DAYS"/>
      <sheetName val="Labor_Rates"/>
      <sheetName val="PRICE_MONITORING_2019"/>
      <sheetName val="FURNISH_BOULDERS"/>
      <sheetName val="FURNISH_AGGREGATES"/>
      <sheetName val="REM__OF_PCCP(t=0_23)"/>
      <sheetName val="SCHED__DRAINAGE"/>
      <sheetName val="Structure_Excavation"/>
      <sheetName val="Structure_Excavation_(Existing)"/>
      <sheetName val="Conc__&amp;_RSB"/>
      <sheetName val="Lined_Canal_Conc_"/>
      <sheetName val="Trees_(Furnish_&amp;_Planting)"/>
      <sheetName val="Electric_Poles"/>
      <sheetName val="Stone_Masonry"/>
      <sheetName val="CUT_&amp;_FILL"/>
      <sheetName val="Thermo_Plastic_(White)_(2)"/>
      <sheetName val="Painting_for_Parapet_Wall"/>
      <sheetName val="REFERENCES_AND_FOR_CANVASS"/>
      <sheetName val="A_1_1(16)"/>
      <sheetName val="A_1_2(2)"/>
      <sheetName val="A_1_3(2)"/>
      <sheetName val="A_1_2(5)"/>
      <sheetName val="A_1_4(1)"/>
      <sheetName val="B_5"/>
      <sheetName val="B_7(2)"/>
      <sheetName val="B_8"/>
      <sheetName val="B_9"/>
      <sheetName val="B_13"/>
      <sheetName val="404(1)_a"/>
      <sheetName val="404(1)_b"/>
      <sheetName val="405(1)_a3"/>
      <sheetName val="1700(3)_a1"/>
      <sheetName val="1700(3)_a2"/>
      <sheetName val="1700(3)_a3"/>
      <sheetName val="1700(3)_a4"/>
      <sheetName val="1702(1)_a"/>
      <sheetName val="1704(1)_a"/>
      <sheetName val="1704(1)_b"/>
      <sheetName val="1710(2)_a"/>
      <sheetName val="1712_(2)"/>
      <sheetName val="1714(1)_a3"/>
      <sheetName val="1714(2)_a1_"/>
      <sheetName val="1716(6)_a"/>
      <sheetName val="Removal_of_Trees"/>
      <sheetName val="SSP_Calculation"/>
      <sheetName val="Class_A"/>
      <sheetName val="Parapet_Wall"/>
      <sheetName val="filter_cloth"/>
      <sheetName val="toe_protection"/>
      <sheetName val="mattresses_spur_dike"/>
      <sheetName val="gabionsspur_dike_"/>
      <sheetName val="filter_cloth_spur_dike"/>
      <sheetName val="Metal_Structures"/>
      <sheetName val="404_(c)55"/>
      <sheetName val="sample3_(2)1"/>
      <sheetName val="ABC_SIGNATORIES1"/>
      <sheetName val="ABC_SIGNATORIES_(2)1"/>
      <sheetName val="PROJ_DETAIL1"/>
      <sheetName val="POW_NEW1"/>
      <sheetName val="ABC_SUMMARY1"/>
      <sheetName val="WORKSHEET_(ABC_IT_DB)1"/>
      <sheetName val="SUMMARY_OF_QUANTITIES1"/>
      <sheetName val="DERIVATION_OF_PROJECT_DURATION1"/>
      <sheetName val="NETWORKING_DAYS1"/>
      <sheetName val="Labor_Rates1"/>
      <sheetName val="PRICE_MONITORING_20191"/>
      <sheetName val="FURNISH_BOULDERS1"/>
      <sheetName val="FURNISH_AGGREGATES1"/>
      <sheetName val="REM__OF_PCCP(t=0_23)1"/>
      <sheetName val="SCHED__DRAINAGE1"/>
      <sheetName val="Structure_Excavation1"/>
      <sheetName val="Structure_Excavation_(Existing1"/>
      <sheetName val="Conc__&amp;_RSB1"/>
      <sheetName val="Lined_Canal_Conc_1"/>
      <sheetName val="Trees_(Furnish_&amp;_Planting)1"/>
      <sheetName val="Electric_Poles1"/>
      <sheetName val="Stone_Masonry1"/>
      <sheetName val="CUT_&amp;_FILL1"/>
      <sheetName val="Thermo_Plastic_(White)_(2)1"/>
      <sheetName val="Painting_for_Parapet_Wall1"/>
      <sheetName val="REFERENCES_AND_FOR_CANVASS1"/>
      <sheetName val="A_1_1(16)1"/>
      <sheetName val="A_1_2(2)1"/>
      <sheetName val="A_1_3(2)1"/>
      <sheetName val="A_1_2(5)1"/>
      <sheetName val="A_1_4(1)1"/>
      <sheetName val="B_51"/>
      <sheetName val="B_7(2)1"/>
      <sheetName val="B_81"/>
      <sheetName val="B_91"/>
      <sheetName val="B_131"/>
      <sheetName val="404(1)_a1"/>
      <sheetName val="404(1)_b1"/>
      <sheetName val="405(1)_a31"/>
      <sheetName val="1700(3)_a11"/>
      <sheetName val="1700(3)_a21"/>
      <sheetName val="1700(3)_a31"/>
      <sheetName val="1700(3)_a41"/>
      <sheetName val="1702(1)_a1"/>
      <sheetName val="1704(1)_a1"/>
      <sheetName val="1704(1)_b1"/>
      <sheetName val="1710(2)_a1"/>
      <sheetName val="1712_(2)1"/>
      <sheetName val="1714(1)_a31"/>
      <sheetName val="1714(2)_a1_1"/>
      <sheetName val="1716(6)_a1"/>
      <sheetName val="Removal_of_Trees1"/>
      <sheetName val="SSP_Calculation1"/>
      <sheetName val="Class_A1"/>
      <sheetName val="Parapet_Wall1"/>
      <sheetName val="filter_cloth1"/>
      <sheetName val="toe_protection1"/>
      <sheetName val="mattresses_spur_dike1"/>
      <sheetName val="gabionsspur_dike_1"/>
      <sheetName val="filter_cloth_spur_dike1"/>
      <sheetName val="Metal_Structures1"/>
      <sheetName val="sample3_(2)2"/>
      <sheetName val="ABC_SIGNATORIES2"/>
      <sheetName val="ABC_SIGNATORIES_(2)2"/>
      <sheetName val="PROJ_DETAIL2"/>
      <sheetName val="POW_NEW2"/>
      <sheetName val="ABC_SUMMARY2"/>
      <sheetName val="WORKSHEET_(ABC_IT_DB)2"/>
      <sheetName val="SUMMARY_OF_QUANTITIES2"/>
      <sheetName val="DERIVATION_OF_PROJECT_DURATION2"/>
      <sheetName val="NETWORKING_DAYS2"/>
      <sheetName val="Labor_Rates2"/>
      <sheetName val="PRICE_MONITORING_20192"/>
      <sheetName val="FURNISH_BOULDERS2"/>
      <sheetName val="FURNISH_AGGREGATES2"/>
      <sheetName val="REM__OF_PCCP(t=0_23)2"/>
      <sheetName val="SCHED__DRAINAGE2"/>
      <sheetName val="Structure_Excavation2"/>
      <sheetName val="Structure_Excavation_(Existing2"/>
      <sheetName val="Conc__&amp;_RSB2"/>
      <sheetName val="Lined_Canal_Conc_2"/>
      <sheetName val="Trees_(Furnish_&amp;_Planting)2"/>
      <sheetName val="Electric_Poles2"/>
      <sheetName val="Stone_Masonry2"/>
      <sheetName val="CUT_&amp;_FILL2"/>
      <sheetName val="Thermo_Plastic_(White)_(2)2"/>
      <sheetName val="Painting_for_Parapet_Wall2"/>
      <sheetName val="REFERENCES_AND_FOR_CANVASS2"/>
      <sheetName val="A_1_1(16)2"/>
      <sheetName val="A_1_2(2)2"/>
      <sheetName val="A_1_3(2)2"/>
      <sheetName val="A_1_2(5)2"/>
      <sheetName val="A_1_4(1)2"/>
      <sheetName val="B_52"/>
      <sheetName val="B_7(2)2"/>
      <sheetName val="B_82"/>
      <sheetName val="B_92"/>
      <sheetName val="B_132"/>
      <sheetName val="404(1)_a2"/>
      <sheetName val="404(1)_b2"/>
      <sheetName val="405(1)_a32"/>
      <sheetName val="1700(3)_a12"/>
      <sheetName val="1700(3)_a22"/>
      <sheetName val="1700(3)_a32"/>
      <sheetName val="1700(3)_a42"/>
      <sheetName val="1702(1)_a2"/>
      <sheetName val="1704(1)_a2"/>
      <sheetName val="1704(1)_b2"/>
      <sheetName val="1710(2)_a2"/>
      <sheetName val="1712_(2)2"/>
      <sheetName val="1714(1)_a32"/>
      <sheetName val="1714(2)_a1_2"/>
      <sheetName val="1716(6)_a2"/>
      <sheetName val="Removal_of_Trees2"/>
      <sheetName val="SSP_Calculation2"/>
      <sheetName val="Class_A2"/>
      <sheetName val="Parapet_Wall2"/>
      <sheetName val="filter_cloth2"/>
      <sheetName val="toe_protection2"/>
      <sheetName val="mattresses_spur_dike2"/>
      <sheetName val="gabionsspur_dike_2"/>
      <sheetName val="filter_cloth_spur_dike2"/>
      <sheetName val="DATA (3)"/>
      <sheetName val="PROJ.DETAIL(input here)"/>
      <sheetName val="PCMA(INPUT HERE)"/>
      <sheetName val="LABOR,OCM"/>
      <sheetName val="ACEL RATE"/>
      <sheetName val="P.M. 2ndQTR2022"/>
      <sheetName val="detailed unit cost derivation"/>
      <sheetName val="SCHEDULE OF DOORS &amp; WINDOWS"/>
    </sheetNames>
    <sheetDataSet>
      <sheetData sheetId="0" refreshError="1"/>
      <sheetData sheetId="1" refreshError="1">
        <row r="24">
          <cell r="C24">
            <v>4.5</v>
          </cell>
        </row>
        <row r="25">
          <cell r="C25">
            <v>5800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4">
          <cell r="C24" t="str">
            <v>Embankment(gravel fill)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24">
          <cell r="C24" t="str">
            <v>Weight</v>
          </cell>
        </row>
      </sheetData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tant"/>
      <sheetName val="entry"/>
      <sheetName val="F1"/>
      <sheetName val="AAEF1"/>
      <sheetName val="B1"/>
      <sheetName val="AAEB2"/>
      <sheetName val="AAEF2"/>
      <sheetName val="400F"/>
      <sheetName val="400B"/>
      <sheetName val="600F"/>
      <sheetName val="600B"/>
      <sheetName val="F3"/>
      <sheetName val="AAEF3"/>
      <sheetName val="B3"/>
      <sheetName val="B4"/>
      <sheetName val="F4"/>
      <sheetName val="B5"/>
      <sheetName val="F5"/>
      <sheetName val="F6"/>
      <sheetName val="B6"/>
      <sheetName val="B7"/>
      <sheetName val="F7"/>
      <sheetName val="Sheet2"/>
      <sheetName val="B7 (2)"/>
      <sheetName val="F7 (3)"/>
      <sheetName val="DATA STORE"/>
      <sheetName val="Cons"/>
      <sheetName val="BUDGET COST ALL"/>
      <sheetName val="DetailedEst"/>
      <sheetName val="valicon- test summary"/>
      <sheetName val="valicon- bid"/>
      <sheetName val="Materials(santa rosa)"/>
      <sheetName val="UPA"/>
      <sheetName val="SUMMARY ALL"/>
      <sheetName val="GENERAL SUMMARY"/>
      <sheetName val="B.5"/>
      <sheetName val="B.7"/>
      <sheetName val="B.9"/>
      <sheetName val="103"/>
      <sheetName val="803"/>
      <sheetName val=" 804 (a)"/>
      <sheetName val="804 (b)"/>
      <sheetName val="804 (C)"/>
      <sheetName val="900(1)"/>
      <sheetName val="900(2a)"/>
      <sheetName val="900(2b)"/>
      <sheetName val="900(3a)"/>
      <sheetName val="900(4a)"/>
      <sheetName val="900(3b)"/>
      <sheetName val="900(4)"/>
      <sheetName val="900(5)"/>
      <sheetName val="900(6a)"/>
      <sheetName val="900(6b)"/>
      <sheetName val="902 G-60 (1a)"/>
      <sheetName val="902 G-60 (1b)"/>
      <sheetName val="902 G-60 (2)"/>
      <sheetName val="902 G-60 (3)"/>
      <sheetName val="902 G-60 (4a)"/>
      <sheetName val="902 G-60 (4)"/>
      <sheetName val="902 G-40 (1a)"/>
      <sheetName val="902 G-40 (1b)"/>
      <sheetName val="902 G-40 (2)"/>
      <sheetName val="902 G-40 (3)"/>
      <sheetName val="902 G-40 (4a)"/>
      <sheetName val="902 G-40 (4)"/>
      <sheetName val="902 G-40 (5)"/>
      <sheetName val="1003(1)"/>
      <sheetName val="1003(2)"/>
      <sheetName val="1046(1)"/>
      <sheetName val="1046(2)"/>
      <sheetName val="1046(3)"/>
      <sheetName val="1027(a)"/>
      <sheetName val="1027 (b)"/>
      <sheetName val="1047"/>
      <sheetName val="1014(a)"/>
      <sheetName val="1014(b)"/>
      <sheetName val="1018"/>
      <sheetName val="1032(1)"/>
      <sheetName val="1032(2)"/>
      <sheetName val="WATERPROOFING"/>
      <sheetName val="1032(3)"/>
      <sheetName val="1032(4)"/>
      <sheetName val="1005-WINDOWS"/>
      <sheetName val=" 1007-DOORS"/>
      <sheetName val=" 1010-DOORS"/>
      <sheetName val=" 1011(1)-DOORS"/>
      <sheetName val=" 1011-DOORS (2)"/>
      <sheetName val="1100"/>
      <sheetName val="1101"/>
      <sheetName val="1103(1)"/>
      <sheetName val="1103(2)"/>
      <sheetName val="1103(3)"/>
      <sheetName val="1102-Pnl Brds"/>
      <sheetName val="1001"/>
      <sheetName val="1002(1)"/>
      <sheetName val="1002(2)"/>
      <sheetName val="SPL1"/>
      <sheetName val="SPL2"/>
      <sheetName val="SPL3"/>
      <sheetName val="SPL4"/>
      <sheetName val="SPL5"/>
      <sheetName val="SPL6"/>
      <sheetName val="SPL7 "/>
      <sheetName val="SPL8"/>
      <sheetName val="ElectlWires"/>
      <sheetName val="IMCpipes"/>
      <sheetName val="Atlanta(DVW&amp;Sewer)pipes"/>
      <sheetName val="billboard (2)"/>
      <sheetName val="RAILINGS (2)"/>
      <sheetName val="Atlanta(potable)pressurepipes"/>
      <sheetName val="Atlanta(Electl)pipes"/>
      <sheetName val="AtlantaHDPEspiral"/>
      <sheetName val="SteelCasements"/>
      <sheetName val="FLOOR TOPPING"/>
      <sheetName val="BOQ"/>
      <sheetName val="BOQ (2)"/>
      <sheetName val="ACEL-rates"/>
      <sheetName val="Rental Equip"/>
      <sheetName val="Labor-CAGAYAN"/>
      <sheetName val="Labor"/>
      <sheetName val="Total ,RSB"/>
      <sheetName val="UNIT COST"/>
      <sheetName val="Footings"/>
      <sheetName val="Columns"/>
      <sheetName val="ConcreteWorks"/>
      <sheetName val="SWA-orig"/>
      <sheetName val="CFlow Valicon"/>
      <sheetName val="FTB"/>
      <sheetName val="Bleacher Beams"/>
      <sheetName val="Stairs &amp; Ramps"/>
      <sheetName val="Roof Beams-Gutters"/>
      <sheetName val="TRUSSES"/>
      <sheetName val="catwalk"/>
      <sheetName val="TILES"/>
      <sheetName val="RAILINGS"/>
      <sheetName val="DOORS AND WINDOWS"/>
      <sheetName val="STIFFENER"/>
      <sheetName val="billboard"/>
      <sheetName val="RebarComputer"/>
      <sheetName val="Bidder2"/>
      <sheetName val="Bidder3"/>
      <sheetName val="bidder 3 summary"/>
      <sheetName val="CFlow Bidder (2)"/>
      <sheetName val="CFlow Bidder (3)"/>
      <sheetName val="BRICK WALL"/>
      <sheetName val="Steel Ratios"/>
      <sheetName val="Hand Rails Market"/>
      <sheetName val="101"/>
      <sheetName val=" 104 (a)Backfill from exc"/>
      <sheetName val="104 (b)gravel bed"/>
      <sheetName val="104 (c)gravel fill"/>
      <sheetName val="404G-60 (1)FTG"/>
      <sheetName val="404G-60 (2)FTB"/>
      <sheetName val="404G-60 (3)COL"/>
      <sheetName val="404G-60 (4)2F Beams"/>
      <sheetName val="404G-60 (5)Roof Beams"/>
      <sheetName val="404G-60 (6)Stairs"/>
      <sheetName val="404G-40 (1a)GF Slab"/>
      <sheetName val="404G-40 (1b)2F Slabs"/>
      <sheetName val="404G-40 (2)FTB"/>
      <sheetName val="404G-40 (3)COL"/>
      <sheetName val="404G-40 (4)2F Beams"/>
      <sheetName val="404G-40 (5)Roof Beams-Gutters"/>
      <sheetName val="404G-40 (6)Stairs"/>
      <sheetName val="405(1)Lean Conc"/>
      <sheetName val="405(2)Ftg"/>
      <sheetName val="405(3)FTB"/>
      <sheetName val="405(4)SOF"/>
      <sheetName val="405(5)2F Slab"/>
      <sheetName val="405(6)Cols"/>
      <sheetName val="405(7)2F Beams"/>
      <sheetName val="405(8)RoofBeams"/>
      <sheetName val="405(9)Stairs"/>
      <sheetName val="414(formworks)"/>
      <sheetName val="1027(a)Plastering"/>
      <sheetName val="1027 (b)Floor Topping"/>
      <sheetName val="1047(Structural Steel)"/>
      <sheetName val="1014(a)Tinsmithry"/>
      <sheetName val="1014(b)Steel Deck"/>
      <sheetName val="1032(1)Masonry Painting"/>
      <sheetName val="1032(2)Metal Painting"/>
      <sheetName val="1100(Conduits&amp;Fittings)"/>
      <sheetName val="1101(wires,Fixtures&amp;Devices)"/>
      <sheetName val="1001(Downspouts)"/>
      <sheetName val="SPL1(GI Pipe Railings)"/>
      <sheetName val="Equipment Rental Rates"/>
      <sheetName val="2nd Flr Beams"/>
      <sheetName val="Gflr-2flr Slab"/>
      <sheetName val="PM TRUSSES"/>
      <sheetName val="B7_(2)"/>
      <sheetName val="F7_(3)"/>
      <sheetName val="DATA_STORE"/>
      <sheetName val="items"/>
      <sheetName val="REF"/>
      <sheetName val="B7_(2)1"/>
      <sheetName val="F7_(3)1"/>
      <sheetName val="DATA_STORE1"/>
      <sheetName val="B7_(2)2"/>
      <sheetName val="F7_(3)2"/>
      <sheetName val="DATA_STORE2"/>
      <sheetName val="B7_(2)3"/>
      <sheetName val="F7_(3)3"/>
      <sheetName val="DATA_STORE3"/>
      <sheetName val="B7_(2)5"/>
      <sheetName val="F7_(3)5"/>
      <sheetName val="DATA_STORE5"/>
      <sheetName val="B7_(2)4"/>
      <sheetName val="F7_(3)4"/>
      <sheetName val="DATA_STORE4"/>
      <sheetName val="B7_(2)6"/>
      <sheetName val="F7_(3)6"/>
      <sheetName val="DATA_STORE6"/>
      <sheetName val="B7_(2)8"/>
      <sheetName val="F7_(3)8"/>
      <sheetName val="DATA_STORE8"/>
      <sheetName val="B7_(2)7"/>
      <sheetName val="F7_(3)7"/>
      <sheetName val="DATA_STORE7"/>
      <sheetName val="B7_(2)13"/>
      <sheetName val="F7_(3)13"/>
      <sheetName val="DATA_STORE12"/>
      <sheetName val="B7_(2)11"/>
      <sheetName val="F7_(3)11"/>
      <sheetName val="B7_(2)10"/>
      <sheetName val="F7_(3)10"/>
      <sheetName val="DATA_STORE10"/>
      <sheetName val="B7_(2)9"/>
      <sheetName val="F7_(3)9"/>
      <sheetName val="DATA_STORE9"/>
      <sheetName val="B7_(2)12"/>
      <sheetName val="F7_(3)12"/>
      <sheetName val="DATA_STORE11"/>
      <sheetName val="B7_(2)14"/>
      <sheetName val="F7_(3)14"/>
      <sheetName val="DATA_STORE13"/>
      <sheetName val="B7_(2)16"/>
      <sheetName val="F7_(3)16"/>
      <sheetName val="DATA_STORE15"/>
      <sheetName val="B7_(2)15"/>
      <sheetName val="F7_(3)15"/>
      <sheetName val="DATA_STORE14"/>
      <sheetName val="B7_(2)17"/>
      <sheetName val="F7_(3)17"/>
      <sheetName val="DATA_STORE16"/>
      <sheetName val="B7_(2)18"/>
      <sheetName val="F7_(3)18"/>
      <sheetName val="DATA_STORE17"/>
      <sheetName val="B7_(2)20"/>
      <sheetName val="F7_(3)20"/>
      <sheetName val="DATA_STORE19"/>
      <sheetName val="B7_(2)19"/>
      <sheetName val="F7_(3)19"/>
      <sheetName val="DATA_STORE18"/>
      <sheetName val="B7_(2)26"/>
      <sheetName val="F7_(3)26"/>
      <sheetName val="DATA_STORE25"/>
      <sheetName val="B7_(2)21"/>
      <sheetName val="F7_(3)21"/>
      <sheetName val="DATA_STORE20"/>
      <sheetName val="B7_(2)22"/>
      <sheetName val="F7_(3)22"/>
      <sheetName val="DATA_STORE21"/>
      <sheetName val="B7_(2)23"/>
      <sheetName val="F7_(3)23"/>
      <sheetName val="DATA_STORE22"/>
      <sheetName val="B7_(2)24"/>
      <sheetName val="F7_(3)24"/>
      <sheetName val="DATA_STORE23"/>
      <sheetName val="B7_(2)25"/>
      <sheetName val="F7_(3)25"/>
      <sheetName val="DATA_STORE24"/>
      <sheetName val="B7_(2)28"/>
      <sheetName val="F7_(3)28"/>
      <sheetName val="DATA_STORE27"/>
      <sheetName val="B7_(2)27"/>
      <sheetName val="F7_(3)27"/>
      <sheetName val="DATA_STORE26"/>
      <sheetName val="B7_(2)29"/>
      <sheetName val="F7_(3)29"/>
      <sheetName val="DATA_STORE28"/>
      <sheetName val="B7_(2)30"/>
      <sheetName val="F7_(3)30"/>
      <sheetName val="DATA_STORE29"/>
      <sheetName val="B7_(2)31"/>
      <sheetName val="F7_(3)31"/>
      <sheetName val="DATA_STORE30"/>
      <sheetName val="B7_(2)32"/>
      <sheetName val="F7_(3)32"/>
      <sheetName val="DATA_STORE31"/>
      <sheetName val="B7_(2)33"/>
      <sheetName val="F7_(3)33"/>
      <sheetName val="DATA_STORE32"/>
      <sheetName val="B7_(2)35"/>
      <sheetName val="F7_(3)35"/>
      <sheetName val="DATA_STORE34"/>
      <sheetName val="B7_(2)34"/>
      <sheetName val="F7_(3)34"/>
      <sheetName val="DATA_STORE33"/>
      <sheetName val="B7_(2)36"/>
      <sheetName val="F7_(3)36"/>
      <sheetName val="DATA_STORE35"/>
      <sheetName val="B7_(2)37"/>
      <sheetName val="F7_(3)37"/>
      <sheetName val="DATA_STORE36"/>
      <sheetName val="B7_(2)39"/>
      <sheetName val="F7_(3)39"/>
      <sheetName val="DATA_STORE38"/>
      <sheetName val="B7_(2)38"/>
      <sheetName val="F7_(3)38"/>
      <sheetName val="DATA_STORE37"/>
      <sheetName val="B7_(2)40"/>
      <sheetName val="F7_(3)40"/>
      <sheetName val="DATA_STORE39"/>
      <sheetName val="B7_(2)43"/>
      <sheetName val="F7_(3)43"/>
      <sheetName val="DATA_STORE42"/>
      <sheetName val="B7_(2)41"/>
      <sheetName val="F7_(3)41"/>
      <sheetName val="DATA_STORE40"/>
      <sheetName val="B7_(2)42"/>
      <sheetName val="F7_(3)42"/>
      <sheetName val="DATA_STORE41"/>
      <sheetName val="B7_(2)44"/>
      <sheetName val="F7_(3)44"/>
      <sheetName val="DATA_STORE43"/>
      <sheetName val="B7_(2)45"/>
      <sheetName val="F7_(3)45"/>
      <sheetName val="DATA_STORE44"/>
      <sheetName val="B7_(2)46"/>
      <sheetName val="F7_(3)46"/>
      <sheetName val="DATA_STORE45"/>
      <sheetName val="B7_(2)47"/>
      <sheetName val="F7_(3)47"/>
      <sheetName val="DATA_STORE46"/>
      <sheetName val="B7_(2)48"/>
      <sheetName val="F7_(3)48"/>
      <sheetName val="DATA_STORE47"/>
      <sheetName val="B7_(2)49"/>
      <sheetName val="F7_(3)49"/>
      <sheetName val="DATA_STORE48"/>
      <sheetName val="B7_(2)50"/>
      <sheetName val="F7_(3)50"/>
      <sheetName val="DATA_STORE49"/>
      <sheetName val="B7_(2)51"/>
      <sheetName val="F7_(3)51"/>
      <sheetName val="DATA_STORE50"/>
      <sheetName val="B7_(2)52"/>
      <sheetName val="F7_(3)52"/>
      <sheetName val="DATA_STORE51"/>
      <sheetName val="BACOLOD RENTAL RATES"/>
      <sheetName val="LIBRARY"/>
      <sheetName val="SUMMARY"/>
      <sheetName val="B7_(2)53"/>
      <sheetName val="F7_(3)53"/>
      <sheetName val="DATA_STORE52"/>
      <sheetName val="B7_(2)54"/>
      <sheetName val="F7_(3)54"/>
      <sheetName val="DATA_STORE53"/>
      <sheetName val="BACOLOD_RENTAL_RATES"/>
      <sheetName val="B7_(2)55"/>
      <sheetName val="F7_(3)55"/>
      <sheetName val="DATA_STORE54"/>
      <sheetName val="BACOLOD_RENTAL_RATES1"/>
      <sheetName val="GANTT CHART GOAT"/>
      <sheetName val="rcbc"/>
      <sheetName val="PCMA"/>
      <sheetName val="P.M. 3RDQTR-2020"/>
      <sheetName val="DATA (3)"/>
      <sheetName val="computation_056"/>
      <sheetName val="detailed unit cost derivation"/>
      <sheetName val="Cost to complete"/>
      <sheetName val="Daywork mat"/>
      <sheetName val="P &amp; L"/>
    </sheetNames>
    <sheetDataSet>
      <sheetData sheetId="0" refreshError="1"/>
      <sheetData sheetId="1" refreshError="1"/>
      <sheetData sheetId="2" refreshError="1">
        <row r="16">
          <cell r="B16" t="str">
            <v xml:space="preserve"> REMOVAL OF BITUMINOUS PAVEMENT</v>
          </cell>
        </row>
        <row r="17">
          <cell r="B17" t="str">
            <v xml:space="preserve"> EXCAVATION</v>
          </cell>
        </row>
        <row r="18">
          <cell r="B18" t="str">
            <v xml:space="preserve"> CRUSHED AGGREGATE BASE COURSE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6">
          <cell r="B16">
            <v>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15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17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8.bin" 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9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20.bin" 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21.bin" 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22.bin" 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23.bin" 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24.bin" 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2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33F4-ECAB-4268-B89E-44BA4AC136AC}">
  <sheetPr codeName="Sheet1">
    <tabColor rgb="FFFFC000"/>
  </sheetPr>
  <dimension ref="A1:W92"/>
  <sheetViews>
    <sheetView tabSelected="1" view="pageBreakPreview" topLeftCell="C1" zoomScale="85" zoomScaleNormal="40" zoomScaleSheetLayoutView="85" workbookViewId="0">
      <selection activeCell="C22" sqref="C21:C22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6-9)'!I9</f>
        <v>46211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0</v>
      </c>
      <c r="K11" s="53">
        <v>0</v>
      </c>
      <c r="L11" s="51">
        <f>ROUND(K11/$G$34,5)</f>
        <v>0</v>
      </c>
      <c r="M11" s="54" t="str">
        <f t="shared" ref="M11:M32" si="0">IF(L11=H11,"COMPLETED",IF(L11=0,"Not Yet Started","On going"))</f>
        <v>Not Yet Started</v>
      </c>
      <c r="N11" s="5">
        <f>(J11/G11)*D11</f>
        <v>0</v>
      </c>
      <c r="O11" s="3"/>
      <c r="P11" s="55">
        <f>H11-L11</f>
        <v>4.15E-3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25754.428750000003</v>
      </c>
      <c r="K15" s="53">
        <f>D15/2*F15</f>
        <v>25754.428750000003</v>
      </c>
      <c r="L15" s="51">
        <f>ROUND(K15/$G$34,5)</f>
        <v>8.6199999999999992E-3</v>
      </c>
      <c r="M15" s="54" t="str">
        <f t="shared" si="0"/>
        <v>On going</v>
      </c>
      <c r="N15" s="5">
        <f t="shared" si="4"/>
        <v>44.225000000000001</v>
      </c>
      <c r="O15" s="3"/>
      <c r="P15" s="224">
        <f t="shared" si="3"/>
        <v>8.6199999999999992E-3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0</v>
      </c>
      <c r="K16" s="53"/>
      <c r="L16" s="51">
        <f>ROUND(K16/$G$34,5)</f>
        <v>0</v>
      </c>
      <c r="M16" s="54" t="str">
        <f t="shared" si="0"/>
        <v>Not Yet Started</v>
      </c>
      <c r="N16" s="5">
        <f t="shared" si="4"/>
        <v>0</v>
      </c>
      <c r="O16" s="3"/>
      <c r="P16" s="224">
        <f t="shared" si="3"/>
        <v>9.2099999999999994E-3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11841.855750000001</v>
      </c>
      <c r="K18" s="53">
        <f>D18/2*F18</f>
        <v>11841.855750000001</v>
      </c>
      <c r="L18" s="51">
        <f>ROUND(K18/$G$34,5)</f>
        <v>3.96E-3</v>
      </c>
      <c r="M18" s="54" t="str">
        <f t="shared" si="0"/>
        <v>On going</v>
      </c>
      <c r="N18" s="5">
        <f>(J18/G18)*D18</f>
        <v>83.025000000000006</v>
      </c>
      <c r="O18" s="3"/>
      <c r="P18" s="224">
        <f t="shared" si="3"/>
        <v>3.9699999999999996E-3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0</v>
      </c>
      <c r="K20" s="53"/>
      <c r="L20" s="51">
        <f>ROUND(K20/$G$34,5)</f>
        <v>0</v>
      </c>
      <c r="M20" s="54" t="str">
        <f t="shared" si="0"/>
        <v>Not Yet Started</v>
      </c>
      <c r="N20" s="5">
        <f t="shared" si="4"/>
        <v>0</v>
      </c>
      <c r="O20" s="3"/>
      <c r="P20" s="55">
        <f t="shared" si="3"/>
        <v>1.346E-2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0</v>
      </c>
      <c r="K23" s="53"/>
      <c r="L23" s="51">
        <f>ROUND(K23/$G$34,5)</f>
        <v>0</v>
      </c>
      <c r="M23" s="54" t="str">
        <f t="shared" si="0"/>
        <v>Not Yet Started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0</v>
      </c>
      <c r="K26" s="53"/>
      <c r="L26" s="51">
        <f>ROUND(K26/$G$34,5)</f>
        <v>0</v>
      </c>
      <c r="M26" s="54" t="str">
        <f t="shared" si="0"/>
        <v>Not Yet Started</v>
      </c>
      <c r="N26" s="5">
        <f t="shared" si="4"/>
        <v>0</v>
      </c>
      <c r="O26" s="3"/>
      <c r="P26" s="55">
        <f t="shared" si="3"/>
        <v>5.9880000000000003E-2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/>
      <c r="L27" s="51">
        <f t="shared" ref="L27:L32" si="6">ROUND(K27/$G$34,5)</f>
        <v>0</v>
      </c>
      <c r="M27" s="54" t="str">
        <f t="shared" si="0"/>
        <v>Not Yet Started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0</v>
      </c>
      <c r="K28" s="53">
        <v>0</v>
      </c>
      <c r="L28" s="51">
        <f t="shared" si="6"/>
        <v>0</v>
      </c>
      <c r="M28" s="54" t="str">
        <f t="shared" si="0"/>
        <v>Not Yet Started</v>
      </c>
      <c r="N28" s="5">
        <f t="shared" si="4"/>
        <v>0</v>
      </c>
      <c r="O28" s="3"/>
      <c r="P28" s="55">
        <f t="shared" si="3"/>
        <v>0.14146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0</v>
      </c>
      <c r="K30" s="53"/>
      <c r="L30" s="51">
        <f t="shared" si="6"/>
        <v>0</v>
      </c>
      <c r="M30" s="54" t="str">
        <f>IF(L30=H30,"COMPLETED",IF(L30=0,"Not Yet Started","On going"))</f>
        <v>Not Yet Started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0</v>
      </c>
      <c r="K31" s="53"/>
      <c r="L31" s="51">
        <f t="shared" si="6"/>
        <v>0</v>
      </c>
      <c r="M31" s="54" t="str">
        <f t="shared" si="0"/>
        <v>Not Yet Started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0</v>
      </c>
      <c r="K32" s="53"/>
      <c r="L32" s="51">
        <f t="shared" si="6"/>
        <v>0</v>
      </c>
      <c r="M32" s="54" t="str">
        <f t="shared" si="0"/>
        <v>Not Yet Started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76897.747000000003</v>
      </c>
      <c r="K34" s="209">
        <f>SUM(K10:K33)</f>
        <v>76897.747000000003</v>
      </c>
      <c r="L34" s="212">
        <f>SUM(L10:L32)</f>
        <v>2.5739999999999999E-2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2.5739999999999999E-2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76897.747000000003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76897.747000000003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0.24829000000000001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0.49658000000000002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I70:J70"/>
    <mergeCell ref="A80:B80"/>
    <mergeCell ref="C80:E80"/>
    <mergeCell ref="F80:H80"/>
    <mergeCell ref="J80:L80"/>
    <mergeCell ref="I71:J71"/>
    <mergeCell ref="I72:J72"/>
    <mergeCell ref="I73:J73"/>
    <mergeCell ref="A79:B79"/>
    <mergeCell ref="C79:E79"/>
    <mergeCell ref="F79:H79"/>
    <mergeCell ref="J79:L79"/>
    <mergeCell ref="D9:G9"/>
    <mergeCell ref="B14:C14"/>
    <mergeCell ref="D14:E14"/>
    <mergeCell ref="F14:G14"/>
    <mergeCell ref="A34:E34"/>
    <mergeCell ref="B28:C28"/>
    <mergeCell ref="B30:C30"/>
    <mergeCell ref="B31:C31"/>
    <mergeCell ref="B32:C32"/>
    <mergeCell ref="B33:C33"/>
    <mergeCell ref="B1:M1"/>
    <mergeCell ref="B7:C8"/>
    <mergeCell ref="D7:E7"/>
    <mergeCell ref="I7:K7"/>
    <mergeCell ref="D8:E8"/>
  </mergeCells>
  <conditionalFormatting sqref="M11:M23 N14:P14 M25:M28 M30:M33 M35:M36">
    <cfRule type="containsText" dxfId="26" priority="1" operator="containsText" text="On going">
      <formula>NOT(ISERROR(SEARCH("On going",M11)))</formula>
    </cfRule>
    <cfRule type="containsText" dxfId="25" priority="2" operator="containsText" text="Not Yet Started">
      <formula>NOT(ISERROR(SEARCH("Not Yet Started",M11)))</formula>
    </cfRule>
  </conditionalFormatting>
  <conditionalFormatting sqref="M11:M23 N14:P14 M25:M28 M30:M36">
    <cfRule type="containsText" dxfId="24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2DC7-3021-4A43-9C3B-322CE7BE3110}">
  <sheetPr codeName="Sheet2"/>
  <dimension ref="A2:Q50"/>
  <sheetViews>
    <sheetView view="pageBreakPreview" topLeftCell="B24" zoomScale="85" zoomScaleNormal="85" zoomScaleSheetLayoutView="85" workbookViewId="0">
      <selection activeCell="I47" sqref="I47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46211</v>
      </c>
      <c r="C9" s="427"/>
      <c r="D9" s="427"/>
      <c r="E9" s="427"/>
      <c r="F9" s="427"/>
      <c r="H9" s="119" t="s">
        <v>67</v>
      </c>
      <c r="I9" s="120">
        <v>46211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46211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7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(July 6-9)'!L34</f>
        <v>2.5739999999999999E-2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1.3336701375997295E-2</v>
      </c>
      <c r="E29" s="187"/>
      <c r="F29" s="187"/>
      <c r="G29" s="160"/>
      <c r="H29" s="175" t="s">
        <v>98</v>
      </c>
      <c r="I29" s="188">
        <f>(((SIN((((180*((D27))/D19)-90)*(3.14159265358979/180)))+1)*50)/100)</f>
        <v>1.3336701375997295E-2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1.2403298624002704E-2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7.3684210526315783E-2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88" orientation="portrait" horizontalDpi="0" verticalDpi="0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1172-BA86-47C8-86CF-1C78F8D5AB7B}">
  <sheetPr codeName="Sheet3">
    <tabColor rgb="FFFFC000"/>
  </sheetPr>
  <dimension ref="A1:W92"/>
  <sheetViews>
    <sheetView view="pageBreakPreview" topLeftCell="A23" zoomScale="55" zoomScaleNormal="40" zoomScaleSheetLayoutView="55" workbookViewId="0">
      <selection activeCell="C26" sqref="C26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0</v>
      </c>
      <c r="K11" s="53">
        <v>0</v>
      </c>
      <c r="L11" s="51">
        <f>ROUND(K11/$G$34,5)</f>
        <v>0</v>
      </c>
      <c r="M11" s="54" t="str">
        <f t="shared" ref="M11:M32" si="0">IF(L11=H11,"COMPLETED",IF(L11=0,"Not Yet Started","On going"))</f>
        <v>Not Yet Started</v>
      </c>
      <c r="N11" s="5">
        <f>(J11/G11)*D11</f>
        <v>0</v>
      </c>
      <c r="O11" s="3"/>
      <c r="P11" s="55">
        <f>H11-L11</f>
        <v>4.15E-3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G15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0</v>
      </c>
      <c r="K16" s="53"/>
      <c r="L16" s="51">
        <f>ROUND(K16/$G$34,5)</f>
        <v>0</v>
      </c>
      <c r="M16" s="54" t="str">
        <f t="shared" si="0"/>
        <v>Not Yet Started</v>
      </c>
      <c r="N16" s="5">
        <f t="shared" si="4"/>
        <v>0</v>
      </c>
      <c r="O16" s="3"/>
      <c r="P16" s="224">
        <f t="shared" si="3"/>
        <v>9.2099999999999994E-3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11841.855750000001</v>
      </c>
      <c r="K18" s="53">
        <f>D18/2*F18</f>
        <v>11841.855750000001</v>
      </c>
      <c r="L18" s="51">
        <f>ROUND(K18/$G$34,5)</f>
        <v>3.96E-3</v>
      </c>
      <c r="M18" s="54" t="str">
        <f t="shared" si="0"/>
        <v>On going</v>
      </c>
      <c r="N18" s="5">
        <f>(J18/G18)*D18</f>
        <v>83.025000000000006</v>
      </c>
      <c r="O18" s="3"/>
      <c r="P18" s="224">
        <f t="shared" si="3"/>
        <v>3.9699999999999996E-3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0</v>
      </c>
      <c r="K20" s="53"/>
      <c r="L20" s="51">
        <f>ROUND(K20/$G$34,5)</f>
        <v>0</v>
      </c>
      <c r="M20" s="54" t="str">
        <f t="shared" si="0"/>
        <v>Not Yet Started</v>
      </c>
      <c r="N20" s="5">
        <f t="shared" si="4"/>
        <v>0</v>
      </c>
      <c r="O20" s="3"/>
      <c r="P20" s="55">
        <f t="shared" si="3"/>
        <v>1.346E-2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0</v>
      </c>
      <c r="K23" s="53"/>
      <c r="L23" s="51">
        <f>ROUND(K23/$G$34,5)</f>
        <v>0</v>
      </c>
      <c r="M23" s="54" t="str">
        <f t="shared" si="0"/>
        <v>Not Yet Started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0</v>
      </c>
      <c r="K26" s="53"/>
      <c r="L26" s="51">
        <f>ROUND(K26/$G$34,5)</f>
        <v>0</v>
      </c>
      <c r="M26" s="54" t="str">
        <f t="shared" si="0"/>
        <v>Not Yet Started</v>
      </c>
      <c r="N26" s="5">
        <f t="shared" si="4"/>
        <v>0</v>
      </c>
      <c r="O26" s="3"/>
      <c r="P26" s="55">
        <f t="shared" si="3"/>
        <v>5.9880000000000003E-2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/>
      <c r="L27" s="51">
        <f t="shared" ref="L27:L32" si="6">ROUND(K27/$G$34,5)</f>
        <v>0</v>
      </c>
      <c r="M27" s="54" t="str">
        <f t="shared" si="0"/>
        <v>Not Yet Started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0</v>
      </c>
      <c r="K28" s="53">
        <v>0</v>
      </c>
      <c r="L28" s="51">
        <f t="shared" si="6"/>
        <v>0</v>
      </c>
      <c r="M28" s="54" t="str">
        <f t="shared" si="0"/>
        <v>Not Yet Started</v>
      </c>
      <c r="N28" s="5">
        <f t="shared" si="4"/>
        <v>0</v>
      </c>
      <c r="O28" s="3"/>
      <c r="P28" s="55">
        <f t="shared" si="3"/>
        <v>0.14146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386311.76376000006</v>
      </c>
      <c r="K30" s="53">
        <f>D30*0.8*F30</f>
        <v>386311.76376000006</v>
      </c>
      <c r="L30" s="51">
        <f t="shared" si="6"/>
        <v>0.12931000000000001</v>
      </c>
      <c r="M30" s="54" t="str">
        <f>IF(L30=H30,"COMPLETED",IF(L30=0,"Not Yet Started","On going"))</f>
        <v>On going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305159.46216</v>
      </c>
      <c r="K31" s="53">
        <f>D31*0.8*F31</f>
        <v>305159.46216</v>
      </c>
      <c r="L31" s="51">
        <f t="shared" si="6"/>
        <v>0.10215</v>
      </c>
      <c r="M31" s="54" t="str">
        <f t="shared" si="0"/>
        <v>On going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501808.05887999997</v>
      </c>
      <c r="K32" s="53">
        <f>D32*0.8*F32</f>
        <v>501808.05887999997</v>
      </c>
      <c r="L32" s="51">
        <f t="shared" si="6"/>
        <v>0.16797000000000001</v>
      </c>
      <c r="M32" s="54" t="str">
        <f t="shared" si="0"/>
        <v>On going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1295931.46055</v>
      </c>
      <c r="K34" s="209">
        <f>SUM(K10:K33)</f>
        <v>1295931.46055</v>
      </c>
      <c r="L34" s="212">
        <f>SUM(L10:L32)</f>
        <v>0.43379000000000001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0.43379000000000001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1295931.46055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1295931.46055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0.23966999999999999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0.47933999999999999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23" priority="1" operator="containsText" text="On going">
      <formula>NOT(ISERROR(SEARCH("On going",M11)))</formula>
    </cfRule>
    <cfRule type="containsText" dxfId="22" priority="2" operator="containsText" text="Not Yet Started">
      <formula>NOT(ISERROR(SEARCH("Not Yet Started",M11)))</formula>
    </cfRule>
  </conditionalFormatting>
  <conditionalFormatting sqref="M11:M23 N14:P14 M25:M28 M30:M36">
    <cfRule type="containsText" dxfId="21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EFFA-71B3-425B-994D-168FA8CB16F8}">
  <sheetPr codeName="Sheet4"/>
  <dimension ref="A2:Q50"/>
  <sheetViews>
    <sheetView view="pageBreakPreview" topLeftCell="A20" zoomScale="60" zoomScaleNormal="55" workbookViewId="0">
      <selection activeCell="I50" sqref="I50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46220</v>
      </c>
      <c r="C9" s="427"/>
      <c r="D9" s="427"/>
      <c r="E9" s="427"/>
      <c r="F9" s="427"/>
      <c r="H9" s="119" t="s">
        <v>67</v>
      </c>
      <c r="I9" s="120">
        <v>46220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46220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16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(July 13-17)'!L34</f>
        <v>0.43379000000000001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6.8371759521213271E-2</v>
      </c>
      <c r="E29" s="187"/>
      <c r="F29" s="187"/>
      <c r="G29" s="160"/>
      <c r="H29" s="175" t="s">
        <v>98</v>
      </c>
      <c r="I29" s="188">
        <f>(((SIN((((180*((D27))/D19)-90)*(3.14159265358979/180)))+1)*50)/100)</f>
        <v>6.8371759521213271E-2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0.36541824047878674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0.16842105263157894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0538-2E0A-4BCA-875B-66E447F3C747}">
  <sheetPr codeName="Sheet5">
    <tabColor rgb="FFFFC000"/>
  </sheetPr>
  <dimension ref="A1:W92"/>
  <sheetViews>
    <sheetView view="pageBreakPreview" topLeftCell="A10" zoomScale="55" zoomScaleNormal="40" zoomScaleSheetLayoutView="55" workbookViewId="0">
      <selection activeCell="S40" sqref="S40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0</v>
      </c>
      <c r="K11" s="53">
        <v>0</v>
      </c>
      <c r="L11" s="51">
        <f>ROUND(K11/$G$34,5)</f>
        <v>0</v>
      </c>
      <c r="M11" s="54" t="str">
        <f t="shared" ref="M11:M32" si="0">IF(L11=H11,"COMPLETED",IF(L11=0,"Not Yet Started","On going"))</f>
        <v>Not Yet Started</v>
      </c>
      <c r="N11" s="5">
        <f>(J11/G11)*D11</f>
        <v>0</v>
      </c>
      <c r="O11" s="3"/>
      <c r="P11" s="55">
        <f>H11-L11</f>
        <v>4.15E-3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G15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0</v>
      </c>
      <c r="K16" s="53"/>
      <c r="L16" s="51">
        <f>ROUND(K16/$G$34,5)</f>
        <v>0</v>
      </c>
      <c r="M16" s="54" t="str">
        <f t="shared" si="0"/>
        <v>Not Yet Started</v>
      </c>
      <c r="N16" s="5">
        <f t="shared" si="4"/>
        <v>0</v>
      </c>
      <c r="O16" s="3"/>
      <c r="P16" s="224">
        <f t="shared" si="3"/>
        <v>9.2099999999999994E-3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11841.855750000001</v>
      </c>
      <c r="K18" s="53">
        <f>D18/2*F18</f>
        <v>11841.855750000001</v>
      </c>
      <c r="L18" s="51">
        <f>ROUND(K18/$G$34,5)</f>
        <v>3.96E-3</v>
      </c>
      <c r="M18" s="54" t="str">
        <f t="shared" si="0"/>
        <v>On going</v>
      </c>
      <c r="N18" s="5">
        <f>(J18/G18)*D18</f>
        <v>83.025000000000006</v>
      </c>
      <c r="O18" s="3"/>
      <c r="P18" s="224">
        <f t="shared" si="3"/>
        <v>3.9699999999999996E-3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0</v>
      </c>
      <c r="K20" s="53"/>
      <c r="L20" s="51">
        <f>ROUND(K20/$G$34,5)</f>
        <v>0</v>
      </c>
      <c r="M20" s="54" t="str">
        <f t="shared" si="0"/>
        <v>Not Yet Started</v>
      </c>
      <c r="N20" s="5">
        <f t="shared" si="4"/>
        <v>0</v>
      </c>
      <c r="O20" s="3"/>
      <c r="P20" s="55">
        <f t="shared" si="3"/>
        <v>1.346E-2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0</v>
      </c>
      <c r="K23" s="53"/>
      <c r="L23" s="51">
        <f>ROUND(K23/$G$34,5)</f>
        <v>0</v>
      </c>
      <c r="M23" s="54" t="str">
        <f t="shared" si="0"/>
        <v>Not Yet Started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0</v>
      </c>
      <c r="K26" s="53"/>
      <c r="L26" s="51">
        <f>ROUND(K26/$G$34,5)</f>
        <v>0</v>
      </c>
      <c r="M26" s="54" t="str">
        <f t="shared" si="0"/>
        <v>Not Yet Started</v>
      </c>
      <c r="N26" s="5">
        <f t="shared" si="4"/>
        <v>0</v>
      </c>
      <c r="O26" s="3"/>
      <c r="P26" s="55">
        <f t="shared" si="3"/>
        <v>5.9880000000000003E-2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/>
      <c r="L27" s="51">
        <f t="shared" ref="L27:L32" si="6">ROUND(K27/$G$34,5)</f>
        <v>0</v>
      </c>
      <c r="M27" s="54" t="str">
        <f t="shared" si="0"/>
        <v>Not Yet Started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0</v>
      </c>
      <c r="K28" s="53">
        <v>0</v>
      </c>
      <c r="L28" s="51">
        <f t="shared" si="6"/>
        <v>0</v>
      </c>
      <c r="M28" s="54" t="str">
        <f t="shared" si="0"/>
        <v>Not Yet Started</v>
      </c>
      <c r="N28" s="5">
        <f t="shared" si="4"/>
        <v>0</v>
      </c>
      <c r="O28" s="3"/>
      <c r="P28" s="55">
        <f t="shared" si="3"/>
        <v>0.14146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1594251.2817500001</v>
      </c>
      <c r="K34" s="209">
        <f>SUM(K10:K33)</f>
        <v>1594251.2817500001</v>
      </c>
      <c r="L34" s="212">
        <f>SUM(L10:L32)</f>
        <v>0.53364999999999996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0.53364999999999996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1594251.2817500001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1594251.2817500001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0.23966999999999999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0.47933999999999999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20" priority="1" operator="containsText" text="On going">
      <formula>NOT(ISERROR(SEARCH("On going",M11)))</formula>
    </cfRule>
    <cfRule type="containsText" dxfId="19" priority="2" operator="containsText" text="Not Yet Started">
      <formula>NOT(ISERROR(SEARCH("Not Yet Started",M11)))</formula>
    </cfRule>
  </conditionalFormatting>
  <conditionalFormatting sqref="M11:M23 N14:P14 M25:M28 M30:M36">
    <cfRule type="containsText" dxfId="18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694-A5B8-4043-AAD0-D90C7C0FE8C4}">
  <sheetPr codeName="Sheet6"/>
  <dimension ref="A2:Q50"/>
  <sheetViews>
    <sheetView view="pageBreakPreview" topLeftCell="A20" zoomScale="60" zoomScaleNormal="55" workbookViewId="0">
      <selection activeCell="I47" sqref="I47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46227</v>
      </c>
      <c r="C9" s="427"/>
      <c r="D9" s="427"/>
      <c r="E9" s="427"/>
      <c r="F9" s="427"/>
      <c r="H9" s="119" t="s">
        <v>67</v>
      </c>
      <c r="I9" s="120">
        <v>46227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46227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23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(July 13-17)'!L34</f>
        <v>0.43379000000000001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0.1377873976044558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0.1377873976044558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0.29600260239554421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0.24210526315789474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colBreaks count="1" manualBreakCount="1"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DB6F-088A-4D5E-A32D-5B8246EAB55B}">
  <sheetPr codeName="Sheet7">
    <tabColor rgb="FFFFC000"/>
  </sheetPr>
  <dimension ref="A1:W92"/>
  <sheetViews>
    <sheetView view="pageBreakPreview" topLeftCell="A18" zoomScale="55" zoomScaleNormal="40" zoomScaleSheetLayoutView="55" workbookViewId="0">
      <selection activeCell="J36" sqref="J36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0</v>
      </c>
      <c r="K11" s="53">
        <v>0</v>
      </c>
      <c r="L11" s="51">
        <f>ROUND(K11/$G$34,5)</f>
        <v>0</v>
      </c>
      <c r="M11" s="54" t="str">
        <f t="shared" ref="M11:M32" si="0">IF(L11=H11,"COMPLETED",IF(L11=0,"Not Yet Started","On going"))</f>
        <v>Not Yet Started</v>
      </c>
      <c r="N11" s="5">
        <f>(J11/G11)*D11</f>
        <v>0</v>
      </c>
      <c r="O11" s="3"/>
      <c r="P11" s="55">
        <f>H11-L11</f>
        <v>4.15E-3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G15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11841.855750000001</v>
      </c>
      <c r="K18" s="53">
        <f>D18/2*F18</f>
        <v>11841.855750000001</v>
      </c>
      <c r="L18" s="51">
        <f>ROUND(K18/$G$34,5)</f>
        <v>3.96E-3</v>
      </c>
      <c r="M18" s="54" t="str">
        <f t="shared" si="0"/>
        <v>On going</v>
      </c>
      <c r="N18" s="5">
        <f>(J18/G18)*D18</f>
        <v>83.025000000000006</v>
      </c>
      <c r="O18" s="3"/>
      <c r="P18" s="224">
        <f t="shared" si="3"/>
        <v>3.9699999999999996E-3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0</v>
      </c>
      <c r="K20" s="53"/>
      <c r="L20" s="51">
        <f>ROUND(K20/$G$34,5)</f>
        <v>0</v>
      </c>
      <c r="M20" s="54" t="str">
        <f t="shared" si="0"/>
        <v>Not Yet Started</v>
      </c>
      <c r="N20" s="5">
        <f t="shared" si="4"/>
        <v>0</v>
      </c>
      <c r="O20" s="3"/>
      <c r="P20" s="55">
        <f t="shared" si="3"/>
        <v>1.346E-2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0</v>
      </c>
      <c r="K23" s="53"/>
      <c r="L23" s="51">
        <f>ROUND(K23/$G$34,5)</f>
        <v>0</v>
      </c>
      <c r="M23" s="54" t="str">
        <f t="shared" si="0"/>
        <v>Not Yet Started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89440.741500000004</v>
      </c>
      <c r="K26" s="53">
        <f>G26/2</f>
        <v>89440.741500000004</v>
      </c>
      <c r="L26" s="51">
        <f>ROUND(K26/$G$34,5)</f>
        <v>2.9940000000000001E-2</v>
      </c>
      <c r="M26" s="54" t="str">
        <f t="shared" si="0"/>
        <v>On going</v>
      </c>
      <c r="N26" s="5">
        <f t="shared" si="4"/>
        <v>749.65</v>
      </c>
      <c r="O26" s="3"/>
      <c r="P26" s="55">
        <f t="shared" si="3"/>
        <v>2.9940000000000001E-2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G27/2</f>
        <v>106617.62760000001</v>
      </c>
      <c r="L27" s="51">
        <f t="shared" ref="L27:L32" si="6">ROUND(K27/$G$34,5)</f>
        <v>3.569E-2</v>
      </c>
      <c r="M27" s="54" t="str">
        <f t="shared" si="0"/>
        <v>On going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211296.43100000001</v>
      </c>
      <c r="K28" s="53">
        <f>G28/2</f>
        <v>211296.43100000001</v>
      </c>
      <c r="L28" s="51">
        <f t="shared" si="6"/>
        <v>7.0730000000000001E-2</v>
      </c>
      <c r="M28" s="54" t="str">
        <f t="shared" si="0"/>
        <v>On going</v>
      </c>
      <c r="N28" s="5">
        <f t="shared" si="4"/>
        <v>35.645000000000003</v>
      </c>
      <c r="O28" s="3"/>
      <c r="P28" s="55">
        <f t="shared" si="3"/>
        <v>7.0730000000000001E-2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1922516.4522500001</v>
      </c>
      <c r="K34" s="209">
        <f>SUM(K10:K33)</f>
        <v>2029134.0798499999</v>
      </c>
      <c r="L34" s="212">
        <f>SUM(L10:L32)</f>
        <v>0.67921999999999993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0.67921999999999993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1922516.4522500001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1922516.4522500001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0.12979000000000002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0.25958000000000003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17" priority="1" operator="containsText" text="On going">
      <formula>NOT(ISERROR(SEARCH("On going",M11)))</formula>
    </cfRule>
    <cfRule type="containsText" dxfId="16" priority="2" operator="containsText" text="Not Yet Started">
      <formula>NOT(ISERROR(SEARCH("Not Yet Started",M11)))</formula>
    </cfRule>
  </conditionalFormatting>
  <conditionalFormatting sqref="M11:M23 N14:P14 M25:M28 M30:M36">
    <cfRule type="containsText" dxfId="15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CD8-EED5-4E98-B24D-0F3CB00E6134}">
  <sheetPr codeName="Sheet8"/>
  <dimension ref="A2:Q50"/>
  <sheetViews>
    <sheetView view="pageBreakPreview" topLeftCell="A17" zoomScale="60" zoomScaleNormal="55" workbookViewId="0">
      <selection activeCell="L50" sqref="L50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46233</v>
      </c>
      <c r="C9" s="427"/>
      <c r="D9" s="427"/>
      <c r="E9" s="427"/>
      <c r="F9" s="427"/>
      <c r="H9" s="119" t="s">
        <v>67</v>
      </c>
      <c r="I9" s="120">
        <v>46233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46233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29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(July 27-30)'!L34</f>
        <v>0.67921999999999993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0.21283566865852843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0.21283566865852843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0.4663843313414715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0.30526315789473685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  <c r="M37" s="102" t="s">
        <v>170</v>
      </c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74E2-6D25-41D6-BBC1-1347FE062293}">
  <sheetPr codeName="Sheet9">
    <tabColor rgb="FFFFC000"/>
  </sheetPr>
  <dimension ref="A1:W92"/>
  <sheetViews>
    <sheetView view="pageBreakPreview" zoomScale="55" zoomScaleNormal="40" zoomScaleSheetLayoutView="55" workbookViewId="0">
      <selection activeCell="O36" sqref="O36:O37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12390</v>
      </c>
      <c r="K11" s="53">
        <f>G11</f>
        <v>12390</v>
      </c>
      <c r="L11" s="51">
        <f>ROUND(K11/$G$34,5)</f>
        <v>4.15E-3</v>
      </c>
      <c r="M11" s="54" t="str">
        <f t="shared" ref="M11:M32" si="0">IF(L11=H11,"COMPLETED",IF(L11=0,"Not Yet Started","On going"))</f>
        <v>COMPLETED</v>
      </c>
      <c r="N11" s="5">
        <f>(J11/G11)*D11</f>
        <v>2</v>
      </c>
      <c r="O11" s="3"/>
      <c r="P11" s="55">
        <f>H11-L11</f>
        <v>0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D15*F15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23683.711500000001</v>
      </c>
      <c r="K18" s="53">
        <f>G18</f>
        <v>23683.711500000001</v>
      </c>
      <c r="L18" s="51">
        <f>ROUND(K18/$G$34,5)</f>
        <v>7.9299999999999995E-3</v>
      </c>
      <c r="M18" s="54" t="str">
        <f t="shared" si="0"/>
        <v>COMPLETED</v>
      </c>
      <c r="N18" s="5">
        <f>(J18/G18)*D18</f>
        <v>166.05</v>
      </c>
      <c r="O18" s="3"/>
      <c r="P18" s="224">
        <f t="shared" si="3"/>
        <v>0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40202.6976</v>
      </c>
      <c r="K20" s="53">
        <f>G20</f>
        <v>40202.6976</v>
      </c>
      <c r="L20" s="51">
        <f>ROUND(K20/$G$34,5)</f>
        <v>1.346E-2</v>
      </c>
      <c r="M20" s="54" t="str">
        <f t="shared" si="0"/>
        <v>COMPLETED</v>
      </c>
      <c r="N20" s="5">
        <f t="shared" si="4"/>
        <v>42.64</v>
      </c>
      <c r="O20" s="3"/>
      <c r="P20" s="55">
        <f t="shared" si="3"/>
        <v>0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0</v>
      </c>
      <c r="K23" s="53"/>
      <c r="L23" s="51">
        <f>ROUND(K23/$G$34,5)</f>
        <v>0</v>
      </c>
      <c r="M23" s="54" t="str">
        <f t="shared" si="0"/>
        <v>Not Yet Started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178881.48300000001</v>
      </c>
      <c r="K26" s="53">
        <f>G26</f>
        <v>178881.48300000001</v>
      </c>
      <c r="L26" s="51">
        <f>ROUND(K26/$G$34,5)</f>
        <v>5.9880000000000003E-2</v>
      </c>
      <c r="M26" s="54" t="str">
        <f t="shared" si="0"/>
        <v>COMPLETED</v>
      </c>
      <c r="N26" s="5">
        <f t="shared" si="4"/>
        <v>1499.3</v>
      </c>
      <c r="O26" s="3"/>
      <c r="P26" s="55">
        <f t="shared" si="3"/>
        <v>0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</f>
        <v>213235.25520000001</v>
      </c>
      <c r="L27" s="51">
        <f t="shared" ref="L27:L32" si="6">ROUND(K27/$G$34,5)</f>
        <v>7.1379999999999999E-2</v>
      </c>
      <c r="M27" s="54" t="str">
        <f t="shared" si="0"/>
        <v>COMPLETED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422592.86200000002</v>
      </c>
      <c r="K28" s="53">
        <f>G28</f>
        <v>422592.86200000002</v>
      </c>
      <c r="L28" s="51">
        <f t="shared" si="6"/>
        <v>0.14146</v>
      </c>
      <c r="M28" s="54" t="str">
        <f t="shared" si="0"/>
        <v>COMPLETED</v>
      </c>
      <c r="N28" s="5">
        <f t="shared" si="4"/>
        <v>71.290000000000006</v>
      </c>
      <c r="O28" s="3"/>
      <c r="P28" s="55">
        <f t="shared" si="3"/>
        <v>0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2287688.1781000001</v>
      </c>
      <c r="K34" s="209">
        <f>SUM(K10:K33)</f>
        <v>2500923.4333000001</v>
      </c>
      <c r="L34" s="212">
        <f>SUM(L10:L32)</f>
        <v>0.83716000000000002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0.83716000000000002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2287688.1781000001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2287688.1781000001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7.5400000000000007E-3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1.5080000000000001E-2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14" priority="1" operator="containsText" text="On going">
      <formula>NOT(ISERROR(SEARCH("On going",M11)))</formula>
    </cfRule>
    <cfRule type="containsText" dxfId="13" priority="2" operator="containsText" text="Not Yet Started">
      <formula>NOT(ISERROR(SEARCH("Not Yet Started",M11)))</formula>
    </cfRule>
  </conditionalFormatting>
  <conditionalFormatting sqref="M11:M23 N14:P14 M25:M28 M30:M36">
    <cfRule type="containsText" dxfId="12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7F1E-473D-4C2B-A52A-47D9306DA9B9}">
  <sheetPr codeName="Sheet10"/>
  <dimension ref="A2:Q50"/>
  <sheetViews>
    <sheetView view="pageBreakPreview" topLeftCell="A14" zoomScale="60" zoomScaleNormal="40" workbookViewId="0">
      <selection activeCell="K49" sqref="K49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46241</v>
      </c>
      <c r="C9" s="427"/>
      <c r="D9" s="427"/>
      <c r="E9" s="427"/>
      <c r="F9" s="427"/>
      <c r="H9" s="119" t="s">
        <v>67</v>
      </c>
      <c r="I9" s="120">
        <v>46241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46241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37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(August 3-7)'!L34</f>
        <v>0.83716000000000002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0.32985341277917868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0.32985341277917868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0.50730658722082134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0.38947368421052631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  <c r="M37" s="102" t="s">
        <v>170</v>
      </c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BF9-E17E-464E-A1E7-0A682D015946}">
  <sheetPr codeName="Sheet11">
    <tabColor rgb="FFFFC000"/>
  </sheetPr>
  <dimension ref="A1:W92"/>
  <sheetViews>
    <sheetView view="pageBreakPreview" topLeftCell="A29" zoomScale="55" zoomScaleNormal="40" zoomScaleSheetLayoutView="55" workbookViewId="0">
      <selection activeCell="N59" sqref="N59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12390</v>
      </c>
      <c r="K11" s="53">
        <f>G11</f>
        <v>12390</v>
      </c>
      <c r="L11" s="51">
        <f>ROUND(K11/$G$34,5)</f>
        <v>4.15E-3</v>
      </c>
      <c r="M11" s="54" t="str">
        <f t="shared" ref="M11:M32" si="0">IF(L11=H11,"COMPLETED",IF(L11=0,"Not Yet Started","On going"))</f>
        <v>COMPLETED</v>
      </c>
      <c r="N11" s="5">
        <f>(J11/G11)*D11</f>
        <v>2</v>
      </c>
      <c r="O11" s="3"/>
      <c r="P11" s="55">
        <f>H11-L11</f>
        <v>0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D15*F15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23683.711500000001</v>
      </c>
      <c r="K18" s="53">
        <f>G18</f>
        <v>23683.711500000001</v>
      </c>
      <c r="L18" s="51">
        <f>ROUND(K18/$G$34,5)</f>
        <v>7.9299999999999995E-3</v>
      </c>
      <c r="M18" s="54" t="str">
        <f t="shared" si="0"/>
        <v>COMPLETED</v>
      </c>
      <c r="N18" s="5">
        <f>(J18/G18)*D18</f>
        <v>166.05</v>
      </c>
      <c r="O18" s="3"/>
      <c r="P18" s="224">
        <f t="shared" si="3"/>
        <v>0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40202.6976</v>
      </c>
      <c r="K20" s="53">
        <f>G20</f>
        <v>40202.6976</v>
      </c>
      <c r="L20" s="51">
        <f>ROUND(K20/$G$34,5)</f>
        <v>1.346E-2</v>
      </c>
      <c r="M20" s="54" t="str">
        <f t="shared" si="0"/>
        <v>COMPLETED</v>
      </c>
      <c r="N20" s="5">
        <f t="shared" si="4"/>
        <v>42.64</v>
      </c>
      <c r="O20" s="3"/>
      <c r="P20" s="55">
        <f t="shared" si="3"/>
        <v>0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0</v>
      </c>
      <c r="K22" s="53"/>
      <c r="L22" s="51">
        <f>ROUND(K22/$G$34,5)</f>
        <v>0</v>
      </c>
      <c r="M22" s="54" t="str">
        <f t="shared" si="0"/>
        <v>Not Yet Started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137026.50289999999</v>
      </c>
      <c r="K23" s="53">
        <f>G23</f>
        <v>137026.50289999999</v>
      </c>
      <c r="L23" s="51">
        <f>ROUND(K23/$G$34,5)</f>
        <v>4.5870000000000001E-2</v>
      </c>
      <c r="M23" s="54" t="str">
        <f t="shared" si="0"/>
        <v>COMPLETED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178881.48300000001</v>
      </c>
      <c r="K26" s="53">
        <f>G26</f>
        <v>178881.48300000001</v>
      </c>
      <c r="L26" s="51">
        <f>ROUND(K26/$G$34,5)</f>
        <v>5.9880000000000003E-2</v>
      </c>
      <c r="M26" s="54" t="str">
        <f t="shared" si="0"/>
        <v>COMPLETED</v>
      </c>
      <c r="N26" s="5">
        <f t="shared" si="4"/>
        <v>1499.3</v>
      </c>
      <c r="O26" s="3"/>
      <c r="P26" s="55">
        <f t="shared" si="3"/>
        <v>0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</f>
        <v>213235.25520000001</v>
      </c>
      <c r="L27" s="51">
        <f t="shared" ref="L27:L32" si="6">ROUND(K27/$G$34,5)</f>
        <v>7.1379999999999999E-2</v>
      </c>
      <c r="M27" s="54" t="str">
        <f t="shared" si="0"/>
        <v>COMPLETED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422592.86200000002</v>
      </c>
      <c r="K28" s="53">
        <f>G28</f>
        <v>422592.86200000002</v>
      </c>
      <c r="L28" s="51">
        <f t="shared" si="6"/>
        <v>0.14146</v>
      </c>
      <c r="M28" s="54" t="str">
        <f t="shared" si="0"/>
        <v>COMPLETED</v>
      </c>
      <c r="N28" s="5">
        <f t="shared" si="4"/>
        <v>71.290000000000006</v>
      </c>
      <c r="O28" s="3"/>
      <c r="P28" s="55">
        <f t="shared" si="3"/>
        <v>0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2424714.6809999999</v>
      </c>
      <c r="K34" s="209">
        <f>SUM(K10:K33)</f>
        <v>2637949.9361999999</v>
      </c>
      <c r="L34" s="212">
        <f>SUM(L10:L32)</f>
        <v>0.88302999999999998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0.88302999999999998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2424714.6809999999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2424714.6809999999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7.5400000000000007E-3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1.5080000000000001E-2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11" priority="1" operator="containsText" text="On going">
      <formula>NOT(ISERROR(SEARCH("On going",M11)))</formula>
    </cfRule>
    <cfRule type="containsText" dxfId="10" priority="2" operator="containsText" text="Not Yet Started">
      <formula>NOT(ISERROR(SEARCH("Not Yet Started",M11)))</formula>
    </cfRule>
  </conditionalFormatting>
  <conditionalFormatting sqref="M11:M23 N14:P14 M25:M28 M30:M36">
    <cfRule type="containsText" dxfId="9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3A21-4D07-49B2-89FE-BC09B859F5F0}">
  <sheetPr codeName="Sheet12"/>
  <dimension ref="A2:Q50"/>
  <sheetViews>
    <sheetView view="pageBreakPreview" topLeftCell="A20" zoomScale="60" zoomScaleNormal="85" workbookViewId="0">
      <selection activeCell="K51" sqref="K51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46248</v>
      </c>
      <c r="C9" s="427"/>
      <c r="D9" s="427"/>
      <c r="E9" s="427"/>
      <c r="F9" s="427"/>
      <c r="H9" s="119" t="s">
        <v>67</v>
      </c>
      <c r="I9" s="120">
        <v>46248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46248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44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(August 10-14)'!L34</f>
        <v>0.88302999999999998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0.44225768151520695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0.44225768151520695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0.44077231848479304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0.4631578947368421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  <c r="M37" s="102" t="s">
        <v>170</v>
      </c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9E46-D72F-4ACE-9D58-6F9351665B98}">
  <sheetPr codeName="Sheet13">
    <tabColor rgb="FFFFC000"/>
  </sheetPr>
  <dimension ref="A1:W92"/>
  <sheetViews>
    <sheetView view="pageBreakPreview" zoomScale="55" zoomScaleNormal="40" zoomScaleSheetLayoutView="55" workbookViewId="0">
      <selection activeCell="K22" sqref="K22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12390</v>
      </c>
      <c r="K11" s="53">
        <f>G11</f>
        <v>12390</v>
      </c>
      <c r="L11" s="51">
        <f>ROUND(K11/$G$34,5)</f>
        <v>4.15E-3</v>
      </c>
      <c r="M11" s="54" t="str">
        <f t="shared" ref="M11:M32" si="0">IF(L11=H11,"COMPLETED",IF(L11=0,"Not Yet Started","On going"))</f>
        <v>COMPLETED</v>
      </c>
      <c r="N11" s="5">
        <f>(J11/G11)*D11</f>
        <v>2</v>
      </c>
      <c r="O11" s="3"/>
      <c r="P11" s="55">
        <f>H11-L11</f>
        <v>0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D15*F15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23683.711500000001</v>
      </c>
      <c r="K18" s="53">
        <f>G18</f>
        <v>23683.711500000001</v>
      </c>
      <c r="L18" s="51">
        <f>ROUND(K18/$G$34,5)</f>
        <v>7.9299999999999995E-3</v>
      </c>
      <c r="M18" s="54" t="str">
        <f t="shared" si="0"/>
        <v>COMPLETED</v>
      </c>
      <c r="N18" s="5">
        <f>(J18/G18)*D18</f>
        <v>166.05</v>
      </c>
      <c r="O18" s="3"/>
      <c r="P18" s="224">
        <f t="shared" si="3"/>
        <v>0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40202.6976</v>
      </c>
      <c r="K20" s="53">
        <f>G20</f>
        <v>40202.6976</v>
      </c>
      <c r="L20" s="51">
        <f>ROUND(K20/$G$34,5)</f>
        <v>1.346E-2</v>
      </c>
      <c r="M20" s="54" t="str">
        <f t="shared" si="0"/>
        <v>COMPLETED</v>
      </c>
      <c r="N20" s="5">
        <f t="shared" si="4"/>
        <v>42.64</v>
      </c>
      <c r="O20" s="3"/>
      <c r="P20" s="55">
        <f t="shared" si="3"/>
        <v>0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163475.364</v>
      </c>
      <c r="K22" s="53">
        <f>G22/2</f>
        <v>163475.364</v>
      </c>
      <c r="L22" s="51">
        <f>ROUND(K22/$G$34,5)</f>
        <v>5.4719999999999998E-2</v>
      </c>
      <c r="M22" s="54" t="str">
        <f t="shared" si="0"/>
        <v>On going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137026.50289999999</v>
      </c>
      <c r="K23" s="53">
        <f>G23</f>
        <v>137026.50289999999</v>
      </c>
      <c r="L23" s="51">
        <f>ROUND(K23/$G$34,5)</f>
        <v>4.5870000000000001E-2</v>
      </c>
      <c r="M23" s="54" t="str">
        <f t="shared" si="0"/>
        <v>COMPLETED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178881.48300000001</v>
      </c>
      <c r="K26" s="53">
        <f>G26</f>
        <v>178881.48300000001</v>
      </c>
      <c r="L26" s="51">
        <f>ROUND(K26/$G$34,5)</f>
        <v>5.9880000000000003E-2</v>
      </c>
      <c r="M26" s="54" t="str">
        <f t="shared" si="0"/>
        <v>COMPLETED</v>
      </c>
      <c r="N26" s="5">
        <f t="shared" si="4"/>
        <v>1499.3</v>
      </c>
      <c r="O26" s="3"/>
      <c r="P26" s="55">
        <f t="shared" si="3"/>
        <v>0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</f>
        <v>213235.25520000001</v>
      </c>
      <c r="L27" s="51">
        <f t="shared" ref="L27:L32" si="6">ROUND(K27/$G$34,5)</f>
        <v>7.1379999999999999E-2</v>
      </c>
      <c r="M27" s="54" t="str">
        <f t="shared" si="0"/>
        <v>COMPLETED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422592.86200000002</v>
      </c>
      <c r="K28" s="53">
        <f>G28</f>
        <v>422592.86200000002</v>
      </c>
      <c r="L28" s="51">
        <f t="shared" si="6"/>
        <v>0.14146</v>
      </c>
      <c r="M28" s="54" t="str">
        <f t="shared" si="0"/>
        <v>COMPLETED</v>
      </c>
      <c r="N28" s="5">
        <f t="shared" si="4"/>
        <v>71.290000000000006</v>
      </c>
      <c r="O28" s="3"/>
      <c r="P28" s="55">
        <f t="shared" si="3"/>
        <v>0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2588190.0449999999</v>
      </c>
      <c r="K34" s="209">
        <f>SUM(K10:K33)</f>
        <v>2801425.3001999995</v>
      </c>
      <c r="L34" s="212">
        <f>SUM(L10:L32)</f>
        <v>0.93774999999999997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0.93774999999999997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2588190.0449999999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2588190.0449999999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7.5400000000000007E-3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1.5080000000000001E-2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8" priority="1" operator="containsText" text="On going">
      <formula>NOT(ISERROR(SEARCH("On going",M11)))</formula>
    </cfRule>
    <cfRule type="containsText" dxfId="7" priority="2" operator="containsText" text="Not Yet Started">
      <formula>NOT(ISERROR(SEARCH("Not Yet Started",M11)))</formula>
    </cfRule>
  </conditionalFormatting>
  <conditionalFormatting sqref="M11:M23 N14:P14 M25:M28 M30:M36">
    <cfRule type="containsText" dxfId="6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3DFC-06B5-48FB-99AD-1B0476A42889}">
  <sheetPr codeName="Sheet14"/>
  <dimension ref="A2:Q50"/>
  <sheetViews>
    <sheetView topLeftCell="A6" zoomScale="85" zoomScaleNormal="85" workbookViewId="0">
      <selection activeCell="D29" sqref="D29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46255</v>
      </c>
      <c r="C9" s="427"/>
      <c r="D9" s="427"/>
      <c r="E9" s="427"/>
      <c r="F9" s="427"/>
      <c r="H9" s="119" t="s">
        <v>67</v>
      </c>
      <c r="I9" s="120">
        <v>46255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46255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51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(August 17-21)'!L34</f>
        <v>0.93774999999999997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0.55774231848479305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0.55774231848479305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0.38000768151520692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0.5368421052631579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  <c r="M37" s="102" t="s">
        <v>170</v>
      </c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4DA9-DC6C-44D8-803C-2117893F7A7D}">
  <sheetPr codeName="Sheet15">
    <tabColor rgb="FFFFC000"/>
  </sheetPr>
  <dimension ref="A1:W92"/>
  <sheetViews>
    <sheetView view="pageBreakPreview" zoomScale="85" zoomScaleNormal="40" zoomScaleSheetLayoutView="85" workbookViewId="0">
      <selection activeCell="A23" sqref="A23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13-17)'!I9</f>
        <v>46220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12390</v>
      </c>
      <c r="K11" s="53">
        <f>G11</f>
        <v>12390</v>
      </c>
      <c r="L11" s="51">
        <f>ROUND(K11/$G$34,5)</f>
        <v>4.15E-3</v>
      </c>
      <c r="M11" s="54" t="str">
        <f t="shared" ref="M11:M32" si="0">IF(L11=H11,"COMPLETED",IF(L11=0,"Not Yet Started","On going"))</f>
        <v>COMPLETED</v>
      </c>
      <c r="N11" s="5">
        <f>(J11/G11)*D11</f>
        <v>2</v>
      </c>
      <c r="O11" s="3"/>
      <c r="P11" s="55">
        <f>H11-L11</f>
        <v>0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7780.5</v>
      </c>
      <c r="K12" s="53">
        <f>D12/2*F12</f>
        <v>7780.5</v>
      </c>
      <c r="L12" s="51">
        <f>ROUND(K12/$G$34,5)</f>
        <v>2.5999999999999999E-3</v>
      </c>
      <c r="M12" s="54" t="str">
        <f t="shared" si="0"/>
        <v>On going</v>
      </c>
      <c r="N12" s="5">
        <f>(J12/G12)*D12</f>
        <v>0.5</v>
      </c>
      <c r="O12" s="3"/>
      <c r="P12" s="55">
        <f t="shared" ref="P12:P29" si="3">H12-L12</f>
        <v>2.6100000000000003E-3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14744.1</v>
      </c>
      <c r="K13" s="53">
        <f>D13/2*F13</f>
        <v>14744.1</v>
      </c>
      <c r="L13" s="51">
        <f>ROUND(K13/$G$34,5)</f>
        <v>4.9399999999999999E-3</v>
      </c>
      <c r="M13" s="54" t="str">
        <f t="shared" si="0"/>
        <v>On going</v>
      </c>
      <c r="N13" s="5">
        <f t="shared" ref="N13:N29" si="4">(J13/G13)*D13</f>
        <v>0.5</v>
      </c>
      <c r="O13" s="3"/>
      <c r="P13" s="55">
        <f t="shared" si="3"/>
        <v>4.9300000000000004E-3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409"/>
      <c r="E14" s="410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D15*F15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23683.711500000001</v>
      </c>
      <c r="K18" s="53">
        <f>G18</f>
        <v>23683.711500000001</v>
      </c>
      <c r="L18" s="51">
        <f>ROUND(K18/$G$34,5)</f>
        <v>7.9299999999999995E-3</v>
      </c>
      <c r="M18" s="54" t="str">
        <f t="shared" si="0"/>
        <v>COMPLETED</v>
      </c>
      <c r="N18" s="5">
        <f>(J18/G18)*D18</f>
        <v>166.05</v>
      </c>
      <c r="O18" s="3"/>
      <c r="P18" s="224">
        <f t="shared" si="3"/>
        <v>0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171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40202.6976</v>
      </c>
      <c r="K20" s="53">
        <f>G20</f>
        <v>40202.6976</v>
      </c>
      <c r="L20" s="51">
        <f>ROUND(K20/$G$34,5)</f>
        <v>1.346E-2</v>
      </c>
      <c r="M20" s="54" t="str">
        <f t="shared" si="0"/>
        <v>COMPLETED</v>
      </c>
      <c r="N20" s="5">
        <f t="shared" si="4"/>
        <v>42.64</v>
      </c>
      <c r="O20" s="3"/>
      <c r="P20" s="55">
        <f t="shared" si="3"/>
        <v>0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326950.728</v>
      </c>
      <c r="K22" s="53">
        <f>G22</f>
        <v>326950.728</v>
      </c>
      <c r="L22" s="51">
        <f>ROUND(K22/$G$34,5)</f>
        <v>0.10944</v>
      </c>
      <c r="M22" s="54" t="str">
        <f t="shared" si="0"/>
        <v>COMPLETED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137026.50289999999</v>
      </c>
      <c r="K23" s="53">
        <f>G23</f>
        <v>137026.50289999999</v>
      </c>
      <c r="L23" s="51">
        <f>ROUND(K23/$G$34,5)</f>
        <v>4.5870000000000001E-2</v>
      </c>
      <c r="M23" s="54" t="str">
        <f t="shared" si="0"/>
        <v>COMPLETED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178881.48300000001</v>
      </c>
      <c r="K26" s="53">
        <f>G26</f>
        <v>178881.48300000001</v>
      </c>
      <c r="L26" s="51">
        <f>ROUND(K26/$G$34,5)</f>
        <v>5.9880000000000003E-2</v>
      </c>
      <c r="M26" s="54" t="str">
        <f t="shared" si="0"/>
        <v>COMPLETED</v>
      </c>
      <c r="N26" s="5">
        <f t="shared" si="4"/>
        <v>1499.3</v>
      </c>
      <c r="O26" s="3"/>
      <c r="P26" s="55">
        <f t="shared" si="3"/>
        <v>0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</f>
        <v>213235.25520000001</v>
      </c>
      <c r="L27" s="51">
        <f t="shared" ref="L27:L32" si="6">ROUND(K27/$G$34,5)</f>
        <v>7.1379999999999999E-2</v>
      </c>
      <c r="M27" s="54" t="str">
        <f t="shared" si="0"/>
        <v>COMPLETED</v>
      </c>
      <c r="N27" s="5"/>
      <c r="O27" s="3"/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423" t="s">
        <v>150</v>
      </c>
      <c r="C28" s="424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422592.86200000002</v>
      </c>
      <c r="K28" s="53">
        <f>G28</f>
        <v>422592.86200000002</v>
      </c>
      <c r="L28" s="51">
        <f t="shared" si="6"/>
        <v>0.14146</v>
      </c>
      <c r="M28" s="54" t="str">
        <f t="shared" si="0"/>
        <v>COMPLETED</v>
      </c>
      <c r="N28" s="5">
        <f t="shared" si="4"/>
        <v>71.290000000000006</v>
      </c>
      <c r="O28" s="3"/>
      <c r="P28" s="55">
        <f t="shared" si="3"/>
        <v>0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425" t="s">
        <v>151</v>
      </c>
      <c r="C30" s="426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G30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425" t="s">
        <v>152</v>
      </c>
      <c r="C31" s="426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G31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425" t="s">
        <v>153</v>
      </c>
      <c r="C32" s="426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>
        <f ca="1">SUM(H10:H36)</f>
        <v>1.0000200000000001</v>
      </c>
      <c r="I34" s="211"/>
      <c r="J34" s="209">
        <f>SUM(J10:J33)</f>
        <v>2751665.4089999995</v>
      </c>
      <c r="K34" s="209">
        <f>SUM(K10:K33)</f>
        <v>2964900.6641999995</v>
      </c>
      <c r="L34" s="212">
        <f>SUM(L10:L32)</f>
        <v>0.99246999999999996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0.99246999999999996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3"/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11"/>
      <c r="D39" s="67"/>
      <c r="E39" s="3"/>
      <c r="F39" s="64" t="s">
        <v>40</v>
      </c>
      <c r="I39" s="69">
        <f>J34</f>
        <v>2751665.4089999995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2751665.4089999995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7.5400000000000007E-3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1.5080000000000001E-2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7">
    <mergeCell ref="A80:B80"/>
    <mergeCell ref="C80:E80"/>
    <mergeCell ref="F80:H80"/>
    <mergeCell ref="J80:L80"/>
    <mergeCell ref="B32:C32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  <mergeCell ref="B31:C31"/>
    <mergeCell ref="B1:M1"/>
    <mergeCell ref="B7:C8"/>
    <mergeCell ref="D7:E7"/>
    <mergeCell ref="I7:K7"/>
    <mergeCell ref="D8:E8"/>
    <mergeCell ref="D9:G9"/>
    <mergeCell ref="B14:C14"/>
    <mergeCell ref="D14:E14"/>
    <mergeCell ref="F14:G14"/>
    <mergeCell ref="B28:C28"/>
    <mergeCell ref="B30:C30"/>
  </mergeCells>
  <conditionalFormatting sqref="M11:M23 N14:P14 M25:M28 M30:M33 M35:M36">
    <cfRule type="containsText" dxfId="5" priority="1" operator="containsText" text="On going">
      <formula>NOT(ISERROR(SEARCH("On going",M11)))</formula>
    </cfRule>
    <cfRule type="containsText" dxfId="4" priority="2" operator="containsText" text="Not Yet Started">
      <formula>NOT(ISERROR(SEARCH("Not Yet Started",M11)))</formula>
    </cfRule>
  </conditionalFormatting>
  <conditionalFormatting sqref="M11:M23 N14:P14 M25:M28 M30:M36">
    <cfRule type="containsText" dxfId="3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3B59-4309-4C39-9A26-AC2370791F8B}">
  <sheetPr codeName="Sheet16"/>
  <dimension ref="A2:Q50"/>
  <sheetViews>
    <sheetView view="pageBreakPreview" topLeftCell="A26" zoomScale="60" zoomScaleNormal="85" workbookViewId="0">
      <selection activeCell="I10" sqref="I10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3.3164062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46262</v>
      </c>
      <c r="C9" s="427"/>
      <c r="D9" s="427"/>
      <c r="E9" s="427"/>
      <c r="F9" s="427"/>
      <c r="H9" s="119" t="s">
        <v>67</v>
      </c>
      <c r="I9" s="120">
        <v>46262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46262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58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(August 24-28)'!L34</f>
        <v>0.99246999999999996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0.67014658722082132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0.67014658722082132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0.32232341277917864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0.61052631578947369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  <c r="M37" s="102" t="s">
        <v>170</v>
      </c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2" x14ac:dyDescent="0.15">
      <c r="B50" s="201" t="s">
        <v>124</v>
      </c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90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249C-D6DD-42E9-B075-D3F1B00ADBE8}">
  <sheetPr codeName="Sheet17"/>
  <dimension ref="A1:W92"/>
  <sheetViews>
    <sheetView view="pageBreakPreview" topLeftCell="E6" zoomScale="70" zoomScaleNormal="40" zoomScaleSheetLayoutView="70" workbookViewId="0">
      <selection activeCell="G11" sqref="G11"/>
    </sheetView>
  </sheetViews>
  <sheetFormatPr defaultColWidth="9.14453125" defaultRowHeight="12.75" x14ac:dyDescent="0.15"/>
  <cols>
    <col min="1" max="1" width="13.31640625" style="3" customWidth="1"/>
    <col min="2" max="2" width="29.32421875" style="3" customWidth="1"/>
    <col min="3" max="3" width="45.6015625" style="3" customWidth="1"/>
    <col min="4" max="4" width="10.89453125" style="75" customWidth="1"/>
    <col min="5" max="5" width="8.609375" style="3" customWidth="1"/>
    <col min="6" max="6" width="15.6015625" style="3" customWidth="1"/>
    <col min="7" max="7" width="18.96484375" style="3" customWidth="1"/>
    <col min="8" max="8" width="12.64453125" style="3" customWidth="1"/>
    <col min="9" max="9" width="16.27734375" style="3" customWidth="1"/>
    <col min="10" max="11" width="15.46875" style="3" customWidth="1"/>
    <col min="12" max="12" width="11.02734375" style="3" customWidth="1"/>
    <col min="13" max="13" width="18.4296875" style="3" customWidth="1"/>
    <col min="14" max="14" width="13.98828125" style="3" customWidth="1"/>
    <col min="15" max="15" width="15.06640625" style="3" bestFit="1" customWidth="1"/>
    <col min="16" max="16" width="9.14453125" style="4"/>
    <col min="17" max="17" width="10.35546875" style="4" customWidth="1"/>
    <col min="18" max="18" width="15.33203125" style="3" bestFit="1" customWidth="1"/>
    <col min="19" max="19" width="16.94921875" style="3" bestFit="1" customWidth="1"/>
    <col min="20" max="20" width="18.16015625" style="3" bestFit="1" customWidth="1"/>
    <col min="21" max="21" width="17.62109375" style="3" bestFit="1" customWidth="1"/>
    <col min="22" max="22" width="14.390625" style="3" customWidth="1"/>
    <col min="23" max="16384" width="9.14453125" style="3"/>
  </cols>
  <sheetData>
    <row r="1" spans="1:23" ht="21" customHeight="1" x14ac:dyDescent="0.15">
      <c r="A1" s="1"/>
      <c r="B1" s="411" t="s">
        <v>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2"/>
    </row>
    <row r="2" spans="1:23" x14ac:dyDescent="0.15">
      <c r="A2" s="1"/>
      <c r="D2" s="3"/>
      <c r="E2" s="11" t="s">
        <v>166</v>
      </c>
      <c r="F2" s="257">
        <f>'STEWA (July 6-9)'!I9</f>
        <v>46211</v>
      </c>
      <c r="N2" s="5"/>
    </row>
    <row r="3" spans="1:23" x14ac:dyDescent="0.15">
      <c r="A3" s="1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3" s="10" customFormat="1" ht="13.15" customHeight="1" x14ac:dyDescent="0.15">
      <c r="A4" s="7" t="s">
        <v>1</v>
      </c>
      <c r="B4" s="8" t="str">
        <f>'STEWA (July 6-9)'!I12</f>
        <v>CONSTRUCTION OF BOX CULVERT ALONG CATO-CONNER ROAD, TUAO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3"/>
      <c r="P4" s="4"/>
      <c r="Q4" s="4"/>
      <c r="R4" s="3"/>
    </row>
    <row r="5" spans="1:23" s="10" customFormat="1" ht="13.15" customHeight="1" x14ac:dyDescent="0.15">
      <c r="A5" s="11" t="s">
        <v>2</v>
      </c>
      <c r="B5" s="12" t="str">
        <f>'STEWA (July 6-9)'!I13</f>
        <v>Cato, Tuao, Cagayan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3"/>
      <c r="P5" s="4"/>
      <c r="Q5" s="4"/>
      <c r="R5" s="3"/>
    </row>
    <row r="6" spans="1:23" s="10" customFormat="1" ht="13.15" customHeight="1" thickBot="1" x14ac:dyDescent="0.2">
      <c r="A6" s="3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4"/>
      <c r="Q6" s="4"/>
      <c r="R6" s="256" t="s">
        <v>162</v>
      </c>
      <c r="S6" s="256" t="s">
        <v>163</v>
      </c>
      <c r="T6" s="256" t="s">
        <v>164</v>
      </c>
      <c r="U6" s="256" t="s">
        <v>165</v>
      </c>
    </row>
    <row r="7" spans="1:23" s="10" customFormat="1" ht="13.15" customHeight="1" x14ac:dyDescent="0.15">
      <c r="A7" s="14" t="s">
        <v>3</v>
      </c>
      <c r="B7" s="412" t="s">
        <v>4</v>
      </c>
      <c r="C7" s="413"/>
      <c r="D7" s="416" t="s">
        <v>5</v>
      </c>
      <c r="E7" s="417"/>
      <c r="F7" s="15" t="s">
        <v>6</v>
      </c>
      <c r="G7" s="15" t="s">
        <v>7</v>
      </c>
      <c r="H7" s="16" t="s">
        <v>8</v>
      </c>
      <c r="I7" s="418" t="s">
        <v>9</v>
      </c>
      <c r="J7" s="419"/>
      <c r="K7" s="420"/>
      <c r="L7" s="15" t="s">
        <v>8</v>
      </c>
      <c r="M7" s="17" t="s">
        <v>10</v>
      </c>
      <c r="N7" s="5"/>
      <c r="O7" s="3"/>
      <c r="P7" s="4"/>
      <c r="Q7" s="4"/>
      <c r="R7" s="255"/>
      <c r="S7" s="255"/>
      <c r="T7" s="255"/>
      <c r="U7" s="255"/>
      <c r="V7" s="254"/>
      <c r="W7" s="254"/>
    </row>
    <row r="8" spans="1:23" s="10" customFormat="1" ht="13.15" customHeight="1" x14ac:dyDescent="0.15">
      <c r="A8" s="18" t="s">
        <v>11</v>
      </c>
      <c r="B8" s="414"/>
      <c r="C8" s="415"/>
      <c r="D8" s="421" t="s">
        <v>12</v>
      </c>
      <c r="E8" s="422"/>
      <c r="F8" s="19" t="s">
        <v>13</v>
      </c>
      <c r="G8" s="19" t="s">
        <v>14</v>
      </c>
      <c r="H8" s="20" t="s">
        <v>15</v>
      </c>
      <c r="I8" s="21" t="s">
        <v>16</v>
      </c>
      <c r="J8" s="22" t="s">
        <v>17</v>
      </c>
      <c r="K8" s="22" t="s">
        <v>18</v>
      </c>
      <c r="L8" s="19" t="s">
        <v>15</v>
      </c>
      <c r="M8" s="23" t="s">
        <v>19</v>
      </c>
      <c r="N8" s="5"/>
      <c r="O8" s="24"/>
      <c r="P8" s="4"/>
      <c r="Q8" s="4"/>
      <c r="R8" s="254"/>
      <c r="S8" s="254"/>
      <c r="T8" s="254"/>
      <c r="U8" s="254"/>
      <c r="V8" s="254"/>
      <c r="W8" s="254"/>
    </row>
    <row r="9" spans="1:23" s="10" customFormat="1" ht="13.15" customHeight="1" x14ac:dyDescent="0.15">
      <c r="A9" s="25"/>
      <c r="B9" s="26"/>
      <c r="C9" s="27"/>
      <c r="D9" s="405" t="s">
        <v>20</v>
      </c>
      <c r="E9" s="406"/>
      <c r="F9" s="406"/>
      <c r="G9" s="406"/>
      <c r="H9" s="28"/>
      <c r="I9" s="29"/>
      <c r="J9" s="29"/>
      <c r="K9" s="30"/>
      <c r="L9" s="31"/>
      <c r="M9" s="32"/>
      <c r="N9" s="33"/>
      <c r="O9" s="3"/>
      <c r="P9" s="4"/>
      <c r="Q9" s="4"/>
      <c r="R9" s="254"/>
      <c r="S9" s="254"/>
      <c r="T9" s="254"/>
      <c r="U9" s="254"/>
      <c r="V9" s="254"/>
      <c r="W9" s="254"/>
    </row>
    <row r="10" spans="1:23" s="10" customFormat="1" ht="13.15" customHeight="1" x14ac:dyDescent="0.15">
      <c r="A10" s="36" t="s">
        <v>21</v>
      </c>
      <c r="B10" s="37" t="s">
        <v>22</v>
      </c>
      <c r="C10" s="38"/>
      <c r="D10" s="39"/>
      <c r="E10" s="40"/>
      <c r="F10" s="41"/>
      <c r="G10" s="42"/>
      <c r="H10" s="43"/>
      <c r="I10" s="44"/>
      <c r="J10" s="42"/>
      <c r="K10" s="44"/>
      <c r="L10" s="45"/>
      <c r="M10" s="46"/>
      <c r="N10" s="47"/>
      <c r="O10" s="3"/>
      <c r="P10" s="4"/>
      <c r="Q10" s="4"/>
      <c r="R10" s="254"/>
      <c r="S10" s="254"/>
      <c r="T10" s="254"/>
      <c r="U10" s="254"/>
      <c r="V10" s="254"/>
      <c r="W10" s="254"/>
    </row>
    <row r="11" spans="1:23" s="10" customFormat="1" ht="13.15" customHeight="1" x14ac:dyDescent="0.15">
      <c r="A11" s="48" t="s">
        <v>23</v>
      </c>
      <c r="B11" s="203" t="s">
        <v>24</v>
      </c>
      <c r="C11" s="204"/>
      <c r="D11" s="49">
        <v>2</v>
      </c>
      <c r="E11" s="50" t="s">
        <v>25</v>
      </c>
      <c r="F11" s="49">
        <v>6195</v>
      </c>
      <c r="G11" s="1">
        <f>F11*D11</f>
        <v>12390</v>
      </c>
      <c r="H11" s="51">
        <f>ROUND((G11/$G$34),5)</f>
        <v>4.15E-3</v>
      </c>
      <c r="I11" s="52"/>
      <c r="J11" s="53">
        <f>K11-I11</f>
        <v>12390</v>
      </c>
      <c r="K11" s="53">
        <f>F11*D11</f>
        <v>12390</v>
      </c>
      <c r="L11" s="51">
        <f>ROUND(K11/$G$34,5)</f>
        <v>4.15E-3</v>
      </c>
      <c r="M11" s="54" t="str">
        <f t="shared" ref="M11:M32" si="0">IF(L11=H11,"COMPLETED",IF(L11=0,"Not Yet Started","On going"))</f>
        <v>COMPLETED</v>
      </c>
      <c r="N11" s="5">
        <f>(J11/G11)*D11</f>
        <v>2</v>
      </c>
      <c r="O11" s="3"/>
      <c r="P11" s="55">
        <f>H11-L11</f>
        <v>0</v>
      </c>
      <c r="Q11" s="4"/>
      <c r="R11" s="254"/>
      <c r="S11" s="254"/>
      <c r="T11" s="254"/>
      <c r="U11" s="254"/>
      <c r="V11" s="254"/>
      <c r="W11" s="254"/>
    </row>
    <row r="12" spans="1:23" s="10" customFormat="1" ht="13.15" customHeight="1" x14ac:dyDescent="0.15">
      <c r="A12" s="48" t="s">
        <v>26</v>
      </c>
      <c r="B12" s="203" t="s">
        <v>27</v>
      </c>
      <c r="C12" s="204"/>
      <c r="D12" s="49">
        <v>1</v>
      </c>
      <c r="E12" s="50" t="s">
        <v>28</v>
      </c>
      <c r="F12" s="49">
        <v>15561</v>
      </c>
      <c r="G12" s="1">
        <f t="shared" ref="G12:G13" si="1">F12*D12</f>
        <v>15561</v>
      </c>
      <c r="H12" s="51">
        <f>ROUND((G12/$G$34),5)</f>
        <v>5.2100000000000002E-3</v>
      </c>
      <c r="I12" s="52"/>
      <c r="J12" s="53">
        <f t="shared" ref="J12:J32" si="2">K12-I12</f>
        <v>15561</v>
      </c>
      <c r="K12" s="53">
        <f>G12</f>
        <v>15561</v>
      </c>
      <c r="L12" s="51">
        <f>ROUND(K12/$G$34,5)</f>
        <v>5.2100000000000002E-3</v>
      </c>
      <c r="M12" s="54" t="str">
        <f t="shared" si="0"/>
        <v>COMPLETED</v>
      </c>
      <c r="N12" s="5">
        <f>(J12/G12)*D12</f>
        <v>1</v>
      </c>
      <c r="O12" s="3"/>
      <c r="P12" s="55">
        <f t="shared" ref="P12:P29" si="3">H12-L12</f>
        <v>0</v>
      </c>
      <c r="Q12" s="4"/>
      <c r="R12" s="254"/>
      <c r="S12" s="254"/>
      <c r="T12" s="254"/>
      <c r="U12" s="254"/>
      <c r="V12" s="254"/>
      <c r="W12" s="254"/>
    </row>
    <row r="13" spans="1:23" s="10" customFormat="1" ht="13.15" customHeight="1" x14ac:dyDescent="0.15">
      <c r="A13" s="56" t="s">
        <v>29</v>
      </c>
      <c r="B13" s="203" t="s">
        <v>30</v>
      </c>
      <c r="C13" s="204"/>
      <c r="D13" s="49">
        <v>1</v>
      </c>
      <c r="E13" s="50" t="s">
        <v>28</v>
      </c>
      <c r="F13" s="49">
        <v>29488.2</v>
      </c>
      <c r="G13" s="1">
        <f t="shared" si="1"/>
        <v>29488.2</v>
      </c>
      <c r="H13" s="51">
        <f>ROUND((G13/$G$34),5)</f>
        <v>9.8700000000000003E-3</v>
      </c>
      <c r="I13" s="52"/>
      <c r="J13" s="53">
        <f>K13-I13</f>
        <v>29488.2</v>
      </c>
      <c r="K13" s="53">
        <f>F13</f>
        <v>29488.2</v>
      </c>
      <c r="L13" s="51">
        <f>ROUND(K13/$G$34,5)</f>
        <v>9.8700000000000003E-3</v>
      </c>
      <c r="M13" s="54" t="str">
        <f t="shared" si="0"/>
        <v>COMPLETED</v>
      </c>
      <c r="N13" s="5">
        <f t="shared" ref="N13:N29" si="4">(J13/G13)*D13</f>
        <v>1</v>
      </c>
      <c r="O13" s="3"/>
      <c r="P13" s="55">
        <f t="shared" si="3"/>
        <v>0</v>
      </c>
      <c r="Q13" s="4"/>
      <c r="R13" s="254"/>
      <c r="S13" s="254"/>
      <c r="T13" s="254"/>
      <c r="U13" s="254"/>
      <c r="V13" s="254"/>
      <c r="W13" s="254"/>
    </row>
    <row r="14" spans="1:23" s="10" customFormat="1" ht="13.15" customHeight="1" x14ac:dyDescent="0.15">
      <c r="A14" s="233" t="s">
        <v>31</v>
      </c>
      <c r="B14" s="407" t="s">
        <v>32</v>
      </c>
      <c r="C14" s="408"/>
      <c r="D14" s="265"/>
      <c r="E14" s="266"/>
      <c r="F14" s="409"/>
      <c r="G14" s="410"/>
      <c r="H14" s="57"/>
      <c r="I14" s="58"/>
      <c r="J14" s="58"/>
      <c r="K14" s="58"/>
      <c r="L14" s="59"/>
      <c r="M14" s="222"/>
      <c r="N14" s="223"/>
      <c r="O14" s="223"/>
      <c r="P14" s="223"/>
      <c r="Q14" s="4"/>
      <c r="R14" s="254"/>
      <c r="S14" s="254"/>
      <c r="T14" s="254"/>
      <c r="U14" s="254"/>
      <c r="V14" s="254"/>
      <c r="W14" s="254"/>
    </row>
    <row r="15" spans="1:23" s="10" customFormat="1" ht="13.15" customHeight="1" x14ac:dyDescent="0.15">
      <c r="A15" s="48" t="s">
        <v>127</v>
      </c>
      <c r="B15" s="205" t="s">
        <v>134</v>
      </c>
      <c r="C15" s="206"/>
      <c r="D15" s="49">
        <v>88.45</v>
      </c>
      <c r="E15" s="50" t="s">
        <v>34</v>
      </c>
      <c r="F15" s="49">
        <v>582.35</v>
      </c>
      <c r="G15" s="1">
        <f>F15*D15</f>
        <v>51508.857500000006</v>
      </c>
      <c r="H15" s="51">
        <f>ROUND((G15/$G$34),5)</f>
        <v>1.7239999999999998E-2</v>
      </c>
      <c r="I15" s="52"/>
      <c r="J15" s="53">
        <f t="shared" si="2"/>
        <v>51508.857500000006</v>
      </c>
      <c r="K15" s="53">
        <f>D15*F15</f>
        <v>51508.857500000006</v>
      </c>
      <c r="L15" s="51">
        <f>ROUND(K15/$G$34,5)</f>
        <v>1.7239999999999998E-2</v>
      </c>
      <c r="M15" s="54" t="str">
        <f t="shared" si="0"/>
        <v>COMPLETED</v>
      </c>
      <c r="N15" s="5">
        <f t="shared" si="4"/>
        <v>88.45</v>
      </c>
      <c r="O15" s="3"/>
      <c r="P15" s="224">
        <f t="shared" si="3"/>
        <v>0</v>
      </c>
      <c r="Q15" s="4"/>
      <c r="R15" s="254"/>
      <c r="S15" s="254"/>
      <c r="T15" s="254"/>
      <c r="U15" s="254"/>
      <c r="V15" s="254"/>
      <c r="W15" s="254"/>
    </row>
    <row r="16" spans="1:23" s="10" customFormat="1" ht="13.15" customHeight="1" x14ac:dyDescent="0.15">
      <c r="A16" s="48" t="s">
        <v>128</v>
      </c>
      <c r="B16" s="205" t="s">
        <v>135</v>
      </c>
      <c r="C16" s="206"/>
      <c r="D16" s="49">
        <v>40.85</v>
      </c>
      <c r="E16" s="50" t="s">
        <v>33</v>
      </c>
      <c r="F16" s="49">
        <v>673.88</v>
      </c>
      <c r="G16" s="1">
        <f>F16*D16</f>
        <v>27527.998</v>
      </c>
      <c r="H16" s="51">
        <f>ROUND((G16/$G$34),5)</f>
        <v>9.2099999999999994E-3</v>
      </c>
      <c r="I16" s="52"/>
      <c r="J16" s="53">
        <f t="shared" si="2"/>
        <v>27527.998</v>
      </c>
      <c r="K16" s="53">
        <f>D16*F16</f>
        <v>27527.998</v>
      </c>
      <c r="L16" s="51">
        <f>ROUND(K16/$G$34,5)</f>
        <v>9.2099999999999994E-3</v>
      </c>
      <c r="M16" s="54" t="str">
        <f t="shared" si="0"/>
        <v>COMPLETED</v>
      </c>
      <c r="N16" s="5">
        <f t="shared" si="4"/>
        <v>40.85</v>
      </c>
      <c r="O16" s="3"/>
      <c r="P16" s="224">
        <f t="shared" si="3"/>
        <v>0</v>
      </c>
      <c r="Q16" s="4"/>
      <c r="R16" s="254"/>
      <c r="S16" s="254"/>
      <c r="T16" s="254"/>
      <c r="U16" s="254"/>
      <c r="V16" s="254"/>
      <c r="W16" s="254"/>
    </row>
    <row r="17" spans="1:23" s="10" customFormat="1" ht="13.15" customHeight="1" x14ac:dyDescent="0.15">
      <c r="A17" s="48" t="s">
        <v>129</v>
      </c>
      <c r="B17" s="205" t="s">
        <v>136</v>
      </c>
      <c r="C17" s="204"/>
      <c r="D17" s="49">
        <v>36.25</v>
      </c>
      <c r="E17" s="50" t="s">
        <v>33</v>
      </c>
      <c r="F17" s="49">
        <v>462.81</v>
      </c>
      <c r="G17" s="1">
        <f>F17*D17</f>
        <v>16776.862499999999</v>
      </c>
      <c r="H17" s="51">
        <f>ROUND((G17/$G$34),5)</f>
        <v>5.62E-3</v>
      </c>
      <c r="I17" s="52"/>
      <c r="J17" s="53">
        <f>K17-I17</f>
        <v>16776.862499999999</v>
      </c>
      <c r="K17" s="53">
        <f>D17*F17</f>
        <v>16776.862499999999</v>
      </c>
      <c r="L17" s="51">
        <f>ROUND(K17/$G$34,5)</f>
        <v>5.62E-3</v>
      </c>
      <c r="M17" s="54" t="str">
        <f t="shared" si="0"/>
        <v>COMPLETED</v>
      </c>
      <c r="N17" s="5">
        <f t="shared" si="4"/>
        <v>36.25</v>
      </c>
      <c r="O17" s="3"/>
      <c r="P17" s="224">
        <f t="shared" si="3"/>
        <v>0</v>
      </c>
      <c r="Q17" s="4"/>
      <c r="R17" s="254"/>
      <c r="S17" s="254"/>
      <c r="T17" s="254"/>
      <c r="U17" s="254"/>
      <c r="V17" s="254"/>
      <c r="W17" s="254"/>
    </row>
    <row r="18" spans="1:23" s="10" customFormat="1" ht="13.15" customHeight="1" x14ac:dyDescent="0.15">
      <c r="A18" s="48" t="s">
        <v>130</v>
      </c>
      <c r="B18" s="205" t="s">
        <v>137</v>
      </c>
      <c r="C18" s="204"/>
      <c r="D18" s="49">
        <v>166.05</v>
      </c>
      <c r="E18" s="50" t="s">
        <v>34</v>
      </c>
      <c r="F18" s="49">
        <v>142.63</v>
      </c>
      <c r="G18" s="1">
        <f t="shared" ref="G18:G32" si="5">F18*D18</f>
        <v>23683.711500000001</v>
      </c>
      <c r="H18" s="51">
        <f>ROUND((G18/$G$34),5)</f>
        <v>7.9299999999999995E-3</v>
      </c>
      <c r="I18" s="52"/>
      <c r="J18" s="53">
        <f t="shared" si="2"/>
        <v>23683.711500000001</v>
      </c>
      <c r="K18" s="53">
        <f>D18*F18</f>
        <v>23683.711500000001</v>
      </c>
      <c r="L18" s="51">
        <f>ROUND(K18/$G$34,5)</f>
        <v>7.9299999999999995E-3</v>
      </c>
      <c r="M18" s="54" t="str">
        <f t="shared" si="0"/>
        <v>COMPLETED</v>
      </c>
      <c r="N18" s="5">
        <f>(J18/G18)*D18</f>
        <v>166.05</v>
      </c>
      <c r="O18" s="3"/>
      <c r="P18" s="224">
        <f t="shared" si="3"/>
        <v>0</v>
      </c>
      <c r="Q18" s="4"/>
      <c r="R18" s="254"/>
      <c r="S18" s="254"/>
      <c r="T18" s="254"/>
      <c r="U18" s="254"/>
      <c r="V18" s="254"/>
      <c r="W18" s="254"/>
    </row>
    <row r="19" spans="1:23" s="10" customFormat="1" ht="12.75" customHeight="1" x14ac:dyDescent="0.15">
      <c r="A19" s="234" t="s">
        <v>132</v>
      </c>
      <c r="B19" s="225" t="s">
        <v>133</v>
      </c>
      <c r="C19" s="215"/>
      <c r="D19" s="216"/>
      <c r="E19" s="217"/>
      <c r="F19" s="216"/>
      <c r="G19" s="218"/>
      <c r="H19" s="219"/>
      <c r="I19" s="220"/>
      <c r="J19" s="221"/>
      <c r="K19" s="221"/>
      <c r="L19" s="219"/>
      <c r="M19" s="222"/>
      <c r="N19" s="5"/>
      <c r="O19" s="3"/>
      <c r="P19" s="224"/>
      <c r="Q19" s="4"/>
      <c r="R19" s="254"/>
      <c r="S19" s="254"/>
      <c r="T19" s="254"/>
      <c r="U19" s="254"/>
      <c r="V19" s="254"/>
      <c r="W19" s="254"/>
    </row>
    <row r="20" spans="1:23" s="10" customFormat="1" ht="13.15" customHeight="1" x14ac:dyDescent="0.15">
      <c r="A20" s="48" t="s">
        <v>131</v>
      </c>
      <c r="B20" s="205" t="s">
        <v>169</v>
      </c>
      <c r="C20" s="204"/>
      <c r="D20" s="49">
        <v>42.64</v>
      </c>
      <c r="E20" s="50" t="s">
        <v>33</v>
      </c>
      <c r="F20" s="49">
        <v>942.84</v>
      </c>
      <c r="G20" s="1">
        <f t="shared" si="5"/>
        <v>40202.6976</v>
      </c>
      <c r="H20" s="51">
        <f>ROUND((G20/$G$34),5)</f>
        <v>1.346E-2</v>
      </c>
      <c r="I20" s="52">
        <v>0</v>
      </c>
      <c r="J20" s="258">
        <f>K20-I20</f>
        <v>40202.6976</v>
      </c>
      <c r="K20" s="53">
        <f>D20*F20</f>
        <v>40202.6976</v>
      </c>
      <c r="L20" s="51">
        <f>ROUND(K20/$G$34,5)</f>
        <v>1.346E-2</v>
      </c>
      <c r="M20" s="54" t="str">
        <f t="shared" si="0"/>
        <v>COMPLETED</v>
      </c>
      <c r="N20" s="5">
        <f t="shared" si="4"/>
        <v>42.64</v>
      </c>
      <c r="O20" s="3"/>
      <c r="P20" s="55">
        <f t="shared" si="3"/>
        <v>0</v>
      </c>
      <c r="Q20" s="4"/>
      <c r="R20" s="254"/>
      <c r="S20" s="254"/>
      <c r="T20" s="254"/>
      <c r="U20" s="254"/>
      <c r="V20" s="254"/>
      <c r="W20" s="254"/>
    </row>
    <row r="21" spans="1:23" s="10" customFormat="1" ht="13.15" customHeight="1" x14ac:dyDescent="0.15">
      <c r="A21" s="234" t="s">
        <v>138</v>
      </c>
      <c r="B21" s="225" t="s">
        <v>139</v>
      </c>
      <c r="C21" s="215"/>
      <c r="D21" s="216"/>
      <c r="E21" s="217"/>
      <c r="F21" s="216"/>
      <c r="G21" s="216"/>
      <c r="H21" s="216"/>
      <c r="I21" s="220"/>
      <c r="J21" s="221"/>
      <c r="K21" s="221"/>
      <c r="L21" s="219"/>
      <c r="M21" s="222"/>
      <c r="N21" s="5"/>
      <c r="O21" s="3"/>
      <c r="P21" s="55"/>
      <c r="Q21" s="4"/>
      <c r="R21" s="254"/>
      <c r="S21" s="254"/>
      <c r="T21" s="254"/>
      <c r="U21" s="254"/>
      <c r="V21" s="254"/>
      <c r="W21" s="254"/>
    </row>
    <row r="22" spans="1:23" s="10" customFormat="1" ht="13.15" customHeight="1" x14ac:dyDescent="0.15">
      <c r="A22" s="48" t="s">
        <v>156</v>
      </c>
      <c r="B22" s="205" t="s">
        <v>158</v>
      </c>
      <c r="C22" s="204"/>
      <c r="D22" s="244">
        <v>125.05</v>
      </c>
      <c r="E22" s="50" t="s">
        <v>34</v>
      </c>
      <c r="F22" s="244">
        <v>2614.56</v>
      </c>
      <c r="G22" s="1">
        <f t="shared" si="5"/>
        <v>326950.728</v>
      </c>
      <c r="H22" s="51">
        <f>ROUND((G22/$G$34),5)</f>
        <v>0.10944</v>
      </c>
      <c r="I22" s="245"/>
      <c r="J22" s="53">
        <f t="shared" si="2"/>
        <v>326950.728</v>
      </c>
      <c r="K22" s="53">
        <f>G22</f>
        <v>326950.728</v>
      </c>
      <c r="L22" s="51">
        <f>ROUND(K22/$G$34,5)</f>
        <v>0.10944</v>
      </c>
      <c r="M22" s="54" t="str">
        <f t="shared" si="0"/>
        <v>COMPLETED</v>
      </c>
      <c r="N22" s="5"/>
      <c r="O22" s="3"/>
      <c r="P22" s="224"/>
      <c r="Q22" s="246"/>
      <c r="R22" s="254"/>
      <c r="S22" s="254"/>
      <c r="T22" s="254"/>
      <c r="U22" s="254"/>
      <c r="V22" s="254"/>
      <c r="W22" s="254"/>
    </row>
    <row r="23" spans="1:23" s="10" customFormat="1" ht="13.15" customHeight="1" x14ac:dyDescent="0.15">
      <c r="A23" s="48" t="s">
        <v>157</v>
      </c>
      <c r="B23" s="205" t="s">
        <v>159</v>
      </c>
      <c r="C23" s="204"/>
      <c r="D23" s="244">
        <v>49.07</v>
      </c>
      <c r="E23" s="50" t="s">
        <v>34</v>
      </c>
      <c r="F23" s="244">
        <v>2792.47</v>
      </c>
      <c r="G23" s="1">
        <f t="shared" si="5"/>
        <v>137026.50289999999</v>
      </c>
      <c r="H23" s="51">
        <f>ROUND((G23/$G$34),5)</f>
        <v>4.5870000000000001E-2</v>
      </c>
      <c r="I23" s="245"/>
      <c r="J23" s="53">
        <f t="shared" si="2"/>
        <v>137026.50289999999</v>
      </c>
      <c r="K23" s="53">
        <f>G23</f>
        <v>137026.50289999999</v>
      </c>
      <c r="L23" s="51">
        <f>ROUND(K23/$G$34,5)</f>
        <v>4.5870000000000001E-2</v>
      </c>
      <c r="M23" s="54" t="str">
        <f t="shared" si="0"/>
        <v>COMPLETED</v>
      </c>
      <c r="N23" s="5"/>
      <c r="O23" s="3"/>
      <c r="P23" s="224"/>
      <c r="Q23" s="246"/>
      <c r="R23" s="254"/>
      <c r="S23" s="254"/>
      <c r="T23" s="254"/>
      <c r="U23" s="254"/>
      <c r="V23" s="254"/>
      <c r="W23" s="254"/>
    </row>
    <row r="24" spans="1:23" s="251" customFormat="1" ht="13.15" customHeight="1" x14ac:dyDescent="0.15">
      <c r="A24" s="252" t="s">
        <v>160</v>
      </c>
      <c r="B24" s="225" t="s">
        <v>161</v>
      </c>
      <c r="C24" s="253"/>
      <c r="D24" s="216"/>
      <c r="E24" s="217"/>
      <c r="F24" s="216"/>
      <c r="G24" s="218"/>
      <c r="H24" s="219"/>
      <c r="I24" s="220"/>
      <c r="J24" s="220"/>
      <c r="K24" s="220"/>
      <c r="L24" s="220"/>
      <c r="M24" s="220"/>
      <c r="N24" s="247"/>
      <c r="O24" s="248"/>
      <c r="P24" s="249"/>
      <c r="Q24" s="250"/>
      <c r="R24" s="254"/>
      <c r="S24" s="254"/>
      <c r="T24" s="254"/>
      <c r="U24" s="254"/>
      <c r="V24" s="254"/>
      <c r="W24" s="254"/>
    </row>
    <row r="25" spans="1:23" s="10" customFormat="1" ht="13.15" customHeight="1" x14ac:dyDescent="0.15">
      <c r="A25" s="242" t="s">
        <v>140</v>
      </c>
      <c r="B25" s="235" t="s">
        <v>141</v>
      </c>
      <c r="C25" s="236"/>
      <c r="D25" s="237"/>
      <c r="E25" s="238"/>
      <c r="F25" s="237"/>
      <c r="G25" s="239"/>
      <c r="H25" s="240"/>
      <c r="I25" s="241"/>
      <c r="J25" s="53"/>
      <c r="K25" s="53"/>
      <c r="L25" s="51"/>
      <c r="M25" s="54"/>
      <c r="N25" s="5" t="e">
        <f t="shared" si="4"/>
        <v>#DIV/0!</v>
      </c>
      <c r="O25" s="3"/>
      <c r="P25" s="55">
        <f t="shared" si="3"/>
        <v>0</v>
      </c>
      <c r="Q25" s="4"/>
      <c r="R25" s="254"/>
      <c r="S25" s="254"/>
      <c r="T25" s="254"/>
      <c r="U25" s="254"/>
      <c r="V25" s="254"/>
      <c r="W25" s="254"/>
    </row>
    <row r="26" spans="1:23" s="10" customFormat="1" ht="12.75" customHeight="1" x14ac:dyDescent="0.15">
      <c r="A26" s="48" t="s">
        <v>142</v>
      </c>
      <c r="B26" s="205" t="s">
        <v>148</v>
      </c>
      <c r="C26" s="204"/>
      <c r="D26" s="49">
        <v>1499.3</v>
      </c>
      <c r="E26" s="50" t="s">
        <v>126</v>
      </c>
      <c r="F26" s="49">
        <v>119.31</v>
      </c>
      <c r="G26" s="1">
        <f t="shared" si="5"/>
        <v>178881.48300000001</v>
      </c>
      <c r="H26" s="51">
        <f>ROUND((G26/$G$34),5)</f>
        <v>5.9880000000000003E-2</v>
      </c>
      <c r="I26" s="52"/>
      <c r="J26" s="53">
        <f t="shared" si="2"/>
        <v>178881.48300000001</v>
      </c>
      <c r="K26" s="53">
        <f>G26</f>
        <v>178881.48300000001</v>
      </c>
      <c r="L26" s="51">
        <f>ROUND(K26/$G$34,5)</f>
        <v>5.9880000000000003E-2</v>
      </c>
      <c r="M26" s="54" t="str">
        <f t="shared" si="0"/>
        <v>COMPLETED</v>
      </c>
      <c r="N26" s="5">
        <f t="shared" si="4"/>
        <v>1499.3</v>
      </c>
      <c r="O26" s="259">
        <f>D26*0.5</f>
        <v>749.65</v>
      </c>
      <c r="P26" s="55">
        <f t="shared" si="3"/>
        <v>0</v>
      </c>
      <c r="Q26" s="4"/>
      <c r="R26" s="254"/>
      <c r="S26" s="254"/>
      <c r="T26" s="254"/>
      <c r="U26" s="254"/>
      <c r="V26" s="254"/>
      <c r="W26" s="254"/>
    </row>
    <row r="27" spans="1:23" s="10" customFormat="1" ht="13.15" customHeight="1" x14ac:dyDescent="0.15">
      <c r="A27" s="214" t="s">
        <v>143</v>
      </c>
      <c r="B27" s="205" t="s">
        <v>149</v>
      </c>
      <c r="C27" s="204"/>
      <c r="D27" s="49">
        <v>1665.38</v>
      </c>
      <c r="E27" s="50" t="s">
        <v>126</v>
      </c>
      <c r="F27" s="49">
        <v>128.04</v>
      </c>
      <c r="G27" s="1">
        <f t="shared" si="5"/>
        <v>213235.25520000001</v>
      </c>
      <c r="H27" s="51">
        <f>ROUND((G27/$G$34),5)</f>
        <v>7.1379999999999999E-2</v>
      </c>
      <c r="I27" s="52"/>
      <c r="J27" s="53"/>
      <c r="K27" s="53">
        <f>G27</f>
        <v>213235.25520000001</v>
      </c>
      <c r="L27" s="51">
        <f t="shared" ref="L27:L32" si="6">ROUND(K27/$G$34,5)</f>
        <v>7.1379999999999999E-2</v>
      </c>
      <c r="M27" s="54" t="str">
        <f t="shared" si="0"/>
        <v>COMPLETED</v>
      </c>
      <c r="N27" s="5"/>
      <c r="O27" s="259">
        <f>D27*0.5</f>
        <v>832.69</v>
      </c>
      <c r="P27" s="55"/>
      <c r="Q27" s="4"/>
      <c r="R27" s="254"/>
      <c r="S27" s="254"/>
      <c r="T27" s="254"/>
      <c r="U27" s="254"/>
      <c r="V27" s="254"/>
      <c r="W27" s="254"/>
    </row>
    <row r="28" spans="1:23" s="10" customFormat="1" ht="13.15" customHeight="1" x14ac:dyDescent="0.15">
      <c r="A28" s="48" t="s">
        <v>144</v>
      </c>
      <c r="B28" s="261" t="s">
        <v>150</v>
      </c>
      <c r="C28" s="262"/>
      <c r="D28" s="49">
        <v>71.290000000000006</v>
      </c>
      <c r="E28" s="50" t="s">
        <v>33</v>
      </c>
      <c r="F28" s="49">
        <v>5927.8</v>
      </c>
      <c r="G28" s="1">
        <f t="shared" si="5"/>
        <v>422592.86200000002</v>
      </c>
      <c r="H28" s="51">
        <f>ROUND((G28/$G$34),5)</f>
        <v>0.14146</v>
      </c>
      <c r="I28" s="52"/>
      <c r="J28" s="53">
        <f t="shared" si="2"/>
        <v>422592.86200000002</v>
      </c>
      <c r="K28" s="53">
        <f>G28</f>
        <v>422592.86200000002</v>
      </c>
      <c r="L28" s="51">
        <f t="shared" si="6"/>
        <v>0.14146</v>
      </c>
      <c r="M28" s="54" t="str">
        <f t="shared" si="0"/>
        <v>COMPLETED</v>
      </c>
      <c r="N28" s="5">
        <f t="shared" si="4"/>
        <v>71.290000000000006</v>
      </c>
      <c r="O28" s="259">
        <f>D28*0.5</f>
        <v>35.645000000000003</v>
      </c>
      <c r="P28" s="55">
        <f t="shared" si="3"/>
        <v>0</v>
      </c>
      <c r="Q28" s="4"/>
      <c r="R28" s="254"/>
      <c r="S28" s="254"/>
      <c r="T28" s="254"/>
      <c r="U28" s="254"/>
      <c r="V28" s="254"/>
      <c r="W28" s="254"/>
    </row>
    <row r="29" spans="1:23" s="10" customFormat="1" ht="13.15" customHeight="1" x14ac:dyDescent="0.15">
      <c r="A29" s="242" t="s">
        <v>145</v>
      </c>
      <c r="B29" s="243" t="s">
        <v>146</v>
      </c>
      <c r="C29" s="236"/>
      <c r="D29" s="237"/>
      <c r="E29" s="238"/>
      <c r="F29" s="237"/>
      <c r="G29" s="239"/>
      <c r="H29" s="240"/>
      <c r="I29" s="241"/>
      <c r="J29" s="241"/>
      <c r="K29" s="29"/>
      <c r="L29" s="29"/>
      <c r="M29" s="29"/>
      <c r="N29" s="5" t="e">
        <f t="shared" si="4"/>
        <v>#DIV/0!</v>
      </c>
      <c r="O29" s="3"/>
      <c r="P29" s="55">
        <f t="shared" si="3"/>
        <v>0</v>
      </c>
      <c r="Q29" s="4"/>
      <c r="R29" s="254"/>
      <c r="S29" s="254"/>
      <c r="T29" s="254"/>
      <c r="U29" s="254"/>
      <c r="V29" s="254"/>
      <c r="W29" s="254"/>
    </row>
    <row r="30" spans="1:23" s="10" customFormat="1" ht="13.15" customHeight="1" x14ac:dyDescent="0.15">
      <c r="A30" s="213" t="s">
        <v>142</v>
      </c>
      <c r="B30" s="263" t="s">
        <v>151</v>
      </c>
      <c r="C30" s="264"/>
      <c r="D30" s="49">
        <v>4406.33</v>
      </c>
      <c r="E30" s="50" t="s">
        <v>126</v>
      </c>
      <c r="F30" s="49">
        <v>109.59</v>
      </c>
      <c r="G30" s="1">
        <f t="shared" si="5"/>
        <v>482889.7047</v>
      </c>
      <c r="H30" s="207">
        <f>ROUND((G30/$G$34),5)</f>
        <v>0.16164000000000001</v>
      </c>
      <c r="I30" s="52"/>
      <c r="J30" s="53">
        <f t="shared" si="2"/>
        <v>482889.7047</v>
      </c>
      <c r="K30" s="53">
        <f>D30*F30</f>
        <v>482889.7047</v>
      </c>
      <c r="L30" s="51">
        <f t="shared" si="6"/>
        <v>0.16164000000000001</v>
      </c>
      <c r="M30" s="54" t="str">
        <f>IF(L30=H30,"COMPLETED",IF(L30=0,"Not Yet Started","On going"))</f>
        <v>COMPLETED</v>
      </c>
      <c r="N30" s="5"/>
      <c r="O30" s="3"/>
      <c r="P30" s="55"/>
      <c r="Q30" s="4"/>
      <c r="R30" s="254"/>
      <c r="S30" s="254"/>
      <c r="T30" s="254"/>
      <c r="U30" s="254"/>
      <c r="V30" s="254"/>
      <c r="W30" s="254"/>
    </row>
    <row r="31" spans="1:23" s="10" customFormat="1" ht="13.15" customHeight="1" x14ac:dyDescent="0.15">
      <c r="A31" s="213" t="s">
        <v>143</v>
      </c>
      <c r="B31" s="263" t="s">
        <v>152</v>
      </c>
      <c r="C31" s="264"/>
      <c r="D31" s="49">
        <v>3045.99</v>
      </c>
      <c r="E31" s="50" t="s">
        <v>126</v>
      </c>
      <c r="F31" s="49">
        <v>125.23</v>
      </c>
      <c r="G31" s="1">
        <f t="shared" si="5"/>
        <v>381449.32769999997</v>
      </c>
      <c r="H31" s="207">
        <f>ROUND((G31/$G$34),5)</f>
        <v>0.12767999999999999</v>
      </c>
      <c r="I31" s="52"/>
      <c r="J31" s="53">
        <f t="shared" si="2"/>
        <v>381449.32769999997</v>
      </c>
      <c r="K31" s="53">
        <f>D31*F31</f>
        <v>381449.32769999997</v>
      </c>
      <c r="L31" s="51">
        <f t="shared" si="6"/>
        <v>0.12767999999999999</v>
      </c>
      <c r="M31" s="54" t="str">
        <f t="shared" si="0"/>
        <v>COMPLETED</v>
      </c>
      <c r="N31" s="5"/>
      <c r="O31" s="3"/>
      <c r="P31" s="55"/>
      <c r="Q31" s="4"/>
      <c r="R31" s="254"/>
      <c r="S31" s="254"/>
      <c r="T31" s="254"/>
      <c r="U31" s="254"/>
      <c r="V31" s="254"/>
      <c r="W31" s="254"/>
    </row>
    <row r="32" spans="1:23" s="10" customFormat="1" ht="13.15" customHeight="1" x14ac:dyDescent="0.15">
      <c r="A32" s="226" t="s">
        <v>147</v>
      </c>
      <c r="B32" s="263" t="s">
        <v>153</v>
      </c>
      <c r="C32" s="264"/>
      <c r="D32" s="49">
        <v>101.82</v>
      </c>
      <c r="E32" s="50" t="s">
        <v>33</v>
      </c>
      <c r="F32" s="49">
        <v>6160.48</v>
      </c>
      <c r="G32" s="1">
        <f t="shared" si="5"/>
        <v>627260.07359999989</v>
      </c>
      <c r="H32" s="207">
        <f>ROUND((G32/$G$34),5)</f>
        <v>0.20996999999999999</v>
      </c>
      <c r="I32" s="52"/>
      <c r="J32" s="53">
        <f t="shared" si="2"/>
        <v>627260.07359999989</v>
      </c>
      <c r="K32" s="53">
        <f>G32</f>
        <v>627260.07359999989</v>
      </c>
      <c r="L32" s="51">
        <f t="shared" si="6"/>
        <v>0.20996999999999999</v>
      </c>
      <c r="M32" s="54" t="str">
        <f t="shared" si="0"/>
        <v>COMPLETED</v>
      </c>
      <c r="N32" s="5"/>
      <c r="O32" s="3"/>
      <c r="P32" s="55"/>
      <c r="Q32" s="4"/>
      <c r="R32" s="254"/>
      <c r="S32" s="254"/>
      <c r="T32" s="254"/>
      <c r="U32" s="254"/>
      <c r="V32" s="254"/>
      <c r="W32" s="254"/>
    </row>
    <row r="33" spans="1:21" s="10" customFormat="1" ht="13.15" customHeight="1" thickBot="1" x14ac:dyDescent="0.2">
      <c r="A33" s="227"/>
      <c r="B33" s="398"/>
      <c r="C33" s="399"/>
      <c r="D33" s="228"/>
      <c r="E33" s="229"/>
      <c r="F33" s="230"/>
      <c r="G33" s="230"/>
      <c r="H33" s="51"/>
      <c r="I33" s="231"/>
      <c r="J33" s="230"/>
      <c r="K33" s="230"/>
      <c r="L33" s="51"/>
      <c r="M33" s="232"/>
      <c r="N33" s="60"/>
      <c r="O33" s="3"/>
      <c r="P33" s="55"/>
      <c r="Q33" s="4"/>
      <c r="R33" s="34"/>
      <c r="S33" s="35"/>
      <c r="T33" s="34"/>
    </row>
    <row r="34" spans="1:21" s="10" customFormat="1" ht="13.15" customHeight="1" thickBot="1" x14ac:dyDescent="0.2">
      <c r="A34" s="400" t="s">
        <v>36</v>
      </c>
      <c r="B34" s="400"/>
      <c r="C34" s="400"/>
      <c r="D34" s="400"/>
      <c r="E34" s="400"/>
      <c r="F34" s="208"/>
      <c r="G34" s="209">
        <f>SUM(G10:G32)</f>
        <v>2987425.2641999996</v>
      </c>
      <c r="H34" s="210" t="e">
        <f ca="1">SUM(H10:H36)</f>
        <v>#DIV/0!</v>
      </c>
      <c r="I34" s="211"/>
      <c r="J34" s="209">
        <f>SUM(J10:J33)</f>
        <v>2774190.0089999996</v>
      </c>
      <c r="K34" s="209">
        <f>SUM(K10:K33)</f>
        <v>2987425.2641999996</v>
      </c>
      <c r="L34" s="212">
        <f>SUM(L10:L32)</f>
        <v>1.0000100000000001</v>
      </c>
      <c r="M34" s="212"/>
      <c r="N34" s="61" t="s">
        <v>37</v>
      </c>
      <c r="O34" s="3"/>
      <c r="P34" s="55"/>
      <c r="Q34" s="4"/>
      <c r="R34" s="34"/>
      <c r="S34" s="35"/>
      <c r="T34" s="34"/>
    </row>
    <row r="35" spans="1:21" s="10" customFormat="1" ht="13.15" customHeight="1" x14ac:dyDescent="0.15">
      <c r="A35" s="62"/>
      <c r="C35" s="3"/>
      <c r="D35" s="63"/>
      <c r="E35" s="12"/>
      <c r="F35" s="64"/>
      <c r="G35" s="64"/>
      <c r="H35" s="65"/>
      <c r="I35" s="66"/>
      <c r="J35" s="64"/>
      <c r="K35" s="64"/>
      <c r="L35" s="65"/>
      <c r="M35" s="5"/>
      <c r="N35" s="5"/>
      <c r="O35" s="3"/>
      <c r="P35" s="55"/>
      <c r="Q35" s="4"/>
      <c r="R35" s="34"/>
      <c r="S35" s="35"/>
      <c r="T35" s="34"/>
    </row>
    <row r="36" spans="1:21" s="10" customFormat="1" ht="13.15" customHeight="1" x14ac:dyDescent="0.15">
      <c r="A36" s="62"/>
      <c r="C36" s="3"/>
      <c r="D36" s="63"/>
      <c r="E36" s="12"/>
      <c r="F36" s="64"/>
      <c r="G36" s="64"/>
      <c r="H36" s="65"/>
      <c r="I36" s="66"/>
      <c r="J36" s="64"/>
      <c r="K36" s="64"/>
      <c r="L36" s="65"/>
      <c r="M36" s="5"/>
      <c r="N36" s="5"/>
      <c r="O36" s="3"/>
      <c r="P36" s="55"/>
      <c r="Q36" s="4"/>
      <c r="R36" s="34"/>
      <c r="S36" s="35"/>
      <c r="T36" s="34"/>
    </row>
    <row r="37" spans="1:21" s="10" customFormat="1" ht="13.15" customHeight="1" x14ac:dyDescent="0.15">
      <c r="A37" s="3"/>
      <c r="B37" s="3"/>
      <c r="C37" s="3"/>
      <c r="D37" s="67"/>
      <c r="E37" s="3"/>
      <c r="F37" s="3" t="s">
        <v>38</v>
      </c>
      <c r="I37" s="68">
        <f>L34</f>
        <v>1.0000100000000001</v>
      </c>
      <c r="J37" s="68"/>
      <c r="K37" s="3"/>
      <c r="L37" s="3"/>
      <c r="M37" s="3"/>
      <c r="N37" s="5"/>
      <c r="O37" s="3"/>
      <c r="P37" s="55"/>
      <c r="Q37" s="4"/>
      <c r="R37" s="34"/>
      <c r="S37" s="35"/>
      <c r="T37" s="34"/>
    </row>
    <row r="38" spans="1:21" s="10" customFormat="1" ht="13.15" customHeight="1" x14ac:dyDescent="0.15">
      <c r="A38" s="3"/>
      <c r="B38" s="3"/>
      <c r="C38" s="260">
        <f>C39-D18</f>
        <v>8.0699999999999932</v>
      </c>
      <c r="D38" s="67"/>
      <c r="E38" s="3"/>
      <c r="F38" s="64" t="s">
        <v>39</v>
      </c>
      <c r="I38" s="69">
        <f>G34</f>
        <v>2987425.2641999996</v>
      </c>
      <c r="J38" s="69"/>
      <c r="K38" s="3" t="s">
        <v>35</v>
      </c>
      <c r="L38" s="3" t="s">
        <v>35</v>
      </c>
      <c r="M38" s="70"/>
      <c r="N38" s="5"/>
      <c r="O38" s="3"/>
      <c r="P38" s="55"/>
      <c r="Q38" s="4"/>
      <c r="R38" s="34"/>
      <c r="S38" s="35"/>
      <c r="T38" s="34"/>
    </row>
    <row r="39" spans="1:21" s="10" customFormat="1" ht="13.15" customHeight="1" x14ac:dyDescent="0.15">
      <c r="A39" s="3"/>
      <c r="B39" s="11"/>
      <c r="C39" s="259">
        <f>D22+D23</f>
        <v>174.12</v>
      </c>
      <c r="D39" s="67"/>
      <c r="E39" s="3"/>
      <c r="F39" s="64" t="s">
        <v>40</v>
      </c>
      <c r="I39" s="69">
        <f>J34</f>
        <v>2774190.0089999996</v>
      </c>
      <c r="J39" s="69"/>
      <c r="K39" s="70"/>
      <c r="L39" s="3"/>
      <c r="M39" s="3"/>
      <c r="N39" s="5"/>
      <c r="O39" s="3"/>
      <c r="P39" s="55"/>
      <c r="Q39" s="4"/>
      <c r="R39" s="34"/>
      <c r="S39" s="35"/>
      <c r="T39" s="34"/>
    </row>
    <row r="40" spans="1:21" s="10" customFormat="1" ht="13.15" customHeight="1" thickBot="1" x14ac:dyDescent="0.2">
      <c r="A40" s="3"/>
      <c r="D40" s="67"/>
      <c r="E40" s="11" t="s">
        <v>41</v>
      </c>
      <c r="F40" s="64" t="s">
        <v>42</v>
      </c>
      <c r="I40" s="71"/>
      <c r="J40" s="71"/>
      <c r="K40" s="70"/>
      <c r="L40" s="3"/>
      <c r="M40" s="3"/>
      <c r="N40" s="5"/>
      <c r="O40" s="3"/>
      <c r="P40" s="55"/>
      <c r="Q40" s="4"/>
      <c r="R40" s="34"/>
      <c r="S40" s="35"/>
      <c r="T40" s="34"/>
    </row>
    <row r="41" spans="1:21" s="10" customFormat="1" ht="13.15" customHeight="1" x14ac:dyDescent="0.15">
      <c r="A41" s="3"/>
      <c r="B41" s="3"/>
      <c r="C41" s="3"/>
      <c r="D41" s="67"/>
      <c r="E41" s="3"/>
      <c r="F41" s="64" t="s">
        <v>43</v>
      </c>
      <c r="I41" s="72">
        <f>SUM(J34-I40)</f>
        <v>2774190.0089999996</v>
      </c>
      <c r="J41" s="72"/>
      <c r="K41" s="70"/>
      <c r="L41" s="3"/>
      <c r="M41" s="3"/>
      <c r="N41" s="5"/>
      <c r="O41" s="3"/>
      <c r="P41" s="55"/>
      <c r="Q41" s="4"/>
      <c r="R41" s="34"/>
      <c r="S41" s="35"/>
      <c r="T41" s="34"/>
    </row>
    <row r="42" spans="1:21" s="10" customFormat="1" ht="13.15" customHeight="1" x14ac:dyDescent="0.15">
      <c r="A42" s="3"/>
      <c r="D42" s="73"/>
      <c r="G42" s="74"/>
      <c r="H42" s="74"/>
      <c r="I42" s="70"/>
      <c r="J42" s="3"/>
      <c r="K42" s="3"/>
      <c r="L42" s="3"/>
      <c r="M42" s="3"/>
      <c r="N42" s="5"/>
      <c r="O42" s="3"/>
      <c r="P42" s="55"/>
      <c r="Q42" s="4"/>
      <c r="R42" s="34"/>
      <c r="S42" s="35"/>
      <c r="T42" s="34"/>
    </row>
    <row r="43" spans="1:21" s="10" customFormat="1" ht="13.15" customHeight="1" x14ac:dyDescent="0.15">
      <c r="N43" s="5"/>
      <c r="O43" s="3"/>
      <c r="P43" s="55"/>
      <c r="Q43" s="4"/>
      <c r="R43" s="34"/>
      <c r="S43" s="35"/>
      <c r="T43" s="34"/>
    </row>
    <row r="44" spans="1:21" s="10" customFormat="1" ht="13.15" customHeight="1" x14ac:dyDescent="0.15">
      <c r="A44" s="3" t="s">
        <v>44</v>
      </c>
      <c r="B44" s="3"/>
      <c r="C44" s="3" t="s">
        <v>45</v>
      </c>
      <c r="D44" s="75"/>
      <c r="E44" s="3"/>
      <c r="F44" s="3"/>
      <c r="G44" s="76" t="s">
        <v>46</v>
      </c>
      <c r="H44" s="76"/>
      <c r="I44" s="3"/>
      <c r="J44" s="3"/>
      <c r="K44" s="76" t="s">
        <v>47</v>
      </c>
      <c r="L44" s="76"/>
      <c r="M44" s="3"/>
      <c r="N44" s="5"/>
      <c r="O44" s="3"/>
      <c r="P44" s="55"/>
      <c r="Q44" s="4"/>
      <c r="R44" s="34"/>
      <c r="S44" s="35"/>
      <c r="T44" s="34"/>
    </row>
    <row r="45" spans="1:21" s="10" customFormat="1" ht="13.15" customHeight="1" x14ac:dyDescent="0.15">
      <c r="A45" s="3"/>
      <c r="B45" s="3"/>
      <c r="C45" s="3"/>
      <c r="D45" s="75"/>
      <c r="E45" s="3"/>
      <c r="F45" s="3"/>
      <c r="G45" s="76"/>
      <c r="H45" s="76"/>
      <c r="I45" s="3"/>
      <c r="J45" s="3"/>
      <c r="K45" s="76"/>
      <c r="L45" s="76"/>
      <c r="M45" s="3"/>
      <c r="O45" s="3"/>
      <c r="P45" s="55">
        <f>H33-L33</f>
        <v>0</v>
      </c>
      <c r="Q45" s="4"/>
      <c r="R45" s="77"/>
      <c r="S45" s="77"/>
      <c r="T45" s="77"/>
    </row>
    <row r="46" spans="1:21" s="10" customFormat="1" ht="13.15" customHeight="1" x14ac:dyDescent="0.15">
      <c r="A46" s="3"/>
      <c r="B46" s="3"/>
      <c r="C46" s="3"/>
      <c r="D46" s="75"/>
      <c r="E46" s="3"/>
      <c r="F46" s="3"/>
      <c r="G46" s="76"/>
      <c r="H46" s="76"/>
      <c r="I46" s="3"/>
      <c r="J46" s="3"/>
      <c r="K46" s="76"/>
      <c r="L46" s="76"/>
      <c r="M46" s="3"/>
      <c r="O46" s="78"/>
      <c r="P46" s="55">
        <f>SUM(P11:P45)</f>
        <v>0</v>
      </c>
      <c r="Q46" s="4"/>
      <c r="R46" s="79"/>
      <c r="S46" s="80"/>
      <c r="T46" s="77"/>
      <c r="U46" s="77"/>
    </row>
    <row r="47" spans="1:21" s="10" customFormat="1" ht="13.15" customHeight="1" x14ac:dyDescent="0.15">
      <c r="A47" s="3"/>
      <c r="B47" s="3"/>
      <c r="C47" s="3"/>
      <c r="D47" s="75"/>
      <c r="E47" s="3"/>
      <c r="F47" s="3"/>
      <c r="G47" s="76"/>
      <c r="H47" s="76"/>
      <c r="I47" s="3"/>
      <c r="J47" s="3"/>
      <c r="K47" s="76"/>
      <c r="L47" s="76"/>
      <c r="M47" s="3"/>
      <c r="N47" s="3"/>
      <c r="P47" s="4"/>
      <c r="Q47" s="4"/>
      <c r="R47" s="77"/>
    </row>
    <row r="48" spans="1:21" s="10" customFormat="1" ht="13.15" customHeight="1" x14ac:dyDescent="0.15">
      <c r="A48" s="8" t="s">
        <v>48</v>
      </c>
      <c r="B48" s="8"/>
      <c r="C48" s="8" t="s">
        <v>49</v>
      </c>
      <c r="D48" s="75"/>
      <c r="E48" s="3"/>
      <c r="F48" s="8"/>
      <c r="G48" s="81" t="s">
        <v>50</v>
      </c>
      <c r="H48" s="81"/>
      <c r="I48" s="8"/>
      <c r="J48" s="3"/>
      <c r="K48" s="81" t="s">
        <v>51</v>
      </c>
      <c r="L48" s="81"/>
      <c r="M48" s="3"/>
      <c r="N48" s="3"/>
      <c r="P48" s="82">
        <f>SUM(P11:P46)</f>
        <v>0</v>
      </c>
      <c r="Q48" s="4"/>
      <c r="R48" s="77"/>
    </row>
    <row r="49" spans="1:18" s="10" customFormat="1" ht="13.15" customHeight="1" x14ac:dyDescent="0.15">
      <c r="A49" s="3" t="s">
        <v>52</v>
      </c>
      <c r="B49" s="3"/>
      <c r="C49" s="3" t="s">
        <v>53</v>
      </c>
      <c r="D49" s="75"/>
      <c r="E49" s="3"/>
      <c r="F49" s="3"/>
      <c r="G49" s="76" t="s">
        <v>54</v>
      </c>
      <c r="H49" s="76"/>
      <c r="I49" s="3"/>
      <c r="J49" s="3"/>
      <c r="K49" s="76" t="s">
        <v>55</v>
      </c>
      <c r="L49" s="76"/>
      <c r="M49" s="3"/>
      <c r="N49" s="3"/>
      <c r="P49" s="4"/>
      <c r="Q49" s="4"/>
      <c r="R49" s="77"/>
    </row>
    <row r="50" spans="1:18" s="10" customFormat="1" ht="13.15" customHeight="1" x14ac:dyDescent="0.15">
      <c r="A50" s="5"/>
      <c r="B50" s="5"/>
      <c r="C50" s="3"/>
      <c r="D50" s="6"/>
      <c r="E50" s="5"/>
      <c r="F50" s="5"/>
      <c r="G50" s="5"/>
      <c r="H50" s="5"/>
      <c r="I50" s="5"/>
      <c r="J50" s="5"/>
      <c r="K50" s="5"/>
      <c r="L50" s="5"/>
      <c r="M50" s="5"/>
      <c r="N50" s="70"/>
      <c r="P50" s="4"/>
      <c r="Q50" s="4"/>
    </row>
    <row r="51" spans="1:18" s="10" customFormat="1" ht="13.15" customHeight="1" x14ac:dyDescent="0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"/>
      <c r="P51" s="4"/>
      <c r="Q51" s="4"/>
    </row>
    <row r="52" spans="1:18" s="10" customFormat="1" ht="13.15" customHeight="1" x14ac:dyDescent="0.15">
      <c r="A52" s="3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3"/>
      <c r="P52" s="4"/>
      <c r="Q52" s="4"/>
    </row>
    <row r="53" spans="1:18" s="10" customFormat="1" ht="13.15" customHeight="1" x14ac:dyDescent="0.1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3"/>
      <c r="P53" s="4"/>
      <c r="Q53" s="4"/>
    </row>
    <row r="54" spans="1:18" s="10" customFormat="1" ht="13.15" customHeight="1" x14ac:dyDescent="0.15">
      <c r="A54" s="3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3"/>
      <c r="P54" s="4"/>
      <c r="Q54" s="4"/>
    </row>
    <row r="55" spans="1:18" ht="12.6" customHeight="1" x14ac:dyDescent="0.15"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spans="1:18" ht="12.6" customHeight="1" x14ac:dyDescent="0.15">
      <c r="A56" s="83"/>
      <c r="B56" s="83"/>
      <c r="C56" s="83"/>
      <c r="D56" s="5"/>
      <c r="E56" s="5"/>
      <c r="F56" s="5"/>
      <c r="G56" s="5"/>
      <c r="H56" s="5"/>
      <c r="I56" s="5"/>
      <c r="J56" s="5"/>
      <c r="K56" s="5"/>
      <c r="L56" s="5"/>
      <c r="M56" s="5"/>
      <c r="P56" s="64"/>
      <c r="Q56" s="64"/>
    </row>
    <row r="57" spans="1:18" ht="12.6" customHeight="1" x14ac:dyDescent="0.15">
      <c r="A57" s="83"/>
      <c r="B57" s="83"/>
      <c r="C57" s="83"/>
      <c r="D57" s="5"/>
      <c r="E57" s="5"/>
      <c r="F57" s="5"/>
      <c r="G57" s="5"/>
      <c r="H57" s="5"/>
      <c r="I57" s="5"/>
      <c r="J57" s="5"/>
      <c r="K57" s="5"/>
      <c r="L57" s="5"/>
      <c r="M57" s="5"/>
      <c r="P57" s="64"/>
      <c r="Q57" s="64"/>
    </row>
    <row r="58" spans="1:18" ht="12.6" customHeight="1" x14ac:dyDescent="0.15">
      <c r="A58" s="84"/>
      <c r="B58" s="85"/>
      <c r="C58" s="85"/>
      <c r="D58" s="86"/>
      <c r="E58" s="86"/>
      <c r="F58" s="86"/>
      <c r="G58" s="86"/>
      <c r="H58" s="86"/>
      <c r="I58" s="87"/>
      <c r="J58" s="87"/>
      <c r="K58" s="88"/>
      <c r="L58" s="88"/>
      <c r="M58" s="33"/>
      <c r="P58" s="64"/>
      <c r="Q58" s="64"/>
    </row>
    <row r="59" spans="1:18" ht="12.6" customHeight="1" x14ac:dyDescent="0.15">
      <c r="A59" s="89"/>
      <c r="D59" s="73"/>
      <c r="E59" s="5"/>
      <c r="F59" s="90"/>
      <c r="G59" s="64"/>
      <c r="H59" s="91"/>
      <c r="I59" s="64"/>
      <c r="J59" s="64"/>
      <c r="K59" s="64"/>
      <c r="L59" s="65"/>
      <c r="M59" s="5"/>
      <c r="O59" s="8"/>
    </row>
    <row r="60" spans="1:18" ht="12.6" customHeight="1" x14ac:dyDescent="0.15">
      <c r="A60" s="89"/>
      <c r="D60" s="73"/>
      <c r="E60" s="5"/>
      <c r="F60" s="64"/>
      <c r="G60" s="64"/>
      <c r="H60" s="91"/>
      <c r="I60" s="64"/>
      <c r="J60" s="64"/>
      <c r="K60" s="64"/>
      <c r="L60" s="65"/>
      <c r="M60" s="5"/>
    </row>
    <row r="61" spans="1:18" ht="12.6" customHeight="1" x14ac:dyDescent="0.15">
      <c r="A61" s="89"/>
      <c r="D61" s="73"/>
      <c r="E61" s="5"/>
      <c r="F61" s="64"/>
      <c r="G61" s="64"/>
      <c r="H61" s="91"/>
      <c r="I61" s="64"/>
      <c r="J61" s="64"/>
      <c r="K61" s="64"/>
      <c r="L61" s="65"/>
      <c r="M61" s="5"/>
      <c r="N61" s="5"/>
    </row>
    <row r="62" spans="1:18" ht="21" customHeight="1" x14ac:dyDescent="0.15">
      <c r="A62" s="89"/>
      <c r="D62" s="73"/>
      <c r="E62" s="5"/>
      <c r="F62" s="64"/>
      <c r="G62" s="64"/>
      <c r="H62" s="91"/>
      <c r="I62" s="64"/>
      <c r="J62" s="64"/>
      <c r="K62" s="64"/>
      <c r="L62" s="65"/>
      <c r="M62" s="5"/>
      <c r="N62" s="2"/>
    </row>
    <row r="63" spans="1:18" x14ac:dyDescent="0.15">
      <c r="A63" s="89"/>
      <c r="D63" s="73"/>
      <c r="E63" s="5"/>
      <c r="F63" s="64"/>
      <c r="G63" s="64"/>
      <c r="H63" s="91"/>
      <c r="I63" s="64"/>
      <c r="J63" s="64"/>
      <c r="K63" s="64"/>
      <c r="L63" s="65"/>
      <c r="M63" s="5"/>
      <c r="N63" s="5"/>
    </row>
    <row r="64" spans="1:18" x14ac:dyDescent="0.15">
      <c r="A64" s="89"/>
      <c r="D64" s="73"/>
      <c r="E64" s="5"/>
      <c r="F64" s="64"/>
      <c r="G64" s="64"/>
      <c r="H64" s="91"/>
      <c r="I64" s="64"/>
      <c r="J64" s="64"/>
      <c r="K64" s="64"/>
      <c r="L64" s="65"/>
      <c r="M64" s="5"/>
      <c r="N64" s="5"/>
    </row>
    <row r="65" spans="1:20" x14ac:dyDescent="0.15">
      <c r="A65" s="89"/>
      <c r="D65" s="73"/>
      <c r="E65" s="5"/>
      <c r="F65" s="64"/>
      <c r="G65" s="64"/>
      <c r="H65" s="91"/>
      <c r="I65" s="64"/>
      <c r="J65" s="64"/>
      <c r="K65" s="64"/>
      <c r="L65" s="65"/>
      <c r="M65" s="5"/>
      <c r="N65" s="8"/>
    </row>
    <row r="66" spans="1:20" x14ac:dyDescent="0.15">
      <c r="A66" s="92"/>
      <c r="B66" s="92"/>
      <c r="C66" s="92"/>
      <c r="D66" s="92"/>
      <c r="E66" s="92"/>
      <c r="F66" s="93"/>
      <c r="G66" s="94"/>
      <c r="H66" s="94"/>
      <c r="I66" s="94"/>
      <c r="J66" s="94"/>
      <c r="K66" s="94"/>
      <c r="L66" s="95"/>
      <c r="M66" s="12"/>
      <c r="N66" s="12"/>
    </row>
    <row r="67" spans="1:20" x14ac:dyDescent="0.15">
      <c r="A67" s="81"/>
      <c r="B67" s="81"/>
      <c r="C67" s="81"/>
      <c r="D67" s="96"/>
      <c r="E67" s="81"/>
      <c r="F67" s="70"/>
      <c r="G67" s="97"/>
      <c r="H67" s="97"/>
      <c r="I67" s="70"/>
      <c r="J67" s="70"/>
      <c r="K67" s="70"/>
      <c r="L67" s="70"/>
      <c r="N67" s="5"/>
    </row>
    <row r="68" spans="1:20" x14ac:dyDescent="0.15">
      <c r="F68" s="70"/>
      <c r="G68" s="70"/>
      <c r="H68" s="70"/>
      <c r="N68" s="5"/>
    </row>
    <row r="69" spans="1:20" x14ac:dyDescent="0.15">
      <c r="D69" s="67"/>
      <c r="G69" s="10"/>
      <c r="H69" s="10"/>
      <c r="I69" s="98"/>
      <c r="J69" s="98"/>
      <c r="N69" s="5"/>
    </row>
    <row r="70" spans="1:20" ht="13.15" customHeight="1" x14ac:dyDescent="0.15">
      <c r="D70" s="67"/>
      <c r="F70" s="64"/>
      <c r="G70" s="10"/>
      <c r="H70" s="10"/>
      <c r="I70" s="401"/>
      <c r="J70" s="401"/>
      <c r="M70" s="70"/>
      <c r="N70" s="33"/>
      <c r="S70" s="99">
        <v>0.16</v>
      </c>
    </row>
    <row r="71" spans="1:20" ht="13.15" customHeight="1" x14ac:dyDescent="0.15">
      <c r="B71" s="11"/>
      <c r="C71" s="11"/>
      <c r="D71" s="67"/>
      <c r="F71" s="64"/>
      <c r="G71" s="10"/>
      <c r="H71" s="10"/>
      <c r="I71" s="401"/>
      <c r="J71" s="401"/>
      <c r="K71" s="70"/>
      <c r="N71" s="5"/>
      <c r="R71" s="77"/>
      <c r="S71" s="77">
        <f>R71*$S$70</f>
        <v>0</v>
      </c>
      <c r="T71" s="77">
        <f>R71-S71</f>
        <v>0</v>
      </c>
    </row>
    <row r="72" spans="1:20" ht="13.15" customHeight="1" x14ac:dyDescent="0.15">
      <c r="B72" s="10"/>
      <c r="C72" s="10"/>
      <c r="D72" s="67"/>
      <c r="E72" s="11"/>
      <c r="F72" s="64"/>
      <c r="G72" s="10"/>
      <c r="H72" s="10"/>
      <c r="I72" s="402"/>
      <c r="J72" s="402"/>
      <c r="K72" s="70"/>
      <c r="N72" s="5"/>
      <c r="R72" s="77"/>
      <c r="S72" s="77">
        <f t="shared" ref="S72:S77" si="7">R72*$S$70</f>
        <v>0</v>
      </c>
      <c r="T72" s="77">
        <f t="shared" ref="T72:T77" si="8">R72-S72</f>
        <v>0</v>
      </c>
    </row>
    <row r="73" spans="1:20" ht="13.15" customHeight="1" x14ac:dyDescent="0.15">
      <c r="D73" s="67"/>
      <c r="F73" s="64"/>
      <c r="G73" s="10"/>
      <c r="H73" s="10"/>
      <c r="I73" s="403"/>
      <c r="J73" s="403"/>
      <c r="K73" s="70"/>
      <c r="N73" s="5"/>
      <c r="R73" s="77"/>
      <c r="S73" s="77">
        <f t="shared" si="7"/>
        <v>0</v>
      </c>
      <c r="T73" s="77">
        <f t="shared" si="8"/>
        <v>0</v>
      </c>
    </row>
    <row r="74" spans="1:20" ht="13.15" customHeight="1" x14ac:dyDescent="0.15">
      <c r="N74" s="5"/>
      <c r="R74" s="77"/>
      <c r="S74" s="77">
        <f t="shared" si="7"/>
        <v>0</v>
      </c>
      <c r="T74" s="77">
        <f t="shared" si="8"/>
        <v>0</v>
      </c>
    </row>
    <row r="75" spans="1:20" ht="13.15" customHeight="1" x14ac:dyDescent="0.15">
      <c r="A75" s="76"/>
      <c r="J75" s="5"/>
      <c r="N75" s="5"/>
      <c r="R75" s="77"/>
      <c r="S75" s="77">
        <f t="shared" si="7"/>
        <v>0</v>
      </c>
      <c r="T75" s="77">
        <f t="shared" si="8"/>
        <v>0</v>
      </c>
    </row>
    <row r="76" spans="1:20" ht="13.15" customHeight="1" x14ac:dyDescent="0.15">
      <c r="A76" s="76"/>
      <c r="N76" s="5"/>
      <c r="R76" s="77"/>
      <c r="S76" s="77">
        <f t="shared" si="7"/>
        <v>0</v>
      </c>
      <c r="T76" s="77">
        <f t="shared" si="8"/>
        <v>0</v>
      </c>
    </row>
    <row r="77" spans="1:20" ht="13.15" customHeight="1" x14ac:dyDescent="0.15">
      <c r="N77" s="5"/>
      <c r="R77" s="77"/>
      <c r="S77" s="77">
        <f t="shared" si="7"/>
        <v>0</v>
      </c>
      <c r="T77" s="77">
        <f t="shared" si="8"/>
        <v>0</v>
      </c>
    </row>
    <row r="78" spans="1:20" s="78" customFormat="1" ht="13.15" customHeight="1" x14ac:dyDescent="0.15">
      <c r="A78" s="3"/>
      <c r="B78" s="3"/>
      <c r="C78" s="3"/>
      <c r="D78" s="75"/>
      <c r="E78" s="3"/>
      <c r="F78" s="3"/>
      <c r="G78" s="3"/>
      <c r="H78" s="3"/>
      <c r="I78" s="3"/>
      <c r="J78" s="3"/>
      <c r="K78" s="3"/>
      <c r="L78" s="3"/>
      <c r="M78" s="3"/>
      <c r="N78" s="12"/>
      <c r="P78" s="80"/>
      <c r="Q78" s="80"/>
      <c r="R78" s="79"/>
      <c r="S78" s="77">
        <f>SUM(S71:S77)</f>
        <v>0</v>
      </c>
      <c r="T78" s="80">
        <f>SUM(T71:T77)</f>
        <v>0</v>
      </c>
    </row>
    <row r="79" spans="1:20" s="10" customFormat="1" ht="13.15" customHeight="1" x14ac:dyDescent="0.15">
      <c r="A79" s="404"/>
      <c r="B79" s="404"/>
      <c r="C79" s="404"/>
      <c r="D79" s="404"/>
      <c r="E79" s="404"/>
      <c r="F79" s="404"/>
      <c r="G79" s="404"/>
      <c r="H79" s="404"/>
      <c r="I79" s="8"/>
      <c r="J79" s="404"/>
      <c r="K79" s="404"/>
      <c r="L79" s="404"/>
      <c r="M79" s="3"/>
      <c r="N79" s="3"/>
      <c r="P79" s="4"/>
      <c r="Q79" s="4"/>
      <c r="R79" s="77"/>
    </row>
    <row r="80" spans="1:20" s="10" customFormat="1" ht="13.15" customHeight="1" x14ac:dyDescent="0.15">
      <c r="A80" s="397"/>
      <c r="B80" s="397"/>
      <c r="C80" s="397"/>
      <c r="D80" s="397"/>
      <c r="E80" s="397"/>
      <c r="F80" s="397"/>
      <c r="G80" s="397"/>
      <c r="H80" s="397"/>
      <c r="I80" s="3"/>
      <c r="J80" s="397"/>
      <c r="K80" s="397"/>
      <c r="L80" s="397"/>
      <c r="M80" s="3"/>
      <c r="N80" s="3"/>
      <c r="P80" s="4"/>
      <c r="Q80" s="4"/>
      <c r="R80" s="77"/>
    </row>
    <row r="81" spans="1:17" s="10" customFormat="1" ht="13.15" customHeight="1" x14ac:dyDescent="0.15">
      <c r="A81" s="3"/>
      <c r="B81" s="3"/>
      <c r="C81" s="3"/>
      <c r="D81" s="75"/>
      <c r="E81" s="3"/>
      <c r="F81" s="3"/>
      <c r="G81" s="3"/>
      <c r="H81" s="3"/>
      <c r="I81" s="3"/>
      <c r="J81" s="3"/>
      <c r="K81" s="3"/>
      <c r="L81" s="3"/>
      <c r="M81" s="3"/>
      <c r="N81" s="3"/>
      <c r="P81" s="4"/>
      <c r="Q81" s="4"/>
    </row>
    <row r="82" spans="1:17" s="10" customFormat="1" ht="13.15" customHeight="1" x14ac:dyDescent="0.15">
      <c r="N82" s="70"/>
      <c r="P82" s="4"/>
      <c r="Q82" s="4"/>
    </row>
    <row r="83" spans="1:17" s="10" customFormat="1" ht="13.15" customHeight="1" x14ac:dyDescent="0.15">
      <c r="N83" s="3"/>
      <c r="P83" s="4"/>
      <c r="Q83" s="4"/>
    </row>
    <row r="84" spans="1:17" s="10" customFormat="1" ht="13.15" customHeight="1" x14ac:dyDescent="0.15">
      <c r="N84" s="3"/>
      <c r="P84" s="4"/>
      <c r="Q84" s="4"/>
    </row>
    <row r="85" spans="1:17" s="10" customFormat="1" ht="13.15" customHeight="1" x14ac:dyDescent="0.15">
      <c r="N85" s="3"/>
      <c r="P85" s="4"/>
      <c r="Q85" s="4"/>
    </row>
    <row r="87" spans="1:17" ht="12.6" customHeight="1" x14ac:dyDescent="0.15">
      <c r="D87" s="3"/>
    </row>
    <row r="88" spans="1:17" ht="12.6" customHeight="1" x14ac:dyDescent="0.15">
      <c r="D88" s="3"/>
      <c r="P88" s="64"/>
      <c r="Q88" s="64"/>
    </row>
    <row r="89" spans="1:17" ht="12.6" customHeight="1" x14ac:dyDescent="0.15">
      <c r="D89" s="3"/>
      <c r="P89" s="64"/>
      <c r="Q89" s="64"/>
    </row>
    <row r="90" spans="1:17" ht="12.6" customHeight="1" x14ac:dyDescent="0.15">
      <c r="D90" s="3"/>
      <c r="P90" s="64"/>
      <c r="Q90" s="64"/>
    </row>
    <row r="91" spans="1:17" ht="12.6" customHeight="1" x14ac:dyDescent="0.15">
      <c r="D91" s="3"/>
      <c r="O91" s="8"/>
    </row>
    <row r="92" spans="1:17" ht="12.6" customHeight="1" x14ac:dyDescent="0.15">
      <c r="D92" s="3"/>
    </row>
  </sheetData>
  <mergeCells count="22">
    <mergeCell ref="D9:G9"/>
    <mergeCell ref="B14:C14"/>
    <mergeCell ref="F14:G14"/>
    <mergeCell ref="B1:M1"/>
    <mergeCell ref="B7:C8"/>
    <mergeCell ref="D7:E7"/>
    <mergeCell ref="I7:K7"/>
    <mergeCell ref="D8:E8"/>
    <mergeCell ref="A80:B80"/>
    <mergeCell ref="C80:E80"/>
    <mergeCell ref="F80:H80"/>
    <mergeCell ref="J80:L80"/>
    <mergeCell ref="B33:C33"/>
    <mergeCell ref="A34:E34"/>
    <mergeCell ref="I70:J70"/>
    <mergeCell ref="I71:J71"/>
    <mergeCell ref="I72:J72"/>
    <mergeCell ref="I73:J73"/>
    <mergeCell ref="A79:B79"/>
    <mergeCell ref="C79:E79"/>
    <mergeCell ref="F79:H79"/>
    <mergeCell ref="J79:L79"/>
  </mergeCells>
  <conditionalFormatting sqref="M11:M23 N14:P14 M25:M28 M30:M33 M35:M36">
    <cfRule type="containsText" dxfId="2" priority="1" operator="containsText" text="On going">
      <formula>NOT(ISERROR(SEARCH("On going",M11)))</formula>
    </cfRule>
    <cfRule type="containsText" dxfId="1" priority="2" operator="containsText" text="Not Yet Started">
      <formula>NOT(ISERROR(SEARCH("Not Yet Started",M11)))</formula>
    </cfRule>
  </conditionalFormatting>
  <conditionalFormatting sqref="M11:M23 N14:P14 M25:M28 M30:M36">
    <cfRule type="containsText" dxfId="0" priority="3" operator="containsText" text="COMPLETED">
      <formula>NOT(ISERROR(SEARCH("COMPLETED",M11)))</formula>
    </cfRule>
  </conditionalFormatting>
  <pageMargins left="0.7" right="0.7" top="0.75" bottom="0.75" header="0.3" footer="0.3"/>
  <pageSetup scale="38" orientation="portrait" horizontalDpi="300" verticalDpi="300" r:id="rId1"/>
  <colBreaks count="1" manualBreakCount="1">
    <brk id="13" max="79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E8F5-3591-452B-A3B5-B82B8B110B4A}">
  <sheetPr codeName="Sheet18"/>
  <dimension ref="A2:Q68"/>
  <sheetViews>
    <sheetView view="pageBreakPreview" zoomScale="60" zoomScaleNormal="85" workbookViewId="0">
      <selection activeCell="K29" sqref="K29"/>
    </sheetView>
  </sheetViews>
  <sheetFormatPr defaultColWidth="9.14453125" defaultRowHeight="14.25" x14ac:dyDescent="0.15"/>
  <cols>
    <col min="1" max="1" width="4.03515625" style="102" customWidth="1"/>
    <col min="2" max="2" width="39.27734375" style="102" customWidth="1"/>
    <col min="3" max="3" width="3.359375" style="102" customWidth="1"/>
    <col min="4" max="5" width="18.6953125" style="102" customWidth="1"/>
    <col min="6" max="6" width="9.4140625" style="102" customWidth="1"/>
    <col min="7" max="7" width="7.3984375" style="102" customWidth="1"/>
    <col min="8" max="8" width="14.390625" style="101" customWidth="1"/>
    <col min="9" max="9" width="28.3828125" style="101" customWidth="1"/>
    <col min="10" max="10" width="11.8359375" style="102" customWidth="1"/>
    <col min="11" max="11" width="19.234375" style="102" customWidth="1"/>
    <col min="12" max="12" width="9.14453125" style="102"/>
    <col min="13" max="13" width="18.16015625" style="102" customWidth="1"/>
    <col min="14" max="14" width="9.14453125" style="102"/>
    <col min="15" max="15" width="16.6796875" style="102" bestFit="1" customWidth="1"/>
    <col min="16" max="16" width="9.14453125" style="102"/>
    <col min="17" max="17" width="15.33203125" style="102" customWidth="1"/>
    <col min="18" max="16384" width="9.14453125" style="102"/>
  </cols>
  <sheetData>
    <row r="2" spans="1:17" ht="15" x14ac:dyDescent="0.15">
      <c r="A2" s="431" t="s">
        <v>56</v>
      </c>
      <c r="B2" s="431"/>
      <c r="C2" s="431"/>
      <c r="D2" s="431"/>
      <c r="E2" s="431"/>
      <c r="F2" s="431"/>
      <c r="G2" s="100"/>
    </row>
    <row r="3" spans="1:17" ht="15" x14ac:dyDescent="0.15">
      <c r="A3" s="432" t="s">
        <v>57</v>
      </c>
      <c r="B3" s="432"/>
      <c r="C3" s="432"/>
      <c r="D3" s="432"/>
      <c r="E3" s="432"/>
      <c r="F3" s="432"/>
      <c r="G3" s="103"/>
    </row>
    <row r="4" spans="1:17" ht="15" x14ac:dyDescent="0.15">
      <c r="A4" s="431" t="s">
        <v>58</v>
      </c>
      <c r="B4" s="431"/>
      <c r="C4" s="431"/>
      <c r="D4" s="431"/>
      <c r="E4" s="431"/>
      <c r="F4" s="431"/>
      <c r="G4" s="100"/>
    </row>
    <row r="5" spans="1:17" ht="16.5" x14ac:dyDescent="0.15">
      <c r="A5" s="433" t="s">
        <v>59</v>
      </c>
      <c r="B5" s="433"/>
      <c r="C5" s="433"/>
      <c r="D5" s="433"/>
      <c r="E5" s="433"/>
      <c r="F5" s="433"/>
      <c r="G5" s="105"/>
    </row>
    <row r="6" spans="1:17" ht="21" x14ac:dyDescent="0.25">
      <c r="A6" s="104"/>
      <c r="H6" s="434" t="s">
        <v>60</v>
      </c>
      <c r="I6" s="435"/>
      <c r="J6" s="435"/>
      <c r="K6" s="436"/>
      <c r="M6" s="106" t="s">
        <v>61</v>
      </c>
    </row>
    <row r="7" spans="1:17" ht="18" x14ac:dyDescent="0.2">
      <c r="A7" s="437" t="s">
        <v>62</v>
      </c>
      <c r="B7" s="437"/>
      <c r="C7" s="437"/>
      <c r="D7" s="437"/>
      <c r="E7" s="437"/>
      <c r="F7" s="437"/>
      <c r="G7" s="107"/>
      <c r="H7" s="108"/>
      <c r="I7" s="108"/>
      <c r="M7" s="109" t="s">
        <v>63</v>
      </c>
      <c r="N7" s="110" t="s">
        <v>64</v>
      </c>
      <c r="O7" s="111"/>
      <c r="P7" s="111"/>
      <c r="Q7" s="112"/>
    </row>
    <row r="8" spans="1:17" x14ac:dyDescent="0.15">
      <c r="A8" s="113"/>
      <c r="B8" s="113"/>
      <c r="C8" s="113"/>
      <c r="D8" s="113"/>
      <c r="E8" s="113"/>
      <c r="F8" s="113"/>
      <c r="G8" s="113"/>
      <c r="H8" s="114"/>
      <c r="I8" s="102"/>
      <c r="M8" s="115" t="s">
        <v>65</v>
      </c>
      <c r="N8" s="116" t="s">
        <v>66</v>
      </c>
      <c r="O8" s="117"/>
      <c r="P8" s="117"/>
      <c r="Q8" s="118"/>
    </row>
    <row r="9" spans="1:17" x14ac:dyDescent="0.15">
      <c r="A9" s="114"/>
      <c r="B9" s="427">
        <f>I9</f>
        <v>46265</v>
      </c>
      <c r="C9" s="427"/>
      <c r="D9" s="427"/>
      <c r="E9" s="427"/>
      <c r="F9" s="427"/>
      <c r="H9" s="119" t="s">
        <v>67</v>
      </c>
      <c r="I9" s="120">
        <v>46265</v>
      </c>
      <c r="M9" s="121" t="s">
        <v>68</v>
      </c>
      <c r="N9" s="122" t="s">
        <v>69</v>
      </c>
      <c r="O9" s="123"/>
      <c r="P9" s="123"/>
      <c r="Q9" s="124"/>
    </row>
    <row r="10" spans="1:17" x14ac:dyDescent="0.15">
      <c r="A10" s="114"/>
      <c r="B10" s="125"/>
      <c r="C10" s="125"/>
      <c r="D10" s="125"/>
      <c r="E10" s="125"/>
      <c r="F10" s="125"/>
      <c r="H10" s="119"/>
      <c r="I10" s="126"/>
      <c r="M10" s="127" t="s">
        <v>70</v>
      </c>
      <c r="N10" s="128" t="s">
        <v>71</v>
      </c>
      <c r="O10" s="129"/>
      <c r="P10" s="129"/>
      <c r="Q10" s="130"/>
    </row>
    <row r="11" spans="1:17" x14ac:dyDescent="0.15">
      <c r="A11" s="114"/>
      <c r="B11" s="125"/>
      <c r="C11" s="125"/>
      <c r="D11" s="125"/>
      <c r="E11" s="125"/>
      <c r="F11" s="125"/>
      <c r="H11" s="119"/>
      <c r="I11" s="126"/>
      <c r="M11" s="131" t="s">
        <v>72</v>
      </c>
      <c r="N11" s="132" t="s">
        <v>73</v>
      </c>
      <c r="O11" s="133"/>
      <c r="P11" s="133"/>
      <c r="Q11" s="134"/>
    </row>
    <row r="12" spans="1:17" ht="26.25" customHeight="1" x14ac:dyDescent="0.15">
      <c r="A12" s="135" t="s">
        <v>74</v>
      </c>
      <c r="B12" s="135"/>
      <c r="C12" s="136" t="s">
        <v>75</v>
      </c>
      <c r="D12" s="428" t="str">
        <f>I12</f>
        <v>CONSTRUCTION OF BOX CULVERT ALONG CATO-CONNER ROAD, TUAO</v>
      </c>
      <c r="E12" s="428"/>
      <c r="F12" s="428"/>
      <c r="H12" s="119" t="s">
        <v>67</v>
      </c>
      <c r="I12" s="137" t="s">
        <v>154</v>
      </c>
      <c r="J12" s="135" t="s">
        <v>74</v>
      </c>
      <c r="M12" s="138" t="s">
        <v>76</v>
      </c>
      <c r="N12" s="139" t="s">
        <v>77</v>
      </c>
      <c r="O12" s="140"/>
      <c r="P12" s="140"/>
      <c r="Q12" s="141"/>
    </row>
    <row r="13" spans="1:17" ht="17.25" customHeight="1" x14ac:dyDescent="0.15">
      <c r="A13" s="142" t="s">
        <v>78</v>
      </c>
      <c r="B13" s="142"/>
      <c r="C13" s="143" t="s">
        <v>75</v>
      </c>
      <c r="D13" s="144" t="str">
        <f>I13</f>
        <v>Cato, Tuao, Cagayan</v>
      </c>
      <c r="E13" s="144"/>
      <c r="F13" s="145"/>
      <c r="H13" s="119" t="s">
        <v>67</v>
      </c>
      <c r="I13" s="146" t="s">
        <v>155</v>
      </c>
      <c r="J13" s="142" t="s">
        <v>78</v>
      </c>
      <c r="M13" s="147" t="s">
        <v>79</v>
      </c>
      <c r="N13" s="148" t="s">
        <v>64</v>
      </c>
      <c r="O13" s="149"/>
      <c r="P13" s="149"/>
      <c r="Q13" s="150"/>
    </row>
    <row r="14" spans="1:17" x14ac:dyDescent="0.15">
      <c r="A14" s="151" t="s">
        <v>80</v>
      </c>
      <c r="B14" s="151"/>
      <c r="C14" s="143" t="s">
        <v>75</v>
      </c>
      <c r="D14" s="152">
        <f>I14</f>
        <v>3000000</v>
      </c>
      <c r="E14" s="152"/>
      <c r="F14" s="152"/>
      <c r="H14" s="119" t="s">
        <v>67</v>
      </c>
      <c r="I14" s="153">
        <v>3000000</v>
      </c>
      <c r="J14" s="151" t="s">
        <v>80</v>
      </c>
      <c r="M14" s="154" t="s">
        <v>81</v>
      </c>
      <c r="N14" s="155" t="s">
        <v>66</v>
      </c>
      <c r="O14" s="156"/>
      <c r="P14" s="156"/>
      <c r="Q14" s="157"/>
    </row>
    <row r="15" spans="1:17" s="158" customFormat="1" ht="21.75" customHeight="1" x14ac:dyDescent="0.15">
      <c r="A15" s="142" t="s">
        <v>82</v>
      </c>
      <c r="B15" s="142"/>
      <c r="C15" s="143" t="s">
        <v>75</v>
      </c>
      <c r="D15" s="144" t="str">
        <f>I15</f>
        <v>Dragonace Construction Corporation</v>
      </c>
      <c r="E15" s="144"/>
      <c r="F15" s="144"/>
      <c r="H15" s="119" t="s">
        <v>67</v>
      </c>
      <c r="I15" s="202" t="s">
        <v>125</v>
      </c>
      <c r="J15" s="142" t="s">
        <v>82</v>
      </c>
    </row>
    <row r="16" spans="1:17" x14ac:dyDescent="0.15">
      <c r="A16" s="151"/>
      <c r="B16" s="151"/>
      <c r="C16" s="143"/>
      <c r="D16" s="159"/>
      <c r="E16" s="159"/>
      <c r="F16" s="159"/>
      <c r="G16" s="160"/>
      <c r="H16" s="119"/>
      <c r="I16" s="102"/>
    </row>
    <row r="17" spans="1:15" x14ac:dyDescent="0.15">
      <c r="A17" s="161" t="s">
        <v>83</v>
      </c>
      <c r="B17" s="142" t="s">
        <v>84</v>
      </c>
      <c r="C17" s="143" t="s">
        <v>75</v>
      </c>
      <c r="D17" s="162">
        <f>D20+9</f>
        <v>46026</v>
      </c>
      <c r="E17" s="145" t="s">
        <v>85</v>
      </c>
      <c r="F17" s="163"/>
      <c r="H17" s="164"/>
      <c r="J17" s="160"/>
      <c r="K17" s="165"/>
    </row>
    <row r="18" spans="1:15" x14ac:dyDescent="0.15">
      <c r="A18" s="161"/>
      <c r="B18" s="142"/>
      <c r="C18" s="143"/>
      <c r="D18" s="166">
        <f>+B9</f>
        <v>46265</v>
      </c>
      <c r="E18" s="166"/>
      <c r="F18" s="166"/>
      <c r="G18" s="167"/>
      <c r="H18" s="168"/>
      <c r="J18" s="160"/>
      <c r="K18" s="165"/>
    </row>
    <row r="19" spans="1:15" x14ac:dyDescent="0.15">
      <c r="A19" s="161" t="s">
        <v>86</v>
      </c>
      <c r="B19" s="142" t="s">
        <v>87</v>
      </c>
      <c r="C19" s="143" t="s">
        <v>75</v>
      </c>
      <c r="D19" s="169">
        <v>95</v>
      </c>
      <c r="E19" s="170"/>
      <c r="F19" s="170"/>
      <c r="G19" s="160"/>
      <c r="H19" s="171" t="s">
        <v>67</v>
      </c>
      <c r="I19" s="172">
        <v>95</v>
      </c>
      <c r="J19" s="142" t="s">
        <v>87</v>
      </c>
      <c r="M19" s="173">
        <v>45659</v>
      </c>
      <c r="O19" s="174">
        <v>46030</v>
      </c>
    </row>
    <row r="20" spans="1:15" x14ac:dyDescent="0.15">
      <c r="A20" s="161" t="s">
        <v>88</v>
      </c>
      <c r="B20" s="142" t="s">
        <v>89</v>
      </c>
      <c r="C20" s="143" t="s">
        <v>75</v>
      </c>
      <c r="D20" s="162">
        <f>I20</f>
        <v>46017</v>
      </c>
      <c r="E20" s="162"/>
      <c r="F20" s="162"/>
      <c r="H20" s="171" t="s">
        <v>67</v>
      </c>
      <c r="I20" s="120">
        <v>46017</v>
      </c>
      <c r="J20" s="142" t="s">
        <v>89</v>
      </c>
      <c r="M20" s="102">
        <f>M19-D17</f>
        <v>-367</v>
      </c>
      <c r="O20" s="174">
        <v>46209</v>
      </c>
    </row>
    <row r="21" spans="1:15" x14ac:dyDescent="0.15">
      <c r="A21" s="161" t="s">
        <v>90</v>
      </c>
      <c r="B21" s="142" t="s">
        <v>91</v>
      </c>
      <c r="C21" s="143" t="s">
        <v>75</v>
      </c>
      <c r="D21" s="166">
        <f>+D17+D19</f>
        <v>46121</v>
      </c>
      <c r="E21" s="166"/>
      <c r="F21" s="166"/>
      <c r="G21" s="160"/>
      <c r="H21" s="175"/>
      <c r="I21" s="160"/>
      <c r="J21" s="160"/>
      <c r="O21" s="102">
        <f>O20-O19</f>
        <v>179</v>
      </c>
    </row>
    <row r="22" spans="1:15" x14ac:dyDescent="0.15">
      <c r="A22" s="161" t="s">
        <v>92</v>
      </c>
      <c r="B22" s="142" t="s">
        <v>93</v>
      </c>
      <c r="C22" s="143" t="s">
        <v>75</v>
      </c>
      <c r="D22" s="176"/>
      <c r="E22" s="159"/>
      <c r="F22" s="159"/>
      <c r="G22" s="160"/>
      <c r="H22" s="171" t="s">
        <v>67</v>
      </c>
      <c r="I22" s="172"/>
      <c r="J22" s="142" t="s">
        <v>93</v>
      </c>
      <c r="M22" s="173"/>
    </row>
    <row r="23" spans="1:15" x14ac:dyDescent="0.15">
      <c r="A23" s="161" t="s">
        <v>94</v>
      </c>
      <c r="B23" s="142" t="s">
        <v>95</v>
      </c>
      <c r="C23" s="143" t="s">
        <v>75</v>
      </c>
      <c r="D23" s="176">
        <f>I23</f>
        <v>179</v>
      </c>
      <c r="E23" s="159"/>
      <c r="F23" s="159"/>
      <c r="G23" s="160"/>
      <c r="H23" s="171" t="s">
        <v>67</v>
      </c>
      <c r="I23" s="177">
        <v>179</v>
      </c>
      <c r="J23" s="142" t="s">
        <v>95</v>
      </c>
    </row>
    <row r="24" spans="1:15" x14ac:dyDescent="0.15">
      <c r="A24" s="161" t="s">
        <v>96</v>
      </c>
      <c r="B24" s="142" t="s">
        <v>97</v>
      </c>
      <c r="C24" s="143"/>
      <c r="D24" s="176"/>
      <c r="E24" s="159"/>
      <c r="F24" s="159"/>
      <c r="G24" s="160"/>
      <c r="H24" s="175" t="s">
        <v>98</v>
      </c>
      <c r="I24" s="178">
        <f>D22</f>
        <v>0</v>
      </c>
      <c r="J24" s="142" t="s">
        <v>97</v>
      </c>
    </row>
    <row r="25" spans="1:15" x14ac:dyDescent="0.15">
      <c r="A25" s="161" t="s">
        <v>99</v>
      </c>
      <c r="B25" s="142" t="s">
        <v>100</v>
      </c>
      <c r="C25" s="143" t="s">
        <v>75</v>
      </c>
      <c r="D25" s="176">
        <f>IF(I24&gt;0,I25,0)</f>
        <v>0</v>
      </c>
      <c r="E25" s="159"/>
      <c r="F25" s="179"/>
      <c r="H25" s="175" t="s">
        <v>98</v>
      </c>
      <c r="I25" s="178">
        <f>IF(D22&gt;0,D22+I19,0)</f>
        <v>0</v>
      </c>
      <c r="J25" s="142" t="s">
        <v>100</v>
      </c>
    </row>
    <row r="26" spans="1:15" x14ac:dyDescent="0.15">
      <c r="A26" s="161" t="s">
        <v>101</v>
      </c>
      <c r="B26" s="142" t="s">
        <v>102</v>
      </c>
      <c r="C26" s="143" t="s">
        <v>75</v>
      </c>
      <c r="D26" s="166">
        <f>D21+D23+D22</f>
        <v>46300</v>
      </c>
      <c r="E26" s="166"/>
      <c r="F26" s="166"/>
      <c r="G26" s="160"/>
      <c r="H26" s="180"/>
      <c r="I26" s="181">
        <f>I22+I23</f>
        <v>179</v>
      </c>
      <c r="J26" s="160"/>
    </row>
    <row r="27" spans="1:15" x14ac:dyDescent="0.15">
      <c r="A27" s="161" t="s">
        <v>103</v>
      </c>
      <c r="B27" s="142" t="s">
        <v>104</v>
      </c>
      <c r="C27" s="143" t="s">
        <v>75</v>
      </c>
      <c r="D27" s="176">
        <f>+D18-D17+1-D23</f>
        <v>61</v>
      </c>
      <c r="E27" s="182"/>
      <c r="F27" s="183"/>
      <c r="G27" s="160"/>
      <c r="H27" s="180"/>
      <c r="I27" s="184"/>
    </row>
    <row r="28" spans="1:15" x14ac:dyDescent="0.15">
      <c r="A28" s="161" t="s">
        <v>105</v>
      </c>
      <c r="B28" s="142" t="s">
        <v>106</v>
      </c>
      <c r="C28" s="143" t="s">
        <v>75</v>
      </c>
      <c r="D28" s="185">
        <f>'SWA (FINAL)'!L34</f>
        <v>1.0000100000000001</v>
      </c>
      <c r="E28" s="185"/>
      <c r="F28" s="185"/>
      <c r="G28" s="160"/>
      <c r="H28" s="119"/>
      <c r="I28" s="186"/>
      <c r="J28" s="160" t="s">
        <v>107</v>
      </c>
    </row>
    <row r="29" spans="1:15" ht="15.6" customHeight="1" x14ac:dyDescent="0.15">
      <c r="A29" s="161" t="s">
        <v>108</v>
      </c>
      <c r="B29" s="142" t="s">
        <v>109</v>
      </c>
      <c r="C29" s="143" t="s">
        <v>75</v>
      </c>
      <c r="D29" s="187">
        <f>I29</f>
        <v>0.7158771761692464</v>
      </c>
      <c r="E29" s="187"/>
      <c r="F29" s="187"/>
      <c r="G29" s="160"/>
      <c r="H29" s="175" t="s">
        <v>98</v>
      </c>
      <c r="I29" s="188">
        <f>(((SIN((((180*((D27))/D19)-90)*(3.14159265358979/180)))+1)*50)/100)</f>
        <v>0.7158771761692464</v>
      </c>
      <c r="J29" s="189" t="s">
        <v>110</v>
      </c>
      <c r="K29" s="144"/>
      <c r="L29" s="144"/>
      <c r="M29" s="163"/>
      <c r="N29" s="190"/>
    </row>
    <row r="30" spans="1:15" x14ac:dyDescent="0.15">
      <c r="A30" s="161" t="s">
        <v>111</v>
      </c>
      <c r="B30" s="142" t="s">
        <v>112</v>
      </c>
      <c r="C30" s="143" t="s">
        <v>75</v>
      </c>
      <c r="D30" s="191">
        <f>D28-D29</f>
        <v>0.28413282383075367</v>
      </c>
      <c r="E30" s="191"/>
      <c r="F30" s="191"/>
      <c r="G30" s="160"/>
      <c r="H30" s="175" t="s">
        <v>98</v>
      </c>
      <c r="I30" s="188" t="str">
        <f>IF(I25&gt;0,(((SIN((((180*((D27))/D25)-90)*(3.14159265358979/180)))+1)*50)/100),"")</f>
        <v/>
      </c>
      <c r="J30" s="189" t="s">
        <v>113</v>
      </c>
      <c r="K30" s="144"/>
      <c r="L30" s="144"/>
      <c r="M30" s="163"/>
      <c r="N30" s="190"/>
    </row>
    <row r="31" spans="1:15" x14ac:dyDescent="0.15">
      <c r="A31" s="161" t="s">
        <v>114</v>
      </c>
      <c r="B31" s="142" t="s">
        <v>115</v>
      </c>
      <c r="C31" s="143" t="s">
        <v>75</v>
      </c>
      <c r="D31" s="192" t="s">
        <v>167</v>
      </c>
      <c r="E31" s="192"/>
      <c r="F31" s="192"/>
      <c r="G31" s="160"/>
      <c r="H31" s="119"/>
      <c r="I31" s="102"/>
    </row>
    <row r="32" spans="1:15" x14ac:dyDescent="0.15">
      <c r="A32" s="161"/>
      <c r="B32" s="101"/>
      <c r="C32" s="101"/>
      <c r="D32" s="193"/>
      <c r="E32" s="193"/>
      <c r="F32" s="193"/>
      <c r="H32" s="175" t="s">
        <v>98</v>
      </c>
      <c r="I32" s="188">
        <f>D27/D19</f>
        <v>0.64210526315789473</v>
      </c>
      <c r="J32" s="189" t="s">
        <v>116</v>
      </c>
      <c r="K32" s="163"/>
      <c r="L32" s="163"/>
      <c r="M32" s="163"/>
      <c r="N32" s="190"/>
    </row>
    <row r="33" spans="1:14" x14ac:dyDescent="0.15">
      <c r="A33" s="101"/>
      <c r="B33" s="101"/>
      <c r="C33" s="101"/>
      <c r="D33" s="101"/>
      <c r="E33" s="101"/>
      <c r="F33" s="101"/>
      <c r="H33" s="175" t="s">
        <v>98</v>
      </c>
      <c r="I33" s="188">
        <v>1</v>
      </c>
      <c r="J33" s="189" t="s">
        <v>117</v>
      </c>
      <c r="K33" s="163"/>
      <c r="L33" s="163"/>
      <c r="M33" s="163"/>
      <c r="N33" s="190"/>
    </row>
    <row r="34" spans="1:14" x14ac:dyDescent="0.15">
      <c r="A34" s="101"/>
      <c r="B34" s="101"/>
      <c r="C34" s="101"/>
      <c r="D34" s="101"/>
      <c r="E34" s="101"/>
      <c r="F34" s="101"/>
      <c r="H34" s="175"/>
      <c r="I34" s="194"/>
      <c r="J34" s="142"/>
    </row>
    <row r="35" spans="1:14" x14ac:dyDescent="0.15">
      <c r="E35" s="101"/>
      <c r="F35" s="101"/>
      <c r="H35" s="195"/>
    </row>
    <row r="36" spans="1:14" x14ac:dyDescent="0.15">
      <c r="A36" s="101"/>
      <c r="B36" s="142" t="s">
        <v>118</v>
      </c>
      <c r="C36" s="101"/>
      <c r="D36" s="142" t="s">
        <v>119</v>
      </c>
      <c r="E36" s="101"/>
      <c r="F36" s="101"/>
      <c r="H36" s="429" t="s">
        <v>120</v>
      </c>
      <c r="I36" s="196" t="s">
        <v>121</v>
      </c>
      <c r="J36" s="197"/>
    </row>
    <row r="37" spans="1:14" x14ac:dyDescent="0.15">
      <c r="A37" s="101"/>
      <c r="B37" s="101"/>
      <c r="C37" s="101"/>
      <c r="D37" s="101"/>
      <c r="E37" s="101"/>
      <c r="F37" s="101"/>
      <c r="H37" s="430"/>
      <c r="I37" s="198" t="s">
        <v>122</v>
      </c>
      <c r="J37" s="199"/>
    </row>
    <row r="38" spans="1:14" x14ac:dyDescent="0.15">
      <c r="A38" s="101"/>
      <c r="B38" s="101"/>
      <c r="C38" s="101"/>
      <c r="D38" s="101"/>
      <c r="E38" s="114"/>
      <c r="F38" s="114"/>
      <c r="G38" s="113"/>
      <c r="H38" s="108"/>
      <c r="I38" s="108"/>
    </row>
    <row r="39" spans="1:14" x14ac:dyDescent="0.15">
      <c r="A39" s="101"/>
      <c r="B39" s="108" t="s">
        <v>48</v>
      </c>
      <c r="C39" s="101"/>
      <c r="D39" s="108" t="s">
        <v>49</v>
      </c>
      <c r="E39" s="200"/>
      <c r="F39" s="200"/>
    </row>
    <row r="40" spans="1:14" x14ac:dyDescent="0.15">
      <c r="B40" s="101" t="s">
        <v>52</v>
      </c>
      <c r="C40" s="101"/>
      <c r="D40" s="101" t="s">
        <v>123</v>
      </c>
    </row>
    <row r="41" spans="1:14" x14ac:dyDescent="0.15">
      <c r="B41" s="101"/>
      <c r="C41" s="101"/>
      <c r="D41" s="101"/>
    </row>
    <row r="42" spans="1:14" x14ac:dyDescent="0.15">
      <c r="B42" s="101"/>
      <c r="C42" s="101"/>
      <c r="D42" s="101"/>
    </row>
    <row r="43" spans="1:14" x14ac:dyDescent="0.15">
      <c r="B43" s="101"/>
      <c r="C43" s="101"/>
      <c r="D43" s="101"/>
    </row>
    <row r="44" spans="1:14" x14ac:dyDescent="0.15">
      <c r="B44" s="101"/>
      <c r="C44" s="101"/>
      <c r="D44" s="101"/>
    </row>
    <row r="45" spans="1:14" x14ac:dyDescent="0.15">
      <c r="B45" s="101"/>
      <c r="C45" s="101"/>
      <c r="D45" s="101"/>
    </row>
    <row r="46" spans="1:14" x14ac:dyDescent="0.15">
      <c r="B46" s="101"/>
      <c r="C46" s="101"/>
      <c r="D46" s="101"/>
    </row>
    <row r="48" spans="1:14" x14ac:dyDescent="0.15">
      <c r="B48" s="113"/>
    </row>
    <row r="50" spans="2:13" x14ac:dyDescent="0.15">
      <c r="B50" s="201" t="s">
        <v>124</v>
      </c>
    </row>
    <row r="53" spans="2:13" x14ac:dyDescent="0.15">
      <c r="K53" s="174"/>
    </row>
    <row r="54" spans="2:13" x14ac:dyDescent="0.15">
      <c r="K54" s="174"/>
    </row>
    <row r="55" spans="2:13" x14ac:dyDescent="0.15">
      <c r="K55" s="174"/>
    </row>
    <row r="56" spans="2:13" x14ac:dyDescent="0.15">
      <c r="K56" s="174"/>
      <c r="M56" s="102">
        <v>9</v>
      </c>
    </row>
    <row r="57" spans="2:13" x14ac:dyDescent="0.15">
      <c r="K57" s="174">
        <v>46141</v>
      </c>
      <c r="M57" s="102">
        <v>75</v>
      </c>
    </row>
    <row r="58" spans="2:13" x14ac:dyDescent="0.15">
      <c r="K58" s="174"/>
    </row>
    <row r="59" spans="2:13" x14ac:dyDescent="0.15">
      <c r="K59" s="174"/>
    </row>
    <row r="60" spans="2:13" x14ac:dyDescent="0.15">
      <c r="K60" s="174"/>
    </row>
    <row r="61" spans="2:13" x14ac:dyDescent="0.15">
      <c r="K61" s="174">
        <f>K57+M56+M57</f>
        <v>46225</v>
      </c>
    </row>
    <row r="62" spans="2:13" x14ac:dyDescent="0.15">
      <c r="K62" s="174"/>
    </row>
    <row r="63" spans="2:13" x14ac:dyDescent="0.15">
      <c r="K63" s="174"/>
    </row>
    <row r="64" spans="2:13" x14ac:dyDescent="0.15">
      <c r="K64" s="174"/>
    </row>
    <row r="65" spans="11:11" x14ac:dyDescent="0.15">
      <c r="K65" s="174"/>
    </row>
    <row r="66" spans="11:11" x14ac:dyDescent="0.15">
      <c r="K66" s="174"/>
    </row>
    <row r="67" spans="11:11" x14ac:dyDescent="0.15">
      <c r="K67" s="174"/>
    </row>
    <row r="68" spans="11:11" x14ac:dyDescent="0.15">
      <c r="K68" s="174"/>
    </row>
  </sheetData>
  <mergeCells count="9">
    <mergeCell ref="B9:F9"/>
    <mergeCell ref="D12:F12"/>
    <mergeCell ref="H36:H37"/>
    <mergeCell ref="A2:F2"/>
    <mergeCell ref="A3:F3"/>
    <mergeCell ref="A4:F4"/>
    <mergeCell ref="A5:F5"/>
    <mergeCell ref="H6:K6"/>
    <mergeCell ref="A7:F7"/>
  </mergeCells>
  <pageMargins left="0.7" right="0.7" top="0.75" bottom="0.75" header="0.3" footer="0.3"/>
  <pageSetup paperSize="9" scale="88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333C-4AFA-4803-9E98-38C9ED2489AF}">
  <sheetPr>
    <pageSetUpPr fitToPage="1"/>
  </sheetPr>
  <dimension ref="A1:U619"/>
  <sheetViews>
    <sheetView view="pageBreakPreview" zoomScale="55" zoomScaleNormal="70" workbookViewId="0">
      <selection activeCell="P24" sqref="P24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180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>
        <f>'SWA (July 6-9)'!$D$15/2</f>
        <v>44.225000000000001</v>
      </c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>
        <v>36.25</v>
      </c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294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295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295"/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295"/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295"/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476" t="s">
        <v>195</v>
      </c>
      <c r="B44" s="476"/>
      <c r="C44" s="476"/>
      <c r="D44" s="476"/>
      <c r="E44" s="476"/>
      <c r="F44" s="476"/>
      <c r="G44" s="333"/>
      <c r="H44" s="477"/>
      <c r="I44" s="477"/>
      <c r="J44" s="477"/>
      <c r="K44" s="477"/>
      <c r="L44" s="477"/>
    </row>
    <row r="45" spans="1:12" s="277" customFormat="1" ht="21.95" customHeight="1" x14ac:dyDescent="0.2">
      <c r="A45" s="478" t="s">
        <v>196</v>
      </c>
      <c r="B45" s="478"/>
      <c r="C45" s="478"/>
      <c r="D45" s="478"/>
      <c r="E45" s="478"/>
      <c r="F45" s="478"/>
      <c r="G45" s="334"/>
      <c r="H45" s="335"/>
      <c r="I45" s="335"/>
      <c r="J45" s="335"/>
      <c r="K45" s="335"/>
      <c r="L45" s="335"/>
    </row>
    <row r="46" spans="1:12" s="277" customFormat="1" ht="21.6" customHeight="1" x14ac:dyDescent="0.3">
      <c r="A46" s="473"/>
      <c r="B46" s="474"/>
      <c r="C46" s="474"/>
      <c r="D46" s="474"/>
      <c r="E46" s="474"/>
      <c r="F46" s="474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>
        <v>1</v>
      </c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207</v>
      </c>
      <c r="L57" s="349">
        <v>1</v>
      </c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(July 6-9)'!$D$30</f>
        <v>1.2403298624002704E-2</v>
      </c>
      <c r="C65" s="492"/>
      <c r="D65" s="495"/>
      <c r="E65" s="496"/>
      <c r="F65" s="491">
        <f>'SWA (July 6-9)'!$L$34</f>
        <v>2.5739999999999999E-2</v>
      </c>
      <c r="G65" s="492"/>
      <c r="H65" s="491">
        <f>F65-B65</f>
        <v>1.3336701375997295E-2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90">
    <mergeCell ref="A73:B73"/>
    <mergeCell ref="D73:F73"/>
    <mergeCell ref="H73:J73"/>
    <mergeCell ref="K73:L73"/>
    <mergeCell ref="A74:B74"/>
    <mergeCell ref="D74:F74"/>
    <mergeCell ref="H74:J74"/>
    <mergeCell ref="J64:K64"/>
    <mergeCell ref="B65:C66"/>
    <mergeCell ref="D65:E66"/>
    <mergeCell ref="F65:G66"/>
    <mergeCell ref="H65:I66"/>
    <mergeCell ref="J65:K66"/>
    <mergeCell ref="A60:F60"/>
    <mergeCell ref="H60:I60"/>
    <mergeCell ref="B64:C64"/>
    <mergeCell ref="D64:E64"/>
    <mergeCell ref="F64:G64"/>
    <mergeCell ref="H64:I64"/>
    <mergeCell ref="H59:I59"/>
    <mergeCell ref="A51:F51"/>
    <mergeCell ref="H51:L51"/>
    <mergeCell ref="H52:J52"/>
    <mergeCell ref="K52:L52"/>
    <mergeCell ref="A53:F53"/>
    <mergeCell ref="H53:I53"/>
    <mergeCell ref="H54:I54"/>
    <mergeCell ref="H55:I55"/>
    <mergeCell ref="H56:I56"/>
    <mergeCell ref="H57:I57"/>
    <mergeCell ref="H58:I58"/>
    <mergeCell ref="A46:F46"/>
    <mergeCell ref="B39:F39"/>
    <mergeCell ref="G39:H39"/>
    <mergeCell ref="B40:F40"/>
    <mergeCell ref="G40:H40"/>
    <mergeCell ref="B41:F41"/>
    <mergeCell ref="G41:H41"/>
    <mergeCell ref="B42:F42"/>
    <mergeCell ref="G42:I42"/>
    <mergeCell ref="A44:F44"/>
    <mergeCell ref="H44:L44"/>
    <mergeCell ref="A45:F45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B1D0-7425-4301-844E-D5E388AB1DEA}">
  <sheetPr>
    <pageSetUpPr fitToPage="1"/>
  </sheetPr>
  <dimension ref="A1:U619"/>
  <sheetViews>
    <sheetView view="pageBreakPreview" topLeftCell="A2" zoomScale="55" zoomScaleNormal="70" workbookViewId="0">
      <selection activeCell="P23" sqref="P23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223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294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3"/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3"/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295"/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>
        <v>4406.33</v>
      </c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>
        <v>3045.99</v>
      </c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>
        <v>101.82</v>
      </c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508" t="s">
        <v>224</v>
      </c>
      <c r="B44" s="508"/>
      <c r="C44" s="508"/>
      <c r="D44" s="508"/>
      <c r="E44" s="508"/>
      <c r="F44" s="508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225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340"/>
      <c r="B46" s="340"/>
      <c r="C46" s="340"/>
      <c r="D46" s="340"/>
      <c r="E46" s="340"/>
      <c r="F46" s="340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207</v>
      </c>
      <c r="L57" s="349"/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(July 13-17)'!$D$29</f>
        <v>6.8371759521213271E-2</v>
      </c>
      <c r="C65" s="492"/>
      <c r="D65" s="495"/>
      <c r="E65" s="496"/>
      <c r="F65" s="491">
        <f>'SWA (July 13-17)'!$L$34</f>
        <v>0.43379000000000001</v>
      </c>
      <c r="G65" s="492"/>
      <c r="H65" s="491">
        <f>F65-B65</f>
        <v>0.36541824047878674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89">
    <mergeCell ref="A73:B73"/>
    <mergeCell ref="D73:F73"/>
    <mergeCell ref="H73:J73"/>
    <mergeCell ref="K73:L73"/>
    <mergeCell ref="A74:B74"/>
    <mergeCell ref="D74:F74"/>
    <mergeCell ref="H74:J74"/>
    <mergeCell ref="B64:C64"/>
    <mergeCell ref="D64:E64"/>
    <mergeCell ref="F64:G64"/>
    <mergeCell ref="H64:I64"/>
    <mergeCell ref="J64:K64"/>
    <mergeCell ref="B65:C66"/>
    <mergeCell ref="D65:E66"/>
    <mergeCell ref="F65:G66"/>
    <mergeCell ref="H65:I66"/>
    <mergeCell ref="J65:K66"/>
    <mergeCell ref="H56:I56"/>
    <mergeCell ref="H57:I57"/>
    <mergeCell ref="H58:I58"/>
    <mergeCell ref="H59:I59"/>
    <mergeCell ref="A60:F60"/>
    <mergeCell ref="H60:I60"/>
    <mergeCell ref="H55:I55"/>
    <mergeCell ref="B42:F42"/>
    <mergeCell ref="G42:I42"/>
    <mergeCell ref="A44:F44"/>
    <mergeCell ref="H44:L44"/>
    <mergeCell ref="A45:F45"/>
    <mergeCell ref="A51:F51"/>
    <mergeCell ref="H51:L51"/>
    <mergeCell ref="H52:J52"/>
    <mergeCell ref="K52:L52"/>
    <mergeCell ref="A53:F53"/>
    <mergeCell ref="H53:I53"/>
    <mergeCell ref="H54:I54"/>
    <mergeCell ref="B39:F39"/>
    <mergeCell ref="G39:H39"/>
    <mergeCell ref="B40:F40"/>
    <mergeCell ref="G40:H40"/>
    <mergeCell ref="B41:F41"/>
    <mergeCell ref="G41:H41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FF67-E182-46C1-8EEB-491C1E58A1BC}">
  <sheetPr>
    <pageSetUpPr fitToPage="1"/>
  </sheetPr>
  <dimension ref="A1:U619"/>
  <sheetViews>
    <sheetView view="pageBreakPreview" topLeftCell="A3" zoomScale="55" zoomScaleNormal="70" workbookViewId="0">
      <selection activeCell="J19" sqref="J19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7" width="9.14453125" style="267"/>
    <col min="18" max="18" width="14.9296875" style="267" customWidth="1"/>
    <col min="19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226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294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8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8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25"/>
      <c r="K18" s="289"/>
      <c r="L18" s="287" t="s">
        <v>34</v>
      </c>
    </row>
    <row r="19" spans="1:18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25"/>
      <c r="K19" s="289"/>
      <c r="L19" s="287" t="s">
        <v>126</v>
      </c>
      <c r="R19" s="393">
        <f>'SWA (FINAL)'!$O$26</f>
        <v>749.65</v>
      </c>
    </row>
    <row r="20" spans="1:18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25"/>
      <c r="K20" s="289"/>
      <c r="L20" s="287" t="s">
        <v>126</v>
      </c>
      <c r="R20" s="393">
        <f>'SWA (FINAL)'!$O$27</f>
        <v>832.69</v>
      </c>
    </row>
    <row r="21" spans="1:18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295"/>
      <c r="K21" s="289"/>
      <c r="L21" s="287" t="s">
        <v>33</v>
      </c>
      <c r="R21" s="393">
        <f>'SWA (FINAL)'!$O$28</f>
        <v>35.645000000000003</v>
      </c>
    </row>
    <row r="22" spans="1:18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>
        <f>'SWA (July 20-24)'!$D$30*0.2</f>
        <v>881.26600000000008</v>
      </c>
      <c r="K22" s="289"/>
      <c r="L22" s="287" t="s">
        <v>34</v>
      </c>
    </row>
    <row r="23" spans="1:18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>
        <f>'SWA (July 20-24)'!$D$31*0.2</f>
        <v>609.19799999999998</v>
      </c>
      <c r="K23" s="289"/>
      <c r="L23" s="287" t="s">
        <v>34</v>
      </c>
    </row>
    <row r="24" spans="1:18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>
        <f>'SWA (July 20-24)'!$D$32*0.2</f>
        <v>20.364000000000001</v>
      </c>
      <c r="K24" s="289"/>
      <c r="L24" s="287" t="s">
        <v>34</v>
      </c>
    </row>
    <row r="25" spans="1:18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8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8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8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8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8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8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8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508" t="s">
        <v>224</v>
      </c>
      <c r="B44" s="508"/>
      <c r="C44" s="508"/>
      <c r="D44" s="508"/>
      <c r="E44" s="508"/>
      <c r="F44" s="508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225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340"/>
      <c r="B46" s="340"/>
      <c r="C46" s="340"/>
      <c r="D46" s="340"/>
      <c r="E46" s="340"/>
      <c r="F46" s="340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207</v>
      </c>
      <c r="L57" s="349"/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(July 20-24)'!$D$29</f>
        <v>0.1377873976044558</v>
      </c>
      <c r="C65" s="492"/>
      <c r="D65" s="495"/>
      <c r="E65" s="496"/>
      <c r="F65" s="491">
        <f>'SWA (July 20-24)'!$L$34</f>
        <v>0.53364999999999996</v>
      </c>
      <c r="G65" s="492"/>
      <c r="H65" s="491">
        <f>F65-B65</f>
        <v>0.39586260239554416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89">
    <mergeCell ref="A73:B73"/>
    <mergeCell ref="D73:F73"/>
    <mergeCell ref="H73:J73"/>
    <mergeCell ref="K73:L73"/>
    <mergeCell ref="A74:B74"/>
    <mergeCell ref="D74:F74"/>
    <mergeCell ref="H74:J74"/>
    <mergeCell ref="B64:C64"/>
    <mergeCell ref="D64:E64"/>
    <mergeCell ref="F64:G64"/>
    <mergeCell ref="H64:I64"/>
    <mergeCell ref="J64:K64"/>
    <mergeCell ref="B65:C66"/>
    <mergeCell ref="D65:E66"/>
    <mergeCell ref="F65:G66"/>
    <mergeCell ref="H65:I66"/>
    <mergeCell ref="J65:K66"/>
    <mergeCell ref="H56:I56"/>
    <mergeCell ref="H57:I57"/>
    <mergeCell ref="H58:I58"/>
    <mergeCell ref="H59:I59"/>
    <mergeCell ref="A60:F60"/>
    <mergeCell ref="H60:I60"/>
    <mergeCell ref="H55:I55"/>
    <mergeCell ref="B42:F42"/>
    <mergeCell ref="G42:I42"/>
    <mergeCell ref="A44:F44"/>
    <mergeCell ref="H44:L44"/>
    <mergeCell ref="A45:F45"/>
    <mergeCell ref="A51:F51"/>
    <mergeCell ref="H51:L51"/>
    <mergeCell ref="H52:J52"/>
    <mergeCell ref="K52:L52"/>
    <mergeCell ref="A53:F53"/>
    <mergeCell ref="H53:I53"/>
    <mergeCell ref="H54:I54"/>
    <mergeCell ref="B39:F39"/>
    <mergeCell ref="G39:H39"/>
    <mergeCell ref="B40:F40"/>
    <mergeCell ref="G40:H40"/>
    <mergeCell ref="B41:F41"/>
    <mergeCell ref="G41:H41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E405-C39A-4B92-A304-9C655EF71B14}">
  <sheetPr>
    <pageSetUpPr fitToPage="1"/>
  </sheetPr>
  <dimension ref="A1:U619"/>
  <sheetViews>
    <sheetView view="pageBreakPreview" zoomScale="55" zoomScaleNormal="70" workbookViewId="0">
      <selection activeCell="K26" sqref="K26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227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294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4">
        <f>'SWA (July 27-30)'!$D$26/2</f>
        <v>749.65</v>
      </c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4">
        <f>'SWA (July 27-30)'!$D$27/2</f>
        <v>832.69</v>
      </c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395">
        <f>'SWA (July 27-30)'!$D$28/2</f>
        <v>35.645000000000003</v>
      </c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508" t="s">
        <v>228</v>
      </c>
      <c r="B44" s="508"/>
      <c r="C44" s="508"/>
      <c r="D44" s="508"/>
      <c r="E44" s="508"/>
      <c r="F44" s="508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229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340"/>
      <c r="B46" s="340"/>
      <c r="C46" s="340"/>
      <c r="D46" s="340"/>
      <c r="E46" s="340"/>
      <c r="F46" s="340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207</v>
      </c>
      <c r="L57" s="349"/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(July 27-30)'!$D$29</f>
        <v>0.21283566865852843</v>
      </c>
      <c r="C65" s="492"/>
      <c r="D65" s="495"/>
      <c r="E65" s="496"/>
      <c r="F65" s="491">
        <f>'STEWA (July 27-30)'!$D$28</f>
        <v>0.67921999999999993</v>
      </c>
      <c r="G65" s="492"/>
      <c r="H65" s="491">
        <f>F65-B65</f>
        <v>0.4663843313414715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89">
    <mergeCell ref="A73:B73"/>
    <mergeCell ref="D73:F73"/>
    <mergeCell ref="H73:J73"/>
    <mergeCell ref="K73:L73"/>
    <mergeCell ref="A74:B74"/>
    <mergeCell ref="D74:F74"/>
    <mergeCell ref="H74:J74"/>
    <mergeCell ref="B64:C64"/>
    <mergeCell ref="D64:E64"/>
    <mergeCell ref="F64:G64"/>
    <mergeCell ref="H64:I64"/>
    <mergeCell ref="J64:K64"/>
    <mergeCell ref="B65:C66"/>
    <mergeCell ref="D65:E66"/>
    <mergeCell ref="F65:G66"/>
    <mergeCell ref="H65:I66"/>
    <mergeCell ref="J65:K66"/>
    <mergeCell ref="H56:I56"/>
    <mergeCell ref="H57:I57"/>
    <mergeCell ref="H58:I58"/>
    <mergeCell ref="H59:I59"/>
    <mergeCell ref="A60:F60"/>
    <mergeCell ref="H60:I60"/>
    <mergeCell ref="H55:I55"/>
    <mergeCell ref="B42:F42"/>
    <mergeCell ref="G42:I42"/>
    <mergeCell ref="A44:F44"/>
    <mergeCell ref="H44:L44"/>
    <mergeCell ref="A45:F45"/>
    <mergeCell ref="A51:F51"/>
    <mergeCell ref="H51:L51"/>
    <mergeCell ref="H52:J52"/>
    <mergeCell ref="K52:L52"/>
    <mergeCell ref="A53:F53"/>
    <mergeCell ref="H53:I53"/>
    <mergeCell ref="H54:I54"/>
    <mergeCell ref="B39:F39"/>
    <mergeCell ref="G39:H39"/>
    <mergeCell ref="B40:F40"/>
    <mergeCell ref="G40:H40"/>
    <mergeCell ref="B41:F41"/>
    <mergeCell ref="G41:H41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3D99-0273-4D46-AD84-1A05278DB628}">
  <sheetPr>
    <pageSetUpPr fitToPage="1"/>
  </sheetPr>
  <dimension ref="A1:U619"/>
  <sheetViews>
    <sheetView view="pageBreakPreview" topLeftCell="A3" zoomScale="55" zoomScaleNormal="70" workbookViewId="0">
      <selection activeCell="J15" sqref="J15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230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396">
        <f>'SWA (August 3-7)'!$D$20</f>
        <v>42.64</v>
      </c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4">
        <f>'SWA (July 27-30)'!$D$26/2</f>
        <v>749.65</v>
      </c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4">
        <f>'SWA (July 27-30)'!$D$27/2</f>
        <v>832.69</v>
      </c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395">
        <f>'SWA (July 27-30)'!$D$28/2</f>
        <v>35.645000000000003</v>
      </c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508" t="s">
        <v>228</v>
      </c>
      <c r="B44" s="508"/>
      <c r="C44" s="508"/>
      <c r="D44" s="508"/>
      <c r="E44" s="508"/>
      <c r="F44" s="508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229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511" t="s">
        <v>231</v>
      </c>
      <c r="B46" s="511"/>
      <c r="C46" s="511"/>
      <c r="D46" s="511"/>
      <c r="E46" s="511"/>
      <c r="F46" s="511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232</v>
      </c>
      <c r="L57" s="349">
        <v>1</v>
      </c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(August 3-7)'!$D$29</f>
        <v>0.32985341277917868</v>
      </c>
      <c r="C65" s="492"/>
      <c r="D65" s="495"/>
      <c r="E65" s="496"/>
      <c r="F65" s="491">
        <f>'STEWA (August 3-7)'!$D$28</f>
        <v>0.83716000000000002</v>
      </c>
      <c r="G65" s="492"/>
      <c r="H65" s="491">
        <f>F65-B65</f>
        <v>0.50730658722082134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90">
    <mergeCell ref="A73:B73"/>
    <mergeCell ref="D73:F73"/>
    <mergeCell ref="H73:J73"/>
    <mergeCell ref="K73:L73"/>
    <mergeCell ref="A74:B74"/>
    <mergeCell ref="D74:F74"/>
    <mergeCell ref="H74:J74"/>
    <mergeCell ref="J64:K64"/>
    <mergeCell ref="B65:C66"/>
    <mergeCell ref="D65:E66"/>
    <mergeCell ref="F65:G66"/>
    <mergeCell ref="H65:I66"/>
    <mergeCell ref="J65:K66"/>
    <mergeCell ref="A60:F60"/>
    <mergeCell ref="H60:I60"/>
    <mergeCell ref="B64:C64"/>
    <mergeCell ref="D64:E64"/>
    <mergeCell ref="F64:G64"/>
    <mergeCell ref="H64:I64"/>
    <mergeCell ref="H59:I59"/>
    <mergeCell ref="A51:F51"/>
    <mergeCell ref="H51:L51"/>
    <mergeCell ref="H52:J52"/>
    <mergeCell ref="K52:L52"/>
    <mergeCell ref="A53:F53"/>
    <mergeCell ref="H53:I53"/>
    <mergeCell ref="H54:I54"/>
    <mergeCell ref="H55:I55"/>
    <mergeCell ref="H56:I56"/>
    <mergeCell ref="H57:I57"/>
    <mergeCell ref="H58:I58"/>
    <mergeCell ref="A46:F46"/>
    <mergeCell ref="B39:F39"/>
    <mergeCell ref="G39:H39"/>
    <mergeCell ref="B40:F40"/>
    <mergeCell ref="G40:H40"/>
    <mergeCell ref="B41:F41"/>
    <mergeCell ref="G41:H41"/>
    <mergeCell ref="B42:F42"/>
    <mergeCell ref="G42:I42"/>
    <mergeCell ref="A44:F44"/>
    <mergeCell ref="H44:L44"/>
    <mergeCell ref="A45:F45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8BBC-9F00-424B-88D6-0440D949F3E6}">
  <sheetPr>
    <pageSetUpPr fitToPage="1"/>
  </sheetPr>
  <dimension ref="A1:U619"/>
  <sheetViews>
    <sheetView view="pageBreakPreview" zoomScale="55" zoomScaleNormal="70" workbookViewId="0">
      <selection activeCell="K55" sqref="K55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233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396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/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>
        <f>'SWA (August 10-14)'!$D$23</f>
        <v>49.07</v>
      </c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4"/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4"/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395"/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25">
      <c r="A44" s="508" t="s">
        <v>234</v>
      </c>
      <c r="B44" s="508"/>
      <c r="C44" s="508"/>
      <c r="D44" s="508"/>
      <c r="E44" s="508"/>
      <c r="F44" s="508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235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511"/>
      <c r="B46" s="511"/>
      <c r="C46" s="511"/>
      <c r="D46" s="511"/>
      <c r="E46" s="511"/>
      <c r="F46" s="511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232</v>
      </c>
      <c r="L57" s="349">
        <v>1</v>
      </c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f>'STEWA (August 10-14)'!$D$29</f>
        <v>0.44225768151520695</v>
      </c>
      <c r="C65" s="492"/>
      <c r="D65" s="495"/>
      <c r="E65" s="496"/>
      <c r="F65" s="491">
        <f>'STEWA (August 10-14)'!$D$28</f>
        <v>0.88302999999999998</v>
      </c>
      <c r="G65" s="492"/>
      <c r="H65" s="491">
        <f>F65-B65</f>
        <v>0.44077231848479304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90">
    <mergeCell ref="A73:B73"/>
    <mergeCell ref="D73:F73"/>
    <mergeCell ref="H73:J73"/>
    <mergeCell ref="K73:L73"/>
    <mergeCell ref="A74:B74"/>
    <mergeCell ref="D74:F74"/>
    <mergeCell ref="H74:J74"/>
    <mergeCell ref="J64:K64"/>
    <mergeCell ref="B65:C66"/>
    <mergeCell ref="D65:E66"/>
    <mergeCell ref="F65:G66"/>
    <mergeCell ref="H65:I66"/>
    <mergeCell ref="J65:K66"/>
    <mergeCell ref="A60:F60"/>
    <mergeCell ref="H60:I60"/>
    <mergeCell ref="B64:C64"/>
    <mergeCell ref="D64:E64"/>
    <mergeCell ref="F64:G64"/>
    <mergeCell ref="H64:I64"/>
    <mergeCell ref="H59:I59"/>
    <mergeCell ref="A51:F51"/>
    <mergeCell ref="H51:L51"/>
    <mergeCell ref="H52:J52"/>
    <mergeCell ref="K52:L52"/>
    <mergeCell ref="A53:F53"/>
    <mergeCell ref="H53:I53"/>
    <mergeCell ref="H54:I54"/>
    <mergeCell ref="H55:I55"/>
    <mergeCell ref="H56:I56"/>
    <mergeCell ref="H57:I57"/>
    <mergeCell ref="H58:I58"/>
    <mergeCell ref="A46:F46"/>
    <mergeCell ref="B39:F39"/>
    <mergeCell ref="G39:H39"/>
    <mergeCell ref="B40:F40"/>
    <mergeCell ref="G40:H40"/>
    <mergeCell ref="B41:F41"/>
    <mergeCell ref="G41:H41"/>
    <mergeCell ref="B42:F42"/>
    <mergeCell ref="G42:I42"/>
    <mergeCell ref="A44:F44"/>
    <mergeCell ref="H44:L44"/>
    <mergeCell ref="A45:F45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AA6E-CD45-4AEA-A84A-97E25C89FDA4}">
  <sheetPr>
    <pageSetUpPr fitToPage="1"/>
  </sheetPr>
  <dimension ref="A1:U619"/>
  <sheetViews>
    <sheetView view="pageBreakPreview" topLeftCell="A44" zoomScale="55" zoomScaleNormal="70" workbookViewId="0">
      <selection activeCell="B67" sqref="B67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236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396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>
        <f>'SWA (FINAL)'!$D$22</f>
        <v>125.05</v>
      </c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4"/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4"/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395"/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3">
      <c r="A44" s="509" t="s">
        <v>237</v>
      </c>
      <c r="B44" s="510"/>
      <c r="C44" s="510"/>
      <c r="D44" s="510"/>
      <c r="E44" s="510"/>
      <c r="F44" s="510"/>
      <c r="G44" s="333"/>
      <c r="H44" s="477"/>
      <c r="I44" s="477"/>
      <c r="J44" s="477"/>
      <c r="K44" s="477"/>
      <c r="L44" s="477"/>
    </row>
    <row r="45" spans="1:12" s="277" customFormat="1" ht="21.95" customHeight="1" x14ac:dyDescent="0.2"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511"/>
      <c r="B46" s="511"/>
      <c r="C46" s="511"/>
      <c r="D46" s="511"/>
      <c r="E46" s="511"/>
      <c r="F46" s="511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232</v>
      </c>
      <c r="L57" s="349">
        <v>1</v>
      </c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v>0.55769999999999997</v>
      </c>
      <c r="C65" s="492"/>
      <c r="D65" s="495"/>
      <c r="E65" s="496"/>
      <c r="F65" s="491">
        <f>'SWA (FINAL)'!$L$34</f>
        <v>1.0000100000000001</v>
      </c>
      <c r="G65" s="492"/>
      <c r="H65" s="491">
        <f>F65-B65</f>
        <v>0.44231000000000009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89">
    <mergeCell ref="A73:B73"/>
    <mergeCell ref="D73:F73"/>
    <mergeCell ref="H73:J73"/>
    <mergeCell ref="K73:L73"/>
    <mergeCell ref="A74:B74"/>
    <mergeCell ref="D74:F74"/>
    <mergeCell ref="H74:J74"/>
    <mergeCell ref="B64:C64"/>
    <mergeCell ref="D64:E64"/>
    <mergeCell ref="F64:G64"/>
    <mergeCell ref="H64:I64"/>
    <mergeCell ref="J64:K64"/>
    <mergeCell ref="B65:C66"/>
    <mergeCell ref="D65:E66"/>
    <mergeCell ref="F65:G66"/>
    <mergeCell ref="H65:I66"/>
    <mergeCell ref="J65:K66"/>
    <mergeCell ref="H56:I56"/>
    <mergeCell ref="H57:I57"/>
    <mergeCell ref="H58:I58"/>
    <mergeCell ref="H59:I59"/>
    <mergeCell ref="A60:F60"/>
    <mergeCell ref="H60:I60"/>
    <mergeCell ref="H55:I55"/>
    <mergeCell ref="B42:F42"/>
    <mergeCell ref="G42:I42"/>
    <mergeCell ref="A44:F44"/>
    <mergeCell ref="H44:L44"/>
    <mergeCell ref="A46:F46"/>
    <mergeCell ref="A51:F51"/>
    <mergeCell ref="H51:L51"/>
    <mergeCell ref="H52:J52"/>
    <mergeCell ref="K52:L52"/>
    <mergeCell ref="A53:F53"/>
    <mergeCell ref="H53:I53"/>
    <mergeCell ref="H54:I54"/>
    <mergeCell ref="B39:F39"/>
    <mergeCell ref="G39:H39"/>
    <mergeCell ref="B40:F40"/>
    <mergeCell ref="G40:H40"/>
    <mergeCell ref="B41:F41"/>
    <mergeCell ref="G41:H41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1F0F-258F-4FD6-9A59-737CD85AFBF0}">
  <sheetPr>
    <pageSetUpPr fitToPage="1"/>
  </sheetPr>
  <dimension ref="A1:U619"/>
  <sheetViews>
    <sheetView view="pageBreakPreview" zoomScale="55" zoomScaleNormal="70" workbookViewId="0">
      <selection activeCell="B65" sqref="B65:C66"/>
    </sheetView>
  </sheetViews>
  <sheetFormatPr defaultColWidth="9.14453125" defaultRowHeight="16.5" x14ac:dyDescent="0.2"/>
  <cols>
    <col min="1" max="1" width="20.3125" style="267" customWidth="1"/>
    <col min="2" max="2" width="12.64453125" style="267" customWidth="1"/>
    <col min="3" max="3" width="10.4921875" style="267" customWidth="1"/>
    <col min="4" max="4" width="12.64453125" style="267" customWidth="1"/>
    <col min="5" max="5" width="11.1640625" style="267" customWidth="1"/>
    <col min="6" max="6" width="29.0546875" style="267" customWidth="1"/>
    <col min="7" max="7" width="7.3984375" style="267" customWidth="1"/>
    <col min="8" max="8" width="13.046875" style="267" customWidth="1"/>
    <col min="9" max="9" width="9.68359375" style="267" customWidth="1"/>
    <col min="10" max="10" width="20.84765625" style="267" customWidth="1"/>
    <col min="11" max="11" width="25.421875" style="267" customWidth="1"/>
    <col min="12" max="12" width="22.46484375" style="267" customWidth="1"/>
    <col min="13" max="14" width="9.14453125" style="267"/>
    <col min="15" max="15" width="17.62109375" style="267" customWidth="1"/>
    <col min="16" max="16384" width="9.14453125" style="267"/>
  </cols>
  <sheetData>
    <row r="1" spans="1:21" ht="52.5" customHeight="1" x14ac:dyDescent="0.2"/>
    <row r="2" spans="1:21" ht="14.25" customHeight="1" x14ac:dyDescent="0.25">
      <c r="A2" s="268"/>
      <c r="B2" s="268"/>
      <c r="C2" s="268"/>
      <c r="D2" s="268"/>
      <c r="E2" s="268"/>
    </row>
    <row r="3" spans="1:21" s="270" customFormat="1" ht="16.5" customHeight="1" x14ac:dyDescent="0.2">
      <c r="A3" s="269" t="s">
        <v>172</v>
      </c>
      <c r="B3" s="440"/>
      <c r="C3" s="440"/>
      <c r="D3" s="440"/>
      <c r="E3" s="440"/>
      <c r="F3" s="440"/>
      <c r="G3" s="440"/>
      <c r="H3" s="440"/>
      <c r="J3" s="271"/>
      <c r="K3" s="441"/>
      <c r="L3" s="441"/>
    </row>
    <row r="4" spans="1:21" s="270" customFormat="1" ht="16.5" customHeight="1" x14ac:dyDescent="0.2">
      <c r="A4" s="442" t="s">
        <v>1</v>
      </c>
      <c r="B4" s="443" t="s">
        <v>173</v>
      </c>
      <c r="C4" s="443"/>
      <c r="D4" s="443"/>
      <c r="E4" s="443"/>
      <c r="F4" s="443"/>
      <c r="G4" s="443"/>
      <c r="H4" s="443"/>
      <c r="J4" s="271"/>
      <c r="K4" s="441"/>
      <c r="L4" s="441"/>
    </row>
    <row r="5" spans="1:21" s="270" customFormat="1" ht="25.15" customHeight="1" x14ac:dyDescent="0.2">
      <c r="A5" s="442"/>
      <c r="B5" s="444"/>
      <c r="C5" s="444"/>
      <c r="D5" s="444"/>
      <c r="E5" s="444"/>
      <c r="F5" s="444"/>
      <c r="G5" s="444"/>
      <c r="H5" s="444"/>
      <c r="J5" s="271"/>
      <c r="K5" s="272"/>
      <c r="L5" s="272"/>
    </row>
    <row r="6" spans="1:21" s="270" customFormat="1" ht="18.75" customHeight="1" x14ac:dyDescent="0.2">
      <c r="A6" s="274"/>
      <c r="B6" s="438" t="s">
        <v>174</v>
      </c>
      <c r="C6" s="438"/>
      <c r="D6" s="438"/>
      <c r="E6" s="438"/>
      <c r="F6" s="438"/>
      <c r="G6" s="438"/>
      <c r="H6" s="438"/>
      <c r="I6" s="269" t="s">
        <v>175</v>
      </c>
      <c r="J6" s="271"/>
      <c r="K6" s="439" t="s">
        <v>176</v>
      </c>
      <c r="L6" s="439"/>
    </row>
    <row r="7" spans="1:21" s="270" customFormat="1" ht="21" customHeight="1" x14ac:dyDescent="0.2">
      <c r="A7" s="271" t="s">
        <v>177</v>
      </c>
      <c r="B7" s="451" t="s">
        <v>178</v>
      </c>
      <c r="C7" s="451"/>
      <c r="D7" s="451"/>
      <c r="E7" s="451"/>
      <c r="F7" s="451"/>
      <c r="G7" s="451"/>
      <c r="H7" s="451"/>
      <c r="I7" s="269" t="s">
        <v>179</v>
      </c>
      <c r="J7" s="269"/>
      <c r="K7" s="452" t="s">
        <v>238</v>
      </c>
      <c r="L7" s="453"/>
    </row>
    <row r="8" spans="1:21" s="270" customFormat="1" ht="16.5" customHeight="1" x14ac:dyDescent="0.2">
      <c r="A8" s="271"/>
      <c r="B8" s="273"/>
      <c r="C8" s="273"/>
      <c r="D8" s="273"/>
      <c r="E8" s="273"/>
      <c r="F8" s="273"/>
      <c r="G8" s="273"/>
      <c r="J8" s="275"/>
      <c r="K8" s="272"/>
      <c r="L8" s="272"/>
    </row>
    <row r="9" spans="1:21" ht="21.75" customHeight="1" x14ac:dyDescent="0.2">
      <c r="A9" s="276" t="s">
        <v>9</v>
      </c>
      <c r="B9" s="277"/>
      <c r="C9" s="277"/>
      <c r="D9" s="277"/>
      <c r="E9" s="277"/>
      <c r="F9" s="277"/>
      <c r="G9" s="277"/>
      <c r="H9" s="277"/>
      <c r="I9" s="277"/>
      <c r="J9" s="277"/>
      <c r="K9" s="441"/>
      <c r="L9" s="441"/>
    </row>
    <row r="10" spans="1:21" s="280" customFormat="1" ht="21" customHeight="1" x14ac:dyDescent="0.2">
      <c r="A10" s="445" t="s">
        <v>181</v>
      </c>
      <c r="B10" s="445" t="s">
        <v>182</v>
      </c>
      <c r="C10" s="445"/>
      <c r="D10" s="445"/>
      <c r="E10" s="445"/>
      <c r="F10" s="445"/>
      <c r="G10" s="445" t="s">
        <v>183</v>
      </c>
      <c r="H10" s="445"/>
      <c r="I10" s="445"/>
      <c r="J10" s="446" t="s">
        <v>184</v>
      </c>
      <c r="K10" s="446"/>
      <c r="L10" s="445" t="s">
        <v>185</v>
      </c>
      <c r="U10" s="280">
        <v>4</v>
      </c>
    </row>
    <row r="11" spans="1:21" s="280" customFormat="1" ht="20.25" customHeight="1" x14ac:dyDescent="0.2">
      <c r="A11" s="445"/>
      <c r="B11" s="445"/>
      <c r="C11" s="445"/>
      <c r="D11" s="445"/>
      <c r="E11" s="445"/>
      <c r="F11" s="445"/>
      <c r="G11" s="445"/>
      <c r="H11" s="445"/>
      <c r="I11" s="445"/>
      <c r="J11" s="278" t="s">
        <v>186</v>
      </c>
      <c r="K11" s="279" t="s">
        <v>187</v>
      </c>
      <c r="L11" s="445"/>
    </row>
    <row r="12" spans="1:21" s="280" customFormat="1" ht="24.95" customHeight="1" x14ac:dyDescent="0.3">
      <c r="A12" s="281" t="s">
        <v>127</v>
      </c>
      <c r="B12" s="282" t="s">
        <v>134</v>
      </c>
      <c r="C12" s="283"/>
      <c r="D12" s="283"/>
      <c r="E12" s="283"/>
      <c r="F12" s="284"/>
      <c r="G12" s="457"/>
      <c r="H12" s="458"/>
      <c r="I12" s="459"/>
      <c r="J12" s="285"/>
      <c r="K12" s="286"/>
      <c r="L12" s="287" t="s">
        <v>34</v>
      </c>
      <c r="P12" s="280">
        <f>27.68-15.63</f>
        <v>12.049999999999999</v>
      </c>
    </row>
    <row r="13" spans="1:21" s="290" customFormat="1" ht="24.95" customHeight="1" x14ac:dyDescent="0.3">
      <c r="A13" s="281" t="s">
        <v>128</v>
      </c>
      <c r="B13" s="282" t="s">
        <v>135</v>
      </c>
      <c r="C13" s="283"/>
      <c r="D13" s="283"/>
      <c r="E13" s="283"/>
      <c r="F13" s="284"/>
      <c r="G13" s="450"/>
      <c r="H13" s="450"/>
      <c r="I13" s="450"/>
      <c r="J13" s="288"/>
      <c r="K13" s="289"/>
      <c r="L13" s="287" t="s">
        <v>33</v>
      </c>
      <c r="S13" s="290">
        <f>3.05*0.8</f>
        <v>2.44</v>
      </c>
    </row>
    <row r="14" spans="1:21" s="290" customFormat="1" ht="24.95" customHeight="1" x14ac:dyDescent="0.3">
      <c r="A14" s="281" t="s">
        <v>129</v>
      </c>
      <c r="B14" s="282" t="s">
        <v>136</v>
      </c>
      <c r="C14" s="291"/>
      <c r="D14" s="291"/>
      <c r="E14" s="291"/>
      <c r="F14" s="292"/>
      <c r="G14" s="450"/>
      <c r="H14" s="450"/>
      <c r="I14" s="450"/>
      <c r="J14" s="293"/>
      <c r="K14" s="289"/>
      <c r="L14" s="287" t="s">
        <v>33</v>
      </c>
    </row>
    <row r="15" spans="1:21" s="290" customFormat="1" ht="24.95" customHeight="1" x14ac:dyDescent="0.3">
      <c r="A15" s="281" t="s">
        <v>130</v>
      </c>
      <c r="B15" s="282" t="s">
        <v>137</v>
      </c>
      <c r="C15" s="291"/>
      <c r="D15" s="291"/>
      <c r="E15" s="291"/>
      <c r="F15" s="292"/>
      <c r="G15" s="450"/>
      <c r="H15" s="450"/>
      <c r="I15" s="450"/>
      <c r="J15" s="293"/>
      <c r="K15" s="289"/>
      <c r="L15" s="287" t="s">
        <v>34</v>
      </c>
      <c r="U15" s="290">
        <f>4.96+9.92</f>
        <v>14.879999999999999</v>
      </c>
    </row>
    <row r="16" spans="1:21" s="290" customFormat="1" ht="24.95" customHeight="1" x14ac:dyDescent="0.3">
      <c r="A16" s="281" t="s">
        <v>131</v>
      </c>
      <c r="B16" s="282" t="s">
        <v>171</v>
      </c>
      <c r="C16" s="291"/>
      <c r="D16" s="291"/>
      <c r="E16" s="291"/>
      <c r="F16" s="292"/>
      <c r="G16" s="450"/>
      <c r="H16" s="450"/>
      <c r="I16" s="450"/>
      <c r="J16" s="396"/>
      <c r="K16" s="289"/>
      <c r="L16" s="287" t="s">
        <v>33</v>
      </c>
      <c r="Q16" s="290">
        <f>0.8*3.1*4</f>
        <v>9.9200000000000017</v>
      </c>
      <c r="U16" s="290">
        <f>15.86-U15</f>
        <v>0.98000000000000043</v>
      </c>
    </row>
    <row r="17" spans="1:12" s="290" customFormat="1" ht="36.6" customHeight="1" x14ac:dyDescent="0.3">
      <c r="A17" s="281" t="s">
        <v>156</v>
      </c>
      <c r="B17" s="447" t="s">
        <v>158</v>
      </c>
      <c r="C17" s="448"/>
      <c r="D17" s="448"/>
      <c r="E17" s="448"/>
      <c r="F17" s="449"/>
      <c r="G17" s="450"/>
      <c r="H17" s="450"/>
      <c r="I17" s="450"/>
      <c r="J17" s="295">
        <f>'SWA (FINAL)'!$D$22</f>
        <v>125.05</v>
      </c>
      <c r="K17" s="289"/>
      <c r="L17" s="287" t="s">
        <v>34</v>
      </c>
    </row>
    <row r="18" spans="1:12" s="290" customFormat="1" ht="24.75" customHeight="1" x14ac:dyDescent="0.3">
      <c r="A18" s="281" t="s">
        <v>157</v>
      </c>
      <c r="B18" s="282" t="s">
        <v>159</v>
      </c>
      <c r="C18" s="291"/>
      <c r="D18" s="291"/>
      <c r="E18" s="291"/>
      <c r="F18" s="292"/>
      <c r="G18" s="450"/>
      <c r="H18" s="450"/>
      <c r="I18" s="450"/>
      <c r="J18" s="393"/>
      <c r="K18" s="289"/>
      <c r="L18" s="287" t="s">
        <v>34</v>
      </c>
    </row>
    <row r="19" spans="1:12" s="290" customFormat="1" ht="24.75" customHeight="1" x14ac:dyDescent="0.3">
      <c r="A19" s="281" t="s">
        <v>142</v>
      </c>
      <c r="B19" s="282" t="s">
        <v>148</v>
      </c>
      <c r="C19" s="296"/>
      <c r="D19" s="291"/>
      <c r="E19" s="291"/>
      <c r="F19" s="292"/>
      <c r="G19" s="454"/>
      <c r="H19" s="455"/>
      <c r="I19" s="456"/>
      <c r="J19" s="394"/>
      <c r="K19" s="289"/>
      <c r="L19" s="287" t="s">
        <v>126</v>
      </c>
    </row>
    <row r="20" spans="1:12" s="290" customFormat="1" ht="24.75" customHeight="1" x14ac:dyDescent="0.3">
      <c r="A20" s="297" t="s">
        <v>143</v>
      </c>
      <c r="B20" s="282" t="s">
        <v>149</v>
      </c>
      <c r="C20" s="296"/>
      <c r="D20" s="291"/>
      <c r="E20" s="291"/>
      <c r="F20" s="292"/>
      <c r="G20" s="454"/>
      <c r="H20" s="455"/>
      <c r="I20" s="456"/>
      <c r="J20" s="394"/>
      <c r="K20" s="289"/>
      <c r="L20" s="287" t="s">
        <v>126</v>
      </c>
    </row>
    <row r="21" spans="1:12" s="290" customFormat="1" ht="24.75" customHeight="1" x14ac:dyDescent="0.3">
      <c r="A21" s="281" t="s">
        <v>144</v>
      </c>
      <c r="B21" s="298" t="s">
        <v>150</v>
      </c>
      <c r="C21" s="299"/>
      <c r="D21" s="291"/>
      <c r="E21" s="291"/>
      <c r="F21" s="292"/>
      <c r="G21" s="454"/>
      <c r="H21" s="455"/>
      <c r="I21" s="456"/>
      <c r="J21" s="395"/>
      <c r="K21" s="289"/>
      <c r="L21" s="287" t="s">
        <v>33</v>
      </c>
    </row>
    <row r="22" spans="1:12" s="290" customFormat="1" ht="24.75" customHeight="1" x14ac:dyDescent="0.3">
      <c r="A22" s="300" t="s">
        <v>142</v>
      </c>
      <c r="B22" s="301" t="s">
        <v>151</v>
      </c>
      <c r="C22" s="302"/>
      <c r="D22" s="291"/>
      <c r="E22" s="291"/>
      <c r="F22" s="292"/>
      <c r="G22" s="454"/>
      <c r="H22" s="455"/>
      <c r="I22" s="456"/>
      <c r="J22" s="303"/>
      <c r="K22" s="289"/>
      <c r="L22" s="287" t="s">
        <v>34</v>
      </c>
    </row>
    <row r="23" spans="1:12" s="290" customFormat="1" ht="24.75" customHeight="1" x14ac:dyDescent="0.3">
      <c r="A23" s="300" t="s">
        <v>143</v>
      </c>
      <c r="B23" s="301" t="s">
        <v>152</v>
      </c>
      <c r="C23" s="302"/>
      <c r="D23" s="291"/>
      <c r="E23" s="291"/>
      <c r="F23" s="292"/>
      <c r="G23" s="454"/>
      <c r="H23" s="455"/>
      <c r="I23" s="456"/>
      <c r="J23" s="303"/>
      <c r="K23" s="289"/>
      <c r="L23" s="287" t="s">
        <v>34</v>
      </c>
    </row>
    <row r="24" spans="1:12" s="290" customFormat="1" ht="24.75" customHeight="1" x14ac:dyDescent="0.3">
      <c r="A24" s="304" t="s">
        <v>147</v>
      </c>
      <c r="B24" s="301" t="s">
        <v>153</v>
      </c>
      <c r="C24" s="302"/>
      <c r="D24" s="291"/>
      <c r="E24" s="291"/>
      <c r="F24" s="292"/>
      <c r="G24" s="454"/>
      <c r="H24" s="455"/>
      <c r="I24" s="456"/>
      <c r="J24" s="303"/>
      <c r="K24" s="289"/>
      <c r="L24" s="287" t="s">
        <v>34</v>
      </c>
    </row>
    <row r="25" spans="1:12" s="290" customFormat="1" ht="24.95" customHeight="1" x14ac:dyDescent="0.3">
      <c r="A25" s="305"/>
      <c r="B25" s="306"/>
      <c r="C25" s="307"/>
      <c r="D25" s="307"/>
      <c r="E25" s="307"/>
      <c r="F25" s="308"/>
      <c r="G25" s="450"/>
      <c r="H25" s="450"/>
      <c r="I25" s="450"/>
      <c r="J25" s="309"/>
      <c r="K25" s="310"/>
      <c r="L25" s="287"/>
    </row>
    <row r="26" spans="1:12" s="290" customFormat="1" ht="24.75" customHeight="1" x14ac:dyDescent="0.3">
      <c r="A26" s="305"/>
      <c r="B26" s="306"/>
      <c r="C26" s="307"/>
      <c r="D26" s="307"/>
      <c r="E26" s="307"/>
      <c r="F26" s="308"/>
      <c r="G26" s="450"/>
      <c r="H26" s="450"/>
      <c r="I26" s="450"/>
      <c r="J26" s="311"/>
      <c r="K26" s="310"/>
      <c r="L26" s="287"/>
    </row>
    <row r="27" spans="1:12" s="290" customFormat="1" ht="24.95" customHeight="1" x14ac:dyDescent="0.3">
      <c r="A27" s="281"/>
      <c r="B27" s="306"/>
      <c r="C27" s="307"/>
      <c r="D27" s="307"/>
      <c r="E27" s="307"/>
      <c r="F27" s="308"/>
      <c r="G27" s="450"/>
      <c r="H27" s="450"/>
      <c r="I27" s="450"/>
      <c r="J27" s="309"/>
      <c r="K27" s="310"/>
      <c r="L27" s="287"/>
    </row>
    <row r="28" spans="1:12" s="290" customFormat="1" ht="24.95" customHeight="1" x14ac:dyDescent="0.3">
      <c r="A28" s="281"/>
      <c r="B28" s="306"/>
      <c r="C28" s="307"/>
      <c r="D28" s="307"/>
      <c r="E28" s="307"/>
      <c r="F28" s="308"/>
      <c r="G28" s="450"/>
      <c r="H28" s="450"/>
      <c r="I28" s="450"/>
      <c r="J28" s="309"/>
      <c r="K28" s="310"/>
      <c r="L28" s="287"/>
    </row>
    <row r="29" spans="1:12" s="290" customFormat="1" ht="24.95" customHeight="1" x14ac:dyDescent="0.3">
      <c r="A29" s="281"/>
      <c r="B29" s="306"/>
      <c r="C29" s="307"/>
      <c r="D29" s="307"/>
      <c r="E29" s="307"/>
      <c r="F29" s="308"/>
      <c r="G29" s="450"/>
      <c r="H29" s="450"/>
      <c r="I29" s="450"/>
      <c r="J29" s="309"/>
      <c r="K29" s="310"/>
      <c r="L29" s="287"/>
    </row>
    <row r="30" spans="1:12" s="290" customFormat="1" ht="24.95" customHeight="1" x14ac:dyDescent="0.3">
      <c r="A30" s="281"/>
      <c r="B30" s="306"/>
      <c r="C30" s="307"/>
      <c r="D30" s="307"/>
      <c r="E30" s="307"/>
      <c r="F30" s="308"/>
      <c r="G30" s="450"/>
      <c r="H30" s="450"/>
      <c r="I30" s="450"/>
      <c r="J30" s="309"/>
      <c r="K30" s="310"/>
      <c r="L30" s="287"/>
    </row>
    <row r="31" spans="1:12" s="290" customFormat="1" ht="24.95" customHeight="1" x14ac:dyDescent="0.3">
      <c r="A31" s="281"/>
      <c r="B31" s="306"/>
      <c r="C31" s="307"/>
      <c r="D31" s="307"/>
      <c r="E31" s="307"/>
      <c r="F31" s="308"/>
      <c r="G31" s="450"/>
      <c r="H31" s="450"/>
      <c r="I31" s="450"/>
      <c r="J31" s="309"/>
      <c r="K31" s="310"/>
      <c r="L31" s="287"/>
    </row>
    <row r="32" spans="1:12" s="290" customFormat="1" ht="24.95" customHeight="1" x14ac:dyDescent="0.2">
      <c r="A32" s="312"/>
      <c r="B32" s="462"/>
      <c r="C32" s="463"/>
      <c r="D32" s="463"/>
      <c r="E32" s="463"/>
      <c r="F32" s="464"/>
      <c r="G32" s="450"/>
      <c r="H32" s="450"/>
      <c r="I32" s="450"/>
      <c r="J32" s="309"/>
      <c r="K32" s="310"/>
      <c r="L32" s="313"/>
    </row>
    <row r="33" spans="1:12" s="290" customFormat="1" ht="21.95" customHeight="1" x14ac:dyDescent="0.2">
      <c r="A33" s="314"/>
      <c r="B33" s="465"/>
      <c r="C33" s="465"/>
      <c r="D33" s="465"/>
      <c r="E33" s="465"/>
      <c r="F33" s="465"/>
      <c r="G33" s="314"/>
      <c r="H33" s="315"/>
      <c r="I33" s="315"/>
      <c r="J33" s="316"/>
      <c r="K33" s="317"/>
      <c r="L33" s="277"/>
    </row>
    <row r="34" spans="1:12" s="290" customFormat="1" ht="21.95" customHeight="1" x14ac:dyDescent="0.2">
      <c r="A34" s="318" t="s">
        <v>188</v>
      </c>
      <c r="B34" s="319"/>
      <c r="C34" s="320"/>
      <c r="D34" s="320"/>
      <c r="E34" s="320"/>
      <c r="F34" s="321"/>
      <c r="G34" s="321"/>
      <c r="H34" s="321"/>
      <c r="I34" s="321"/>
      <c r="J34" s="321"/>
      <c r="K34" s="277"/>
      <c r="L34" s="277"/>
    </row>
    <row r="35" spans="1:12" s="324" customFormat="1" ht="21.95" customHeight="1" x14ac:dyDescent="0.2">
      <c r="A35" s="322" t="s">
        <v>181</v>
      </c>
      <c r="B35" s="460" t="s">
        <v>182</v>
      </c>
      <c r="C35" s="460"/>
      <c r="D35" s="460"/>
      <c r="E35" s="460"/>
      <c r="F35" s="460"/>
      <c r="G35" s="461" t="s">
        <v>189</v>
      </c>
      <c r="H35" s="461"/>
      <c r="I35" s="323" t="s">
        <v>185</v>
      </c>
      <c r="J35" s="278" t="s">
        <v>190</v>
      </c>
      <c r="K35" s="278" t="s">
        <v>191</v>
      </c>
      <c r="L35" s="278" t="s">
        <v>192</v>
      </c>
    </row>
    <row r="36" spans="1:12" s="290" customFormat="1" ht="24.95" customHeight="1" x14ac:dyDescent="0.2">
      <c r="A36" s="325"/>
      <c r="B36" s="466"/>
      <c r="C36" s="466"/>
      <c r="D36" s="466"/>
      <c r="E36" s="466"/>
      <c r="F36" s="466"/>
      <c r="G36" s="467"/>
      <c r="H36" s="467"/>
      <c r="I36" s="326"/>
      <c r="J36" s="326"/>
      <c r="K36" s="313"/>
      <c r="L36" s="313"/>
    </row>
    <row r="37" spans="1:12" s="290" customFormat="1" ht="24.95" customHeight="1" x14ac:dyDescent="0.2">
      <c r="A37" s="325"/>
      <c r="B37" s="468"/>
      <c r="C37" s="469"/>
      <c r="D37" s="469"/>
      <c r="E37" s="469"/>
      <c r="F37" s="470"/>
      <c r="G37" s="471"/>
      <c r="H37" s="472"/>
      <c r="I37" s="326"/>
      <c r="J37" s="326"/>
      <c r="K37" s="313"/>
      <c r="L37" s="313"/>
    </row>
    <row r="38" spans="1:12" s="290" customFormat="1" ht="24.95" customHeight="1" x14ac:dyDescent="0.2">
      <c r="A38" s="325"/>
      <c r="B38" s="468"/>
      <c r="C38" s="469"/>
      <c r="D38" s="469"/>
      <c r="E38" s="469"/>
      <c r="F38" s="470"/>
      <c r="G38" s="471"/>
      <c r="H38" s="472"/>
      <c r="I38" s="326"/>
      <c r="J38" s="326"/>
      <c r="K38" s="313"/>
      <c r="L38" s="313"/>
    </row>
    <row r="39" spans="1:12" s="290" customFormat="1" ht="24.95" customHeight="1" x14ac:dyDescent="0.2">
      <c r="A39" s="327"/>
      <c r="B39" s="466"/>
      <c r="C39" s="466"/>
      <c r="D39" s="466"/>
      <c r="E39" s="466"/>
      <c r="F39" s="466"/>
      <c r="G39" s="467"/>
      <c r="H39" s="467"/>
      <c r="I39" s="326"/>
      <c r="J39" s="326"/>
      <c r="K39" s="313"/>
      <c r="L39" s="313"/>
    </row>
    <row r="40" spans="1:12" s="290" customFormat="1" ht="24.95" customHeight="1" x14ac:dyDescent="0.2">
      <c r="A40" s="327"/>
      <c r="B40" s="466"/>
      <c r="C40" s="466"/>
      <c r="D40" s="466"/>
      <c r="E40" s="466"/>
      <c r="F40" s="466"/>
      <c r="G40" s="467"/>
      <c r="H40" s="467"/>
      <c r="I40" s="326"/>
      <c r="J40" s="326"/>
      <c r="K40" s="313"/>
      <c r="L40" s="313"/>
    </row>
    <row r="41" spans="1:12" s="290" customFormat="1" ht="24.95" customHeight="1" x14ac:dyDescent="0.2">
      <c r="A41" s="327"/>
      <c r="B41" s="466"/>
      <c r="C41" s="466"/>
      <c r="D41" s="466"/>
      <c r="E41" s="466"/>
      <c r="F41" s="466"/>
      <c r="G41" s="467"/>
      <c r="H41" s="467"/>
      <c r="I41" s="326"/>
      <c r="J41" s="326"/>
      <c r="K41" s="313"/>
      <c r="L41" s="313"/>
    </row>
    <row r="42" spans="1:12" s="290" customFormat="1" ht="21.95" customHeight="1" x14ac:dyDescent="0.2">
      <c r="A42" s="328"/>
      <c r="B42" s="475"/>
      <c r="C42" s="475"/>
      <c r="D42" s="475"/>
      <c r="E42" s="475"/>
      <c r="F42" s="475"/>
      <c r="G42" s="475"/>
      <c r="H42" s="475"/>
      <c r="I42" s="475"/>
      <c r="J42" s="321"/>
      <c r="K42" s="277"/>
      <c r="L42" s="277"/>
    </row>
    <row r="43" spans="1:12" s="277" customFormat="1" ht="21.95" customHeight="1" x14ac:dyDescent="0.2">
      <c r="A43" s="329" t="s">
        <v>193</v>
      </c>
      <c r="B43" s="329"/>
      <c r="C43" s="329"/>
      <c r="D43" s="329"/>
      <c r="E43" s="330"/>
      <c r="F43" s="321"/>
      <c r="G43" s="331"/>
      <c r="H43" s="332" t="s">
        <v>194</v>
      </c>
      <c r="I43" s="329"/>
      <c r="J43" s="330"/>
      <c r="K43" s="330"/>
      <c r="L43" s="330"/>
    </row>
    <row r="44" spans="1:12" s="277" customFormat="1" ht="21.95" customHeight="1" x14ac:dyDescent="0.3">
      <c r="A44" s="509" t="s">
        <v>237</v>
      </c>
      <c r="B44" s="510"/>
      <c r="C44" s="510"/>
      <c r="D44" s="510"/>
      <c r="E44" s="510"/>
      <c r="F44" s="510"/>
      <c r="G44" s="333"/>
      <c r="H44" s="477"/>
      <c r="I44" s="477"/>
      <c r="J44" s="477"/>
      <c r="K44" s="477"/>
      <c r="L44" s="477"/>
    </row>
    <row r="45" spans="1:12" s="277" customFormat="1" ht="21.95" customHeight="1" x14ac:dyDescent="0.3">
      <c r="A45" s="509" t="s">
        <v>239</v>
      </c>
      <c r="B45" s="510"/>
      <c r="C45" s="510"/>
      <c r="D45" s="510"/>
      <c r="E45" s="510"/>
      <c r="F45" s="510"/>
      <c r="G45" s="334"/>
      <c r="H45" s="335"/>
      <c r="I45" s="335"/>
      <c r="J45" s="335"/>
      <c r="K45" s="335"/>
      <c r="L45" s="335"/>
    </row>
    <row r="46" spans="1:12" s="277" customFormat="1" ht="21.6" customHeight="1" x14ac:dyDescent="0.25">
      <c r="A46" s="511"/>
      <c r="B46" s="511"/>
      <c r="C46" s="511"/>
      <c r="D46" s="511"/>
      <c r="E46" s="511"/>
      <c r="F46" s="511"/>
      <c r="G46" s="336"/>
      <c r="H46" s="337"/>
      <c r="I46" s="337"/>
      <c r="J46" s="337"/>
      <c r="K46" s="337"/>
      <c r="L46" s="337"/>
    </row>
    <row r="47" spans="1:12" s="277" customFormat="1" ht="27" customHeight="1" x14ac:dyDescent="0.3">
      <c r="A47" s="338"/>
      <c r="B47" s="338"/>
      <c r="C47" s="338"/>
      <c r="D47" s="338"/>
      <c r="E47" s="338"/>
      <c r="F47" s="338"/>
      <c r="G47" s="336"/>
      <c r="H47" s="337"/>
      <c r="I47" s="337"/>
      <c r="J47" s="337"/>
      <c r="K47" s="337"/>
      <c r="L47" s="337"/>
    </row>
    <row r="48" spans="1:12" s="277" customFormat="1" ht="27" customHeight="1" x14ac:dyDescent="0.3">
      <c r="A48" s="338"/>
      <c r="B48" s="338"/>
      <c r="C48" s="338"/>
      <c r="D48" s="338"/>
      <c r="E48" s="338"/>
      <c r="F48" s="338"/>
      <c r="G48" s="336"/>
      <c r="H48" s="337"/>
      <c r="I48" s="337"/>
      <c r="J48" s="337"/>
      <c r="K48" s="337"/>
      <c r="L48" s="337"/>
    </row>
    <row r="49" spans="1:12" s="277" customFormat="1" ht="27" customHeight="1" x14ac:dyDescent="0.3">
      <c r="A49" s="339"/>
      <c r="B49" s="339"/>
      <c r="C49" s="339"/>
      <c r="D49" s="339"/>
      <c r="E49" s="339"/>
      <c r="F49" s="339"/>
      <c r="G49" s="336"/>
      <c r="H49" s="337"/>
      <c r="I49" s="337"/>
      <c r="J49" s="337"/>
      <c r="K49" s="337"/>
      <c r="L49" s="337"/>
    </row>
    <row r="50" spans="1:12" s="277" customFormat="1" ht="29.25" customHeight="1" x14ac:dyDescent="0.25">
      <c r="A50" s="340"/>
      <c r="B50" s="340"/>
      <c r="C50" s="340"/>
      <c r="D50" s="340"/>
      <c r="E50" s="340"/>
      <c r="F50" s="340"/>
      <c r="G50" s="333"/>
      <c r="H50" s="335"/>
      <c r="I50" s="335"/>
      <c r="J50" s="335"/>
      <c r="K50" s="335"/>
      <c r="L50" s="335"/>
    </row>
    <row r="51" spans="1:12" s="277" customFormat="1" ht="21.95" customHeight="1" x14ac:dyDescent="0.25">
      <c r="A51" s="480"/>
      <c r="B51" s="480"/>
      <c r="C51" s="480"/>
      <c r="D51" s="480"/>
      <c r="E51" s="480"/>
      <c r="F51" s="480"/>
      <c r="G51" s="333"/>
      <c r="H51" s="480"/>
      <c r="I51" s="480"/>
      <c r="J51" s="480"/>
      <c r="K51" s="480"/>
      <c r="L51" s="480"/>
    </row>
    <row r="52" spans="1:12" s="277" customFormat="1" ht="21.95" customHeight="1" x14ac:dyDescent="0.2">
      <c r="A52" s="341" t="s">
        <v>197</v>
      </c>
      <c r="B52" s="342"/>
      <c r="C52" s="343"/>
      <c r="D52" s="344"/>
      <c r="H52" s="481" t="s">
        <v>198</v>
      </c>
      <c r="I52" s="481"/>
      <c r="J52" s="481"/>
      <c r="K52" s="481" t="s">
        <v>199</v>
      </c>
      <c r="L52" s="481"/>
    </row>
    <row r="53" spans="1:12" s="277" customFormat="1" ht="21.95" customHeight="1" x14ac:dyDescent="0.2">
      <c r="A53" s="482"/>
      <c r="B53" s="482"/>
      <c r="C53" s="482"/>
      <c r="D53" s="482"/>
      <c r="E53" s="482"/>
      <c r="F53" s="482"/>
      <c r="G53" s="345"/>
      <c r="H53" s="483" t="s">
        <v>182</v>
      </c>
      <c r="I53" s="483"/>
      <c r="J53" s="346" t="s">
        <v>189</v>
      </c>
      <c r="K53" s="347" t="s">
        <v>182</v>
      </c>
      <c r="L53" s="346" t="s">
        <v>189</v>
      </c>
    </row>
    <row r="54" spans="1:12" s="277" customFormat="1" ht="24.95" customHeight="1" x14ac:dyDescent="0.2">
      <c r="G54" s="348"/>
      <c r="H54" s="479" t="s">
        <v>200</v>
      </c>
      <c r="I54" s="479"/>
      <c r="J54" s="350">
        <v>1</v>
      </c>
      <c r="K54" s="351" t="s">
        <v>201</v>
      </c>
      <c r="L54" s="349">
        <v>1</v>
      </c>
    </row>
    <row r="55" spans="1:12" s="277" customFormat="1" ht="24.95" customHeight="1" x14ac:dyDescent="0.2">
      <c r="A55" s="352"/>
      <c r="B55" s="352"/>
      <c r="C55" s="352"/>
      <c r="D55" s="352"/>
      <c r="E55" s="352"/>
      <c r="F55" s="352"/>
      <c r="G55" s="348"/>
      <c r="H55" s="479" t="s">
        <v>202</v>
      </c>
      <c r="I55" s="479"/>
      <c r="J55" s="350">
        <v>2</v>
      </c>
      <c r="K55" s="349" t="s">
        <v>203</v>
      </c>
      <c r="L55" s="349">
        <v>1</v>
      </c>
    </row>
    <row r="56" spans="1:12" s="277" customFormat="1" ht="24.95" customHeight="1" x14ac:dyDescent="0.2">
      <c r="A56" s="352"/>
      <c r="B56" s="352"/>
      <c r="C56" s="352"/>
      <c r="D56" s="352"/>
      <c r="E56" s="352"/>
      <c r="F56" s="352"/>
      <c r="G56" s="348"/>
      <c r="H56" s="479" t="s">
        <v>204</v>
      </c>
      <c r="I56" s="479"/>
      <c r="J56" s="350">
        <v>8</v>
      </c>
      <c r="K56" s="353" t="s">
        <v>205</v>
      </c>
      <c r="L56" s="349"/>
    </row>
    <row r="57" spans="1:12" s="277" customFormat="1" ht="24.95" customHeight="1" x14ac:dyDescent="0.2">
      <c r="A57" s="352"/>
      <c r="B57" s="352"/>
      <c r="C57" s="352"/>
      <c r="D57" s="352"/>
      <c r="E57" s="352"/>
      <c r="F57" s="352"/>
      <c r="G57" s="348"/>
      <c r="H57" s="484" t="s">
        <v>206</v>
      </c>
      <c r="I57" s="485"/>
      <c r="J57" s="350">
        <v>2</v>
      </c>
      <c r="K57" s="353" t="s">
        <v>232</v>
      </c>
      <c r="L57" s="349">
        <v>1</v>
      </c>
    </row>
    <row r="58" spans="1:12" s="277" customFormat="1" ht="24.95" customHeight="1" x14ac:dyDescent="0.2">
      <c r="A58" s="348"/>
      <c r="B58" s="348"/>
      <c r="C58" s="348"/>
      <c r="D58" s="348"/>
      <c r="E58" s="348"/>
      <c r="F58" s="348"/>
      <c r="G58" s="348"/>
      <c r="H58" s="484"/>
      <c r="I58" s="485"/>
      <c r="J58" s="350"/>
      <c r="K58" s="353"/>
      <c r="L58" s="349"/>
    </row>
    <row r="59" spans="1:12" s="277" customFormat="1" ht="24.75" customHeight="1" x14ac:dyDescent="0.2">
      <c r="A59" s="348"/>
      <c r="B59" s="348"/>
      <c r="C59" s="348"/>
      <c r="D59" s="348"/>
      <c r="E59" s="348"/>
      <c r="F59" s="348"/>
      <c r="G59" s="348"/>
      <c r="H59" s="479"/>
      <c r="I59" s="479"/>
      <c r="J59" s="349"/>
      <c r="K59" s="349"/>
      <c r="L59" s="349"/>
    </row>
    <row r="60" spans="1:12" s="277" customFormat="1" ht="24.95" customHeight="1" x14ac:dyDescent="0.2">
      <c r="A60" s="486"/>
      <c r="B60" s="486"/>
      <c r="C60" s="486"/>
      <c r="D60" s="486"/>
      <c r="E60" s="486"/>
      <c r="F60" s="486"/>
      <c r="G60" s="348"/>
      <c r="H60" s="479"/>
      <c r="I60" s="479"/>
      <c r="J60" s="349"/>
      <c r="K60" s="354"/>
      <c r="L60" s="349"/>
    </row>
    <row r="61" spans="1:12" s="277" customFormat="1" ht="21.95" customHeight="1" x14ac:dyDescent="0.2">
      <c r="A61" s="355"/>
      <c r="B61" s="356"/>
      <c r="C61" s="356"/>
      <c r="D61" s="356"/>
      <c r="E61" s="357"/>
      <c r="F61" s="356"/>
      <c r="G61" s="356"/>
      <c r="H61" s="356"/>
      <c r="I61" s="356"/>
      <c r="J61" s="356"/>
      <c r="K61" s="358"/>
      <c r="L61" s="356"/>
    </row>
    <row r="62" spans="1:12" s="277" customFormat="1" ht="21" customHeight="1" x14ac:dyDescent="0.2">
      <c r="A62" s="359" t="s">
        <v>208</v>
      </c>
      <c r="B62" s="360"/>
      <c r="C62" s="360"/>
      <c r="D62" s="360"/>
      <c r="E62" s="361"/>
      <c r="F62" s="360"/>
      <c r="G62" s="360"/>
      <c r="H62" s="360"/>
      <c r="I62" s="356"/>
      <c r="J62" s="356"/>
      <c r="K62" s="358"/>
      <c r="L62" s="356"/>
    </row>
    <row r="63" spans="1:12" s="277" customFormat="1" ht="16.5" customHeight="1" x14ac:dyDescent="0.2">
      <c r="A63" s="355"/>
      <c r="B63" s="356"/>
      <c r="C63" s="356"/>
      <c r="D63" s="356"/>
      <c r="E63" s="357"/>
      <c r="F63" s="356"/>
      <c r="G63" s="356"/>
      <c r="H63" s="356"/>
      <c r="I63" s="362"/>
      <c r="J63" s="362"/>
      <c r="K63" s="358"/>
      <c r="L63" s="356"/>
    </row>
    <row r="64" spans="1:12" s="277" customFormat="1" ht="37.5" customHeight="1" x14ac:dyDescent="0.2">
      <c r="A64" s="356" t="s">
        <v>35</v>
      </c>
      <c r="B64" s="487" t="s">
        <v>209</v>
      </c>
      <c r="C64" s="488"/>
      <c r="D64" s="489" t="s">
        <v>210</v>
      </c>
      <c r="E64" s="490"/>
      <c r="F64" s="489" t="s">
        <v>211</v>
      </c>
      <c r="G64" s="490"/>
      <c r="H64" s="489" t="s">
        <v>212</v>
      </c>
      <c r="I64" s="490"/>
      <c r="J64" s="489" t="s">
        <v>213</v>
      </c>
      <c r="K64" s="490"/>
      <c r="L64" s="363"/>
    </row>
    <row r="65" spans="1:12" s="277" customFormat="1" ht="16.5" customHeight="1" x14ac:dyDescent="0.2">
      <c r="A65" s="364"/>
      <c r="B65" s="491">
        <v>0.71589999999999998</v>
      </c>
      <c r="C65" s="492"/>
      <c r="D65" s="495"/>
      <c r="E65" s="496"/>
      <c r="F65" s="491">
        <v>1</v>
      </c>
      <c r="G65" s="492"/>
      <c r="H65" s="491">
        <f>F65-B65</f>
        <v>0.28410000000000002</v>
      </c>
      <c r="I65" s="492"/>
      <c r="J65" s="499" t="s">
        <v>214</v>
      </c>
      <c r="K65" s="500"/>
      <c r="L65" s="363"/>
    </row>
    <row r="66" spans="1:12" s="271" customFormat="1" ht="16.5" customHeight="1" x14ac:dyDescent="0.2">
      <c r="A66" s="364"/>
      <c r="B66" s="493"/>
      <c r="C66" s="494"/>
      <c r="D66" s="497"/>
      <c r="E66" s="498"/>
      <c r="F66" s="493"/>
      <c r="G66" s="494"/>
      <c r="H66" s="493"/>
      <c r="I66" s="494"/>
      <c r="J66" s="501"/>
      <c r="K66" s="502"/>
      <c r="L66" s="363"/>
    </row>
    <row r="67" spans="1:12" s="271" customFormat="1" ht="16.5" customHeight="1" x14ac:dyDescent="0.2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6"/>
      <c r="L67" s="367"/>
    </row>
    <row r="68" spans="1:12" s="271" customFormat="1" ht="16.5" customHeight="1" x14ac:dyDescent="0.2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6"/>
      <c r="L68" s="367"/>
    </row>
    <row r="69" spans="1:12" s="271" customFormat="1" ht="16.5" customHeight="1" x14ac:dyDescent="0.2">
      <c r="A69" s="368"/>
      <c r="B69" s="369"/>
      <c r="C69" s="369"/>
      <c r="D69" s="369"/>
      <c r="E69" s="368"/>
      <c r="F69" s="370"/>
      <c r="G69" s="370"/>
      <c r="H69" s="370"/>
      <c r="I69" s="370"/>
      <c r="J69" s="371"/>
      <c r="K69" s="371"/>
      <c r="L69" s="277"/>
    </row>
    <row r="70" spans="1:12" s="271" customFormat="1" ht="21.75" customHeight="1" x14ac:dyDescent="0.2">
      <c r="A70" s="368" t="s">
        <v>44</v>
      </c>
      <c r="B70" s="369"/>
      <c r="C70" s="369"/>
      <c r="D70" s="368" t="s">
        <v>215</v>
      </c>
      <c r="F70" s="370"/>
      <c r="H70" s="368" t="s">
        <v>216</v>
      </c>
      <c r="I70" s="370"/>
      <c r="K70" s="371" t="s">
        <v>217</v>
      </c>
      <c r="L70" s="277"/>
    </row>
    <row r="71" spans="1:12" s="271" customFormat="1" ht="16.5" customHeight="1" x14ac:dyDescent="0.2">
      <c r="A71" s="368"/>
      <c r="B71" s="369"/>
      <c r="C71" s="369"/>
      <c r="D71" s="368"/>
      <c r="F71" s="370"/>
      <c r="H71" s="368"/>
      <c r="I71" s="370"/>
      <c r="K71" s="371"/>
      <c r="L71" s="277"/>
    </row>
    <row r="72" spans="1:12" s="271" customFormat="1" ht="16.5" customHeight="1" x14ac:dyDescent="0.2">
      <c r="A72" s="372"/>
      <c r="B72" s="372"/>
      <c r="C72" s="372"/>
      <c r="D72" s="372"/>
      <c r="E72" s="372"/>
      <c r="F72" s="372"/>
      <c r="H72" s="372"/>
      <c r="I72" s="372"/>
      <c r="J72" s="277"/>
      <c r="K72" s="277"/>
      <c r="L72" s="277"/>
    </row>
    <row r="73" spans="1:12" s="271" customFormat="1" ht="21" customHeight="1" x14ac:dyDescent="0.2">
      <c r="A73" s="503" t="s">
        <v>168</v>
      </c>
      <c r="B73" s="503"/>
      <c r="C73" s="373"/>
      <c r="D73" s="504" t="s">
        <v>48</v>
      </c>
      <c r="E73" s="504"/>
      <c r="F73" s="504"/>
      <c r="H73" s="504" t="s">
        <v>218</v>
      </c>
      <c r="I73" s="504"/>
      <c r="J73" s="504"/>
      <c r="K73" s="505"/>
      <c r="L73" s="505"/>
    </row>
    <row r="74" spans="1:12" s="277" customFormat="1" ht="21" customHeight="1" x14ac:dyDescent="0.2">
      <c r="A74" s="506" t="s">
        <v>219</v>
      </c>
      <c r="B74" s="506"/>
      <c r="C74" s="374"/>
      <c r="D74" s="507" t="s">
        <v>220</v>
      </c>
      <c r="E74" s="506"/>
      <c r="F74" s="506"/>
      <c r="H74" s="506" t="s">
        <v>221</v>
      </c>
      <c r="I74" s="506"/>
      <c r="J74" s="506"/>
      <c r="K74" s="375" t="s">
        <v>222</v>
      </c>
      <c r="L74" s="376"/>
    </row>
    <row r="75" spans="1:12" s="277" customFormat="1" ht="16.5" customHeight="1" x14ac:dyDescent="0.2">
      <c r="A75" s="377"/>
      <c r="B75" s="369"/>
      <c r="C75" s="369"/>
      <c r="D75" s="369"/>
      <c r="E75" s="369"/>
      <c r="F75" s="372"/>
      <c r="G75" s="372"/>
      <c r="H75" s="372"/>
      <c r="I75" s="372"/>
      <c r="J75" s="372"/>
    </row>
    <row r="76" spans="1:12" s="277" customFormat="1" ht="16.5" customHeight="1" x14ac:dyDescent="0.2">
      <c r="A76" s="377"/>
      <c r="B76" s="369"/>
      <c r="C76" s="369"/>
      <c r="D76" s="369"/>
      <c r="E76" s="369"/>
      <c r="F76" s="372"/>
      <c r="G76" s="372"/>
      <c r="H76" s="372"/>
      <c r="I76" s="372"/>
      <c r="J76" s="372"/>
    </row>
    <row r="77" spans="1:12" s="277" customFormat="1" ht="16.5" customHeight="1" x14ac:dyDescent="0.2">
      <c r="A77" s="377"/>
      <c r="B77" s="369"/>
      <c r="C77" s="369"/>
      <c r="D77" s="369"/>
      <c r="E77" s="369"/>
      <c r="F77" s="372"/>
      <c r="G77" s="372"/>
      <c r="H77" s="372"/>
      <c r="I77" s="372"/>
      <c r="J77" s="372"/>
    </row>
    <row r="78" spans="1:12" s="277" customFormat="1" ht="16.5" customHeight="1" x14ac:dyDescent="0.2">
      <c r="A78" s="377"/>
      <c r="B78" s="369"/>
      <c r="C78" s="369"/>
      <c r="D78" s="369"/>
      <c r="E78" s="369"/>
      <c r="F78" s="378"/>
      <c r="G78" s="378"/>
      <c r="H78" s="378"/>
      <c r="I78" s="378"/>
      <c r="J78" s="378"/>
    </row>
    <row r="79" spans="1:12" s="277" customFormat="1" ht="16.5" customHeight="1" x14ac:dyDescent="0.2">
      <c r="A79" s="377"/>
      <c r="B79" s="369"/>
      <c r="C79" s="369"/>
      <c r="D79" s="369"/>
      <c r="E79" s="369"/>
      <c r="F79" s="378"/>
      <c r="G79" s="378"/>
      <c r="H79" s="378"/>
      <c r="I79" s="378"/>
      <c r="J79" s="378"/>
    </row>
    <row r="80" spans="1:12" s="277" customFormat="1" ht="15" customHeight="1" x14ac:dyDescent="0.2">
      <c r="A80" s="369"/>
      <c r="B80" s="369"/>
      <c r="C80" s="369"/>
      <c r="D80" s="369"/>
      <c r="E80" s="369"/>
      <c r="F80" s="372"/>
      <c r="G80" s="372"/>
      <c r="H80" s="372"/>
      <c r="I80" s="372"/>
      <c r="J80" s="372"/>
    </row>
    <row r="81" spans="1:10" s="277" customFormat="1" ht="15" customHeight="1" x14ac:dyDescent="0.2">
      <c r="A81" s="369"/>
      <c r="B81" s="369"/>
      <c r="C81" s="369"/>
      <c r="D81" s="369"/>
      <c r="E81" s="369"/>
      <c r="F81" s="379"/>
      <c r="G81" s="379"/>
      <c r="H81" s="379"/>
      <c r="I81" s="379"/>
      <c r="J81" s="379"/>
    </row>
    <row r="82" spans="1:10" s="277" customFormat="1" ht="15" customHeight="1" x14ac:dyDescent="0.2">
      <c r="A82" s="369"/>
      <c r="B82" s="369"/>
      <c r="C82" s="369"/>
      <c r="D82" s="369"/>
      <c r="E82" s="369"/>
      <c r="F82" s="378"/>
      <c r="G82" s="378"/>
      <c r="H82" s="378"/>
      <c r="I82" s="378"/>
      <c r="J82" s="378"/>
    </row>
    <row r="83" spans="1:10" s="277" customFormat="1" ht="15" customHeight="1" x14ac:dyDescent="0.2">
      <c r="A83" s="369"/>
      <c r="B83" s="369"/>
      <c r="C83" s="369"/>
      <c r="D83" s="369"/>
      <c r="E83" s="369"/>
      <c r="F83" s="372"/>
      <c r="G83" s="372"/>
      <c r="H83" s="372"/>
      <c r="I83" s="372"/>
      <c r="J83" s="372"/>
    </row>
    <row r="84" spans="1:10" s="277" customFormat="1" ht="15" customHeight="1" x14ac:dyDescent="0.2">
      <c r="A84" s="369"/>
      <c r="B84" s="369"/>
      <c r="C84" s="369"/>
      <c r="D84" s="369"/>
      <c r="E84" s="369"/>
      <c r="F84" s="378"/>
      <c r="G84" s="378"/>
      <c r="H84" s="378"/>
      <c r="I84" s="378"/>
      <c r="J84" s="378"/>
    </row>
    <row r="85" spans="1:10" s="277" customFormat="1" ht="20.25" x14ac:dyDescent="0.2">
      <c r="A85" s="369"/>
      <c r="B85" s="369"/>
      <c r="C85" s="369"/>
      <c r="D85" s="369"/>
      <c r="E85" s="369"/>
      <c r="F85" s="378"/>
      <c r="G85" s="378"/>
      <c r="H85" s="378"/>
      <c r="I85" s="378"/>
      <c r="J85" s="378"/>
    </row>
    <row r="86" spans="1:10" s="277" customFormat="1" ht="21.95" customHeight="1" x14ac:dyDescent="0.2">
      <c r="A86" s="369"/>
      <c r="B86" s="369"/>
      <c r="C86" s="369"/>
      <c r="D86" s="369"/>
      <c r="E86" s="369"/>
      <c r="F86" s="372"/>
      <c r="G86" s="372"/>
      <c r="H86" s="372"/>
      <c r="I86" s="372"/>
      <c r="J86" s="372"/>
    </row>
    <row r="87" spans="1:10" s="277" customFormat="1" ht="21.95" customHeight="1" x14ac:dyDescent="0.2">
      <c r="A87" s="369"/>
      <c r="B87" s="369"/>
      <c r="C87" s="369"/>
      <c r="D87" s="369"/>
      <c r="E87" s="369"/>
      <c r="F87" s="372"/>
      <c r="G87" s="372"/>
      <c r="H87" s="372"/>
      <c r="I87" s="372"/>
      <c r="J87" s="372"/>
    </row>
    <row r="88" spans="1:10" s="277" customFormat="1" ht="21.95" customHeight="1" x14ac:dyDescent="0.2">
      <c r="A88" s="369"/>
      <c r="B88" s="369"/>
      <c r="C88" s="369"/>
      <c r="D88" s="369"/>
      <c r="E88" s="369"/>
      <c r="F88" s="372"/>
      <c r="G88" s="372"/>
      <c r="H88" s="372"/>
      <c r="I88" s="372"/>
      <c r="J88" s="372"/>
    </row>
    <row r="89" spans="1:10" s="277" customFormat="1" ht="21.95" customHeight="1" x14ac:dyDescent="0.2">
      <c r="A89" s="369"/>
      <c r="B89" s="369"/>
      <c r="C89" s="369"/>
      <c r="D89" s="369"/>
      <c r="E89" s="369"/>
      <c r="F89" s="372"/>
      <c r="G89" s="372"/>
      <c r="H89" s="372"/>
      <c r="I89" s="372"/>
      <c r="J89" s="372"/>
    </row>
    <row r="90" spans="1:10" s="277" customFormat="1" ht="21.95" customHeight="1" x14ac:dyDescent="0.2">
      <c r="A90" s="369"/>
      <c r="B90" s="369"/>
      <c r="C90" s="369"/>
      <c r="D90" s="369"/>
      <c r="E90" s="369"/>
      <c r="F90" s="372"/>
      <c r="G90" s="372"/>
      <c r="H90" s="372"/>
      <c r="I90" s="372"/>
      <c r="J90" s="372"/>
    </row>
    <row r="91" spans="1:10" s="277" customFormat="1" ht="21.95" customHeight="1" x14ac:dyDescent="0.2">
      <c r="A91" s="369"/>
      <c r="B91" s="369"/>
      <c r="C91" s="369"/>
      <c r="D91" s="369"/>
      <c r="E91" s="369"/>
      <c r="F91" s="372"/>
      <c r="G91" s="372"/>
      <c r="H91" s="372"/>
      <c r="I91" s="372"/>
      <c r="J91" s="372"/>
    </row>
    <row r="92" spans="1:10" s="277" customFormat="1" ht="21.95" customHeight="1" x14ac:dyDescent="0.2">
      <c r="A92" s="369"/>
      <c r="B92" s="369"/>
      <c r="C92" s="369"/>
      <c r="D92" s="369"/>
      <c r="E92" s="369"/>
      <c r="F92" s="372"/>
      <c r="G92" s="372"/>
      <c r="H92" s="372"/>
      <c r="I92" s="372"/>
      <c r="J92" s="372"/>
    </row>
    <row r="93" spans="1:10" s="277" customFormat="1" ht="21.95" customHeight="1" x14ac:dyDescent="0.2">
      <c r="A93" s="369"/>
      <c r="B93" s="369"/>
      <c r="C93" s="369"/>
      <c r="D93" s="369"/>
      <c r="E93" s="369"/>
      <c r="F93" s="378"/>
      <c r="G93" s="378"/>
      <c r="H93" s="378"/>
      <c r="I93" s="378"/>
      <c r="J93" s="378"/>
    </row>
    <row r="94" spans="1:10" s="277" customFormat="1" ht="21.95" customHeight="1" x14ac:dyDescent="0.2">
      <c r="A94" s="369"/>
      <c r="B94" s="369"/>
      <c r="C94" s="369"/>
      <c r="D94" s="369"/>
      <c r="E94" s="369"/>
      <c r="F94" s="378"/>
      <c r="G94" s="378"/>
      <c r="H94" s="378"/>
      <c r="I94" s="378"/>
      <c r="J94" s="378"/>
    </row>
    <row r="95" spans="1:10" s="277" customFormat="1" ht="21.95" customHeight="1" x14ac:dyDescent="0.2">
      <c r="A95" s="369"/>
      <c r="B95" s="369"/>
      <c r="C95" s="369"/>
      <c r="D95" s="369"/>
      <c r="E95" s="369"/>
      <c r="F95" s="372"/>
      <c r="G95" s="372"/>
      <c r="H95" s="372"/>
      <c r="I95" s="372"/>
      <c r="J95" s="372"/>
    </row>
    <row r="96" spans="1:10" s="277" customFormat="1" ht="21.95" customHeight="1" x14ac:dyDescent="0.2">
      <c r="A96" s="369"/>
      <c r="B96" s="369"/>
      <c r="C96" s="369"/>
      <c r="D96" s="369"/>
      <c r="E96" s="369"/>
      <c r="F96" s="372"/>
      <c r="G96" s="372"/>
      <c r="H96" s="372"/>
      <c r="I96" s="372"/>
      <c r="J96" s="372"/>
    </row>
    <row r="97" spans="1:10" s="277" customFormat="1" ht="21.95" customHeight="1" x14ac:dyDescent="0.2">
      <c r="A97" s="369"/>
      <c r="B97" s="369"/>
      <c r="C97" s="369"/>
      <c r="D97" s="369"/>
      <c r="E97" s="369"/>
      <c r="F97" s="372"/>
      <c r="G97" s="372"/>
      <c r="H97" s="372"/>
      <c r="I97" s="372"/>
      <c r="J97" s="372"/>
    </row>
    <row r="98" spans="1:10" s="277" customFormat="1" ht="21.95" customHeight="1" x14ac:dyDescent="0.2">
      <c r="A98" s="369"/>
      <c r="B98" s="369"/>
      <c r="C98" s="369"/>
      <c r="D98" s="369"/>
      <c r="E98" s="369"/>
      <c r="F98" s="372"/>
      <c r="G98" s="372"/>
      <c r="H98" s="372"/>
      <c r="I98" s="372"/>
      <c r="J98" s="372"/>
    </row>
    <row r="99" spans="1:10" s="277" customFormat="1" ht="21.95" customHeight="1" x14ac:dyDescent="0.2">
      <c r="A99" s="369"/>
      <c r="B99" s="369"/>
      <c r="C99" s="369"/>
      <c r="D99" s="369"/>
      <c r="E99" s="369"/>
      <c r="F99" s="372"/>
      <c r="G99" s="372"/>
      <c r="H99" s="372"/>
      <c r="I99" s="372"/>
      <c r="J99" s="372"/>
    </row>
    <row r="100" spans="1:10" s="277" customFormat="1" ht="21.95" customHeight="1" x14ac:dyDescent="0.2">
      <c r="A100" s="369"/>
      <c r="B100" s="369"/>
      <c r="C100" s="369"/>
      <c r="D100" s="369"/>
      <c r="E100" s="369"/>
      <c r="F100" s="372"/>
      <c r="G100" s="372"/>
      <c r="H100" s="372"/>
      <c r="I100" s="372"/>
      <c r="J100" s="372"/>
    </row>
    <row r="101" spans="1:10" s="277" customFormat="1" ht="21.95" customHeight="1" x14ac:dyDescent="0.2">
      <c r="A101" s="369"/>
      <c r="B101" s="369"/>
      <c r="C101" s="369"/>
      <c r="D101" s="369"/>
      <c r="E101" s="369"/>
      <c r="F101" s="372"/>
      <c r="G101" s="372"/>
      <c r="H101" s="372"/>
      <c r="I101" s="372"/>
      <c r="J101" s="372"/>
    </row>
    <row r="102" spans="1:10" s="277" customFormat="1" ht="21.95" customHeight="1" x14ac:dyDescent="0.2">
      <c r="A102" s="369"/>
      <c r="B102" s="369"/>
      <c r="C102" s="369"/>
      <c r="D102" s="369"/>
      <c r="E102" s="369"/>
      <c r="F102" s="372"/>
      <c r="G102" s="372"/>
      <c r="H102" s="372"/>
      <c r="I102" s="372"/>
      <c r="J102" s="372"/>
    </row>
    <row r="103" spans="1:10" s="277" customFormat="1" ht="21.95" customHeight="1" x14ac:dyDescent="0.2">
      <c r="A103" s="369"/>
      <c r="B103" s="369"/>
      <c r="C103" s="369"/>
      <c r="D103" s="369"/>
      <c r="E103" s="369"/>
      <c r="F103" s="372"/>
      <c r="G103" s="372"/>
      <c r="H103" s="372"/>
      <c r="I103" s="372"/>
      <c r="J103" s="372"/>
    </row>
    <row r="104" spans="1:10" s="277" customFormat="1" ht="21.95" customHeight="1" x14ac:dyDescent="0.2">
      <c r="A104" s="369"/>
      <c r="B104" s="369"/>
      <c r="C104" s="369"/>
      <c r="D104" s="369"/>
      <c r="E104" s="369"/>
      <c r="F104" s="372"/>
      <c r="G104" s="372"/>
      <c r="H104" s="372"/>
      <c r="I104" s="372"/>
      <c r="J104" s="372"/>
    </row>
    <row r="105" spans="1:10" s="277" customFormat="1" ht="21.95" customHeight="1" x14ac:dyDescent="0.2">
      <c r="A105" s="369"/>
      <c r="B105" s="369"/>
      <c r="C105" s="369"/>
      <c r="D105" s="369"/>
      <c r="E105" s="369"/>
      <c r="F105" s="372"/>
      <c r="G105" s="372"/>
      <c r="H105" s="372"/>
      <c r="I105" s="372"/>
      <c r="J105" s="372"/>
    </row>
    <row r="106" spans="1:10" s="277" customFormat="1" ht="21.95" customHeight="1" x14ac:dyDescent="0.2">
      <c r="A106" s="369"/>
      <c r="B106" s="369"/>
      <c r="C106" s="369"/>
      <c r="D106" s="369"/>
      <c r="E106" s="369"/>
      <c r="F106" s="372"/>
      <c r="G106" s="372"/>
      <c r="H106" s="372"/>
      <c r="I106" s="372"/>
      <c r="J106" s="372"/>
    </row>
    <row r="107" spans="1:10" s="277" customFormat="1" ht="21.95" customHeight="1" x14ac:dyDescent="0.2">
      <c r="A107" s="369"/>
      <c r="B107" s="369"/>
      <c r="C107" s="369"/>
      <c r="D107" s="369"/>
      <c r="E107" s="369"/>
      <c r="F107" s="372"/>
      <c r="G107" s="372"/>
      <c r="H107" s="372"/>
      <c r="I107" s="372"/>
      <c r="J107" s="372"/>
    </row>
    <row r="108" spans="1:10" s="277" customFormat="1" ht="21.95" customHeight="1" x14ac:dyDescent="0.2">
      <c r="A108" s="369"/>
      <c r="B108" s="369"/>
      <c r="C108" s="369"/>
      <c r="D108" s="369"/>
      <c r="E108" s="369"/>
      <c r="F108" s="372"/>
      <c r="G108" s="372"/>
      <c r="H108" s="372"/>
      <c r="I108" s="372"/>
      <c r="J108" s="372"/>
    </row>
    <row r="109" spans="1:10" s="277" customFormat="1" ht="21.95" customHeight="1" x14ac:dyDescent="0.2">
      <c r="A109" s="369"/>
      <c r="B109" s="369"/>
      <c r="C109" s="369"/>
      <c r="D109" s="369"/>
      <c r="E109" s="369"/>
      <c r="F109" s="372"/>
      <c r="G109" s="372"/>
      <c r="H109" s="372"/>
      <c r="I109" s="372"/>
      <c r="J109" s="372"/>
    </row>
    <row r="110" spans="1:10" s="277" customFormat="1" ht="21.95" customHeight="1" x14ac:dyDescent="0.2">
      <c r="A110" s="369"/>
      <c r="B110" s="369"/>
      <c r="C110" s="369"/>
      <c r="D110" s="369"/>
      <c r="E110" s="369"/>
      <c r="F110" s="372"/>
      <c r="G110" s="372"/>
      <c r="H110" s="372"/>
      <c r="I110" s="372"/>
      <c r="J110" s="372"/>
    </row>
    <row r="111" spans="1:10" s="277" customFormat="1" ht="21.95" customHeight="1" x14ac:dyDescent="0.2">
      <c r="A111" s="369"/>
      <c r="B111" s="369"/>
      <c r="C111" s="369"/>
      <c r="D111" s="369"/>
      <c r="E111" s="369"/>
      <c r="F111" s="372"/>
      <c r="G111" s="372"/>
      <c r="H111" s="372"/>
      <c r="I111" s="372"/>
      <c r="J111" s="372"/>
    </row>
    <row r="112" spans="1:10" s="277" customFormat="1" ht="21.95" customHeight="1" x14ac:dyDescent="0.2">
      <c r="A112" s="369"/>
      <c r="B112" s="369"/>
      <c r="C112" s="369"/>
      <c r="D112" s="369"/>
      <c r="E112" s="369"/>
      <c r="F112" s="372"/>
      <c r="G112" s="372"/>
      <c r="H112" s="372"/>
      <c r="I112" s="372"/>
      <c r="J112" s="372"/>
    </row>
    <row r="113" spans="1:10" s="277" customFormat="1" ht="21.95" customHeight="1" x14ac:dyDescent="0.2">
      <c r="A113" s="369"/>
      <c r="B113" s="369"/>
      <c r="C113" s="369"/>
      <c r="D113" s="369"/>
      <c r="E113" s="369"/>
      <c r="F113" s="372"/>
      <c r="G113" s="372"/>
      <c r="H113" s="372"/>
      <c r="I113" s="372"/>
      <c r="J113" s="372"/>
    </row>
    <row r="114" spans="1:10" s="277" customFormat="1" ht="21.95" customHeight="1" x14ac:dyDescent="0.2">
      <c r="A114" s="369"/>
      <c r="B114" s="369"/>
      <c r="C114" s="369"/>
      <c r="D114" s="369"/>
      <c r="E114" s="369"/>
      <c r="F114" s="372"/>
      <c r="G114" s="372"/>
      <c r="H114" s="372"/>
      <c r="I114" s="372"/>
      <c r="J114" s="372"/>
    </row>
    <row r="115" spans="1:10" s="277" customFormat="1" ht="21.95" customHeight="1" x14ac:dyDescent="0.2">
      <c r="A115" s="369"/>
      <c r="B115" s="369"/>
      <c r="C115" s="369"/>
      <c r="D115" s="369"/>
      <c r="E115" s="369"/>
      <c r="F115" s="372"/>
      <c r="G115" s="372"/>
      <c r="H115" s="372"/>
      <c r="I115" s="372"/>
      <c r="J115" s="372"/>
    </row>
    <row r="116" spans="1:10" s="277" customFormat="1" ht="21.95" customHeight="1" x14ac:dyDescent="0.2">
      <c r="A116" s="369"/>
      <c r="B116" s="369"/>
      <c r="C116" s="369"/>
      <c r="D116" s="369"/>
      <c r="E116" s="369"/>
      <c r="F116" s="372"/>
      <c r="G116" s="372"/>
      <c r="H116" s="372"/>
      <c r="I116" s="372"/>
      <c r="J116" s="372"/>
    </row>
    <row r="117" spans="1:10" s="277" customFormat="1" ht="21.95" customHeight="1" x14ac:dyDescent="0.2">
      <c r="A117" s="369"/>
      <c r="B117" s="369"/>
      <c r="C117" s="369"/>
      <c r="D117" s="369"/>
      <c r="E117" s="369"/>
      <c r="F117" s="372"/>
      <c r="G117" s="372"/>
      <c r="H117" s="372"/>
      <c r="I117" s="372"/>
      <c r="J117" s="372"/>
    </row>
    <row r="118" spans="1:10" s="277" customFormat="1" ht="21.95" customHeight="1" x14ac:dyDescent="0.2">
      <c r="A118" s="369"/>
      <c r="B118" s="369"/>
      <c r="C118" s="369"/>
      <c r="D118" s="369"/>
      <c r="E118" s="369"/>
      <c r="F118" s="372"/>
      <c r="G118" s="372"/>
      <c r="H118" s="372"/>
      <c r="I118" s="372"/>
      <c r="J118" s="372"/>
    </row>
    <row r="119" spans="1:10" s="277" customFormat="1" ht="21.95" customHeight="1" x14ac:dyDescent="0.2">
      <c r="A119" s="369"/>
      <c r="B119" s="369"/>
      <c r="C119" s="369"/>
      <c r="D119" s="369"/>
      <c r="E119" s="369"/>
      <c r="F119" s="372"/>
      <c r="G119" s="372"/>
      <c r="H119" s="372"/>
      <c r="I119" s="372"/>
      <c r="J119" s="372"/>
    </row>
    <row r="120" spans="1:10" s="277" customFormat="1" ht="21.95" customHeight="1" x14ac:dyDescent="0.2">
      <c r="A120" s="369"/>
      <c r="B120" s="369"/>
      <c r="C120" s="369"/>
      <c r="D120" s="369"/>
      <c r="E120" s="369"/>
      <c r="F120" s="372"/>
      <c r="G120" s="372"/>
      <c r="H120" s="372"/>
      <c r="I120" s="372"/>
      <c r="J120" s="372"/>
    </row>
    <row r="121" spans="1:10" s="277" customFormat="1" ht="21.95" customHeight="1" x14ac:dyDescent="0.2">
      <c r="A121" s="369"/>
      <c r="B121" s="369"/>
      <c r="C121" s="369"/>
      <c r="D121" s="369"/>
      <c r="E121" s="369"/>
      <c r="F121" s="372"/>
      <c r="G121" s="372"/>
      <c r="H121" s="372"/>
      <c r="I121" s="372"/>
      <c r="J121" s="372"/>
    </row>
    <row r="122" spans="1:10" s="277" customFormat="1" ht="21.95" customHeight="1" x14ac:dyDescent="0.2">
      <c r="A122" s="369"/>
      <c r="B122" s="369"/>
      <c r="C122" s="369"/>
      <c r="D122" s="369"/>
      <c r="E122" s="369"/>
      <c r="F122" s="380"/>
      <c r="G122" s="380"/>
      <c r="H122" s="380"/>
      <c r="I122" s="380"/>
      <c r="J122" s="380"/>
    </row>
    <row r="123" spans="1:10" s="277" customFormat="1" ht="21.95" customHeight="1" x14ac:dyDescent="0.2">
      <c r="A123" s="369"/>
      <c r="B123" s="369"/>
      <c r="C123" s="369"/>
      <c r="D123" s="369"/>
      <c r="E123" s="369"/>
      <c r="F123" s="380"/>
      <c r="G123" s="380"/>
      <c r="H123" s="380"/>
      <c r="I123" s="380"/>
      <c r="J123" s="380"/>
    </row>
    <row r="124" spans="1:10" s="277" customFormat="1" ht="21.95" customHeight="1" x14ac:dyDescent="0.2">
      <c r="A124" s="369"/>
      <c r="B124" s="369"/>
      <c r="C124" s="369"/>
      <c r="D124" s="369"/>
      <c r="E124" s="369"/>
      <c r="F124" s="380"/>
      <c r="G124" s="380"/>
      <c r="H124" s="380"/>
      <c r="I124" s="380"/>
      <c r="J124" s="380"/>
    </row>
    <row r="125" spans="1:10" s="277" customFormat="1" ht="21.95" customHeight="1" x14ac:dyDescent="0.2">
      <c r="A125" s="369"/>
      <c r="B125" s="369"/>
      <c r="C125" s="369"/>
      <c r="D125" s="369"/>
      <c r="E125" s="369"/>
      <c r="F125" s="372"/>
      <c r="G125" s="372"/>
      <c r="H125" s="372"/>
      <c r="I125" s="372"/>
      <c r="J125" s="372"/>
    </row>
    <row r="126" spans="1:10" s="277" customFormat="1" ht="21.95" customHeight="1" x14ac:dyDescent="0.2">
      <c r="A126" s="369"/>
      <c r="B126" s="369"/>
      <c r="C126" s="369"/>
      <c r="D126" s="369"/>
      <c r="E126" s="369"/>
      <c r="F126" s="372"/>
      <c r="G126" s="372"/>
      <c r="H126" s="372"/>
      <c r="I126" s="372"/>
      <c r="J126" s="372"/>
    </row>
    <row r="127" spans="1:10" s="277" customFormat="1" ht="21.95" customHeight="1" x14ac:dyDescent="0.2">
      <c r="A127" s="369"/>
      <c r="B127" s="369"/>
      <c r="C127" s="369"/>
      <c r="D127" s="369"/>
      <c r="E127" s="369"/>
      <c r="F127" s="380"/>
      <c r="G127" s="380"/>
      <c r="H127" s="380"/>
      <c r="I127" s="380"/>
      <c r="J127" s="380"/>
    </row>
    <row r="128" spans="1:10" s="277" customFormat="1" ht="21.95" customHeight="1" x14ac:dyDescent="0.2">
      <c r="A128" s="369"/>
      <c r="B128" s="369"/>
      <c r="C128" s="369"/>
      <c r="D128" s="369"/>
      <c r="E128" s="369"/>
      <c r="F128" s="380"/>
      <c r="G128" s="380"/>
      <c r="H128" s="380"/>
      <c r="I128" s="380"/>
      <c r="J128" s="380"/>
    </row>
    <row r="129" spans="1:10" s="277" customFormat="1" ht="21.95" customHeight="1" x14ac:dyDescent="0.2">
      <c r="A129" s="369"/>
      <c r="B129" s="369"/>
      <c r="C129" s="369"/>
      <c r="D129" s="369"/>
      <c r="E129" s="369"/>
      <c r="F129" s="380"/>
      <c r="G129" s="380"/>
      <c r="H129" s="380"/>
      <c r="I129" s="380"/>
      <c r="J129" s="380"/>
    </row>
    <row r="130" spans="1:10" s="277" customFormat="1" ht="21.95" customHeight="1" x14ac:dyDescent="0.2">
      <c r="A130" s="369"/>
      <c r="B130" s="369"/>
      <c r="C130" s="369"/>
      <c r="D130" s="369"/>
      <c r="E130" s="369"/>
      <c r="F130" s="372"/>
      <c r="G130" s="372"/>
      <c r="H130" s="372"/>
      <c r="I130" s="372"/>
      <c r="J130" s="372"/>
    </row>
    <row r="131" spans="1:10" s="277" customFormat="1" ht="21.95" customHeight="1" x14ac:dyDescent="0.2">
      <c r="A131" s="369"/>
      <c r="B131" s="369"/>
      <c r="C131" s="369"/>
      <c r="D131" s="369"/>
      <c r="E131" s="369"/>
      <c r="F131" s="372"/>
      <c r="G131" s="372"/>
      <c r="H131" s="372"/>
      <c r="I131" s="372"/>
      <c r="J131" s="372"/>
    </row>
    <row r="132" spans="1:10" s="277" customFormat="1" ht="21.95" customHeight="1" x14ac:dyDescent="0.2">
      <c r="A132" s="369"/>
      <c r="B132" s="369"/>
      <c r="C132" s="369"/>
      <c r="D132" s="369"/>
      <c r="E132" s="369"/>
      <c r="F132" s="372"/>
      <c r="G132" s="372"/>
      <c r="H132" s="372"/>
      <c r="I132" s="372"/>
      <c r="J132" s="372"/>
    </row>
    <row r="133" spans="1:10" s="277" customFormat="1" ht="21.95" customHeight="1" x14ac:dyDescent="0.2">
      <c r="A133" s="369"/>
      <c r="B133" s="369"/>
      <c r="C133" s="369"/>
      <c r="D133" s="369"/>
      <c r="E133" s="369"/>
      <c r="F133" s="381"/>
      <c r="G133" s="381"/>
      <c r="H133" s="381"/>
      <c r="I133" s="381"/>
      <c r="J133" s="381"/>
    </row>
    <row r="134" spans="1:10" s="277" customFormat="1" ht="21.95" customHeight="1" x14ac:dyDescent="0.2">
      <c r="A134" s="328"/>
      <c r="B134" s="328"/>
      <c r="C134" s="328"/>
      <c r="D134" s="328"/>
      <c r="E134" s="328"/>
      <c r="F134" s="381"/>
      <c r="G134" s="381"/>
      <c r="H134" s="381"/>
      <c r="I134" s="381"/>
      <c r="J134" s="381"/>
    </row>
    <row r="135" spans="1:10" s="277" customFormat="1" ht="21.95" customHeight="1" x14ac:dyDescent="0.2">
      <c r="A135" s="328"/>
      <c r="B135" s="328"/>
      <c r="C135" s="328"/>
      <c r="D135" s="328"/>
      <c r="E135" s="328"/>
      <c r="F135" s="381"/>
      <c r="G135" s="381"/>
      <c r="H135" s="381"/>
      <c r="I135" s="381"/>
      <c r="J135" s="381"/>
    </row>
    <row r="136" spans="1:10" s="277" customFormat="1" ht="21.95" customHeight="1" x14ac:dyDescent="0.2">
      <c r="A136" s="328"/>
      <c r="B136" s="328"/>
      <c r="C136" s="328"/>
      <c r="D136" s="328"/>
      <c r="E136" s="328"/>
      <c r="F136" s="381"/>
      <c r="G136" s="381"/>
      <c r="H136" s="381"/>
      <c r="I136" s="381"/>
      <c r="J136" s="381"/>
    </row>
    <row r="137" spans="1:10" s="277" customFormat="1" ht="21.95" customHeight="1" x14ac:dyDescent="0.2">
      <c r="A137" s="328"/>
      <c r="B137" s="328"/>
      <c r="C137" s="328"/>
      <c r="D137" s="328"/>
      <c r="E137" s="328"/>
      <c r="F137" s="381"/>
      <c r="G137" s="381"/>
      <c r="H137" s="381"/>
      <c r="I137" s="381"/>
      <c r="J137" s="381"/>
    </row>
    <row r="138" spans="1:10" s="277" customFormat="1" ht="21.95" customHeight="1" x14ac:dyDescent="0.2">
      <c r="A138" s="328"/>
      <c r="B138" s="328"/>
      <c r="C138" s="328"/>
      <c r="D138" s="328"/>
      <c r="E138" s="328"/>
      <c r="F138" s="381"/>
      <c r="G138" s="381"/>
      <c r="H138" s="381"/>
      <c r="I138" s="381"/>
      <c r="J138" s="381"/>
    </row>
    <row r="139" spans="1:10" s="277" customFormat="1" ht="21.95" customHeight="1" x14ac:dyDescent="0.2">
      <c r="A139" s="328"/>
      <c r="B139" s="328"/>
      <c r="C139" s="328"/>
      <c r="D139" s="328"/>
      <c r="E139" s="328"/>
      <c r="F139" s="381"/>
      <c r="G139" s="381"/>
      <c r="H139" s="381"/>
      <c r="I139" s="381"/>
      <c r="J139" s="381"/>
    </row>
    <row r="140" spans="1:10" s="277" customFormat="1" ht="21.95" customHeight="1" x14ac:dyDescent="0.2">
      <c r="A140" s="328"/>
      <c r="B140" s="328"/>
      <c r="C140" s="328"/>
      <c r="D140" s="328"/>
      <c r="E140" s="328"/>
      <c r="F140" s="381"/>
      <c r="G140" s="381"/>
      <c r="H140" s="381"/>
      <c r="I140" s="381"/>
      <c r="J140" s="381"/>
    </row>
    <row r="141" spans="1:10" s="277" customFormat="1" ht="21.95" customHeight="1" x14ac:dyDescent="0.2">
      <c r="A141" s="328"/>
      <c r="B141" s="328"/>
      <c r="C141" s="328"/>
      <c r="D141" s="328"/>
      <c r="E141" s="328"/>
      <c r="F141" s="381"/>
      <c r="G141" s="381"/>
      <c r="H141" s="381"/>
      <c r="I141" s="381"/>
      <c r="J141" s="381"/>
    </row>
    <row r="142" spans="1:10" s="277" customFormat="1" ht="21.95" customHeight="1" x14ac:dyDescent="0.2">
      <c r="A142" s="328"/>
      <c r="B142" s="328"/>
      <c r="C142" s="328"/>
      <c r="D142" s="328"/>
      <c r="E142" s="328"/>
      <c r="F142" s="379"/>
      <c r="G142" s="379"/>
      <c r="H142" s="379"/>
      <c r="I142" s="379"/>
      <c r="J142" s="379"/>
    </row>
    <row r="143" spans="1:10" s="277" customFormat="1" ht="21.95" customHeight="1" x14ac:dyDescent="0.2">
      <c r="A143" s="328"/>
      <c r="B143" s="328"/>
      <c r="C143" s="328"/>
      <c r="D143" s="328"/>
      <c r="E143" s="328"/>
      <c r="F143" s="379"/>
      <c r="G143" s="379"/>
      <c r="H143" s="379"/>
      <c r="I143" s="379"/>
      <c r="J143" s="379"/>
    </row>
    <row r="144" spans="1:10" s="277" customFormat="1" ht="21.95" customHeight="1" x14ac:dyDescent="0.2">
      <c r="A144" s="328"/>
      <c r="B144" s="328"/>
      <c r="C144" s="328"/>
      <c r="D144" s="328"/>
      <c r="E144" s="328"/>
      <c r="F144" s="379"/>
      <c r="G144" s="379"/>
      <c r="H144" s="379"/>
      <c r="I144" s="379"/>
      <c r="J144" s="379"/>
    </row>
    <row r="145" spans="1:12" s="277" customFormat="1" ht="21.95" customHeight="1" x14ac:dyDescent="0.2">
      <c r="A145" s="328"/>
      <c r="B145" s="328"/>
      <c r="C145" s="328"/>
      <c r="D145" s="328"/>
      <c r="E145" s="328"/>
      <c r="F145" s="379"/>
      <c r="G145" s="379"/>
      <c r="H145" s="379"/>
      <c r="I145" s="379"/>
      <c r="J145" s="379"/>
    </row>
    <row r="146" spans="1:12" s="277" customFormat="1" ht="21.95" customHeight="1" x14ac:dyDescent="0.2">
      <c r="A146" s="328"/>
      <c r="B146" s="328"/>
      <c r="C146" s="328"/>
      <c r="D146" s="328"/>
      <c r="E146" s="328"/>
      <c r="F146" s="381"/>
      <c r="G146" s="381"/>
      <c r="H146" s="381"/>
      <c r="I146" s="381"/>
      <c r="J146" s="381"/>
    </row>
    <row r="147" spans="1:12" s="277" customFormat="1" ht="21.95" customHeight="1" x14ac:dyDescent="0.2">
      <c r="A147" s="328"/>
      <c r="B147" s="328"/>
      <c r="C147" s="328"/>
      <c r="D147" s="328"/>
      <c r="E147" s="328"/>
      <c r="F147" s="381"/>
      <c r="G147" s="381"/>
      <c r="H147" s="381"/>
      <c r="I147" s="381"/>
      <c r="J147" s="381"/>
    </row>
    <row r="148" spans="1:12" s="277" customFormat="1" ht="21.95" customHeight="1" x14ac:dyDescent="0.2">
      <c r="A148" s="328"/>
      <c r="B148" s="328"/>
      <c r="C148" s="328"/>
      <c r="D148" s="328"/>
      <c r="E148" s="328"/>
      <c r="F148" s="381"/>
      <c r="G148" s="381"/>
      <c r="H148" s="381"/>
      <c r="I148" s="381"/>
      <c r="J148" s="381"/>
    </row>
    <row r="149" spans="1:12" s="277" customFormat="1" ht="21.95" customHeight="1" x14ac:dyDescent="0.2">
      <c r="A149" s="328"/>
      <c r="B149" s="328"/>
      <c r="C149" s="328"/>
      <c r="D149" s="328"/>
      <c r="E149" s="328"/>
      <c r="F149" s="372"/>
      <c r="G149" s="372"/>
      <c r="H149" s="372"/>
      <c r="I149" s="372"/>
      <c r="J149" s="372"/>
    </row>
    <row r="150" spans="1:12" s="277" customFormat="1" ht="21.95" customHeight="1" x14ac:dyDescent="0.2">
      <c r="A150" s="328"/>
      <c r="B150" s="328"/>
      <c r="C150" s="328"/>
      <c r="D150" s="328"/>
      <c r="E150" s="328"/>
      <c r="F150" s="381"/>
      <c r="G150" s="381"/>
      <c r="H150" s="381"/>
      <c r="I150" s="381"/>
      <c r="J150" s="381"/>
    </row>
    <row r="151" spans="1:12" s="277" customFormat="1" ht="21.95" customHeight="1" x14ac:dyDescent="0.2">
      <c r="A151" s="328"/>
      <c r="B151" s="328"/>
      <c r="C151" s="328"/>
      <c r="D151" s="328"/>
      <c r="E151" s="328"/>
      <c r="F151" s="381"/>
      <c r="G151" s="381"/>
      <c r="H151" s="381"/>
      <c r="I151" s="381"/>
      <c r="J151" s="381"/>
    </row>
    <row r="152" spans="1:12" s="277" customFormat="1" ht="21.95" customHeight="1" x14ac:dyDescent="0.2">
      <c r="A152" s="328"/>
      <c r="B152" s="328"/>
      <c r="C152" s="328"/>
      <c r="D152" s="328"/>
      <c r="E152" s="328"/>
      <c r="F152" s="382"/>
      <c r="G152" s="382"/>
      <c r="H152" s="382"/>
      <c r="I152" s="382"/>
      <c r="J152" s="382"/>
    </row>
    <row r="153" spans="1:12" s="277" customFormat="1" ht="21.95" customHeight="1" x14ac:dyDescent="0.2">
      <c r="A153" s="328"/>
      <c r="B153" s="328"/>
      <c r="C153" s="328"/>
      <c r="D153" s="328"/>
      <c r="E153" s="328"/>
      <c r="F153" s="382"/>
      <c r="G153" s="382"/>
      <c r="H153" s="382"/>
      <c r="I153" s="382"/>
      <c r="J153" s="382"/>
    </row>
    <row r="154" spans="1:12" s="277" customFormat="1" ht="21.95" customHeight="1" x14ac:dyDescent="0.2">
      <c r="A154" s="383"/>
      <c r="B154" s="383"/>
      <c r="C154" s="383"/>
      <c r="D154" s="383"/>
      <c r="E154" s="383"/>
      <c r="F154" s="384"/>
      <c r="G154" s="384"/>
      <c r="H154" s="384"/>
      <c r="I154" s="384"/>
      <c r="J154" s="384"/>
      <c r="K154" s="385"/>
      <c r="L154" s="385"/>
    </row>
    <row r="155" spans="1:12" s="277" customFormat="1" ht="21.95" customHeight="1" x14ac:dyDescent="0.2">
      <c r="A155" s="383"/>
      <c r="B155" s="383"/>
      <c r="C155" s="383"/>
      <c r="D155" s="383"/>
      <c r="E155" s="383"/>
      <c r="F155" s="384"/>
      <c r="G155" s="384"/>
      <c r="H155" s="384"/>
      <c r="I155" s="384"/>
      <c r="J155" s="384"/>
      <c r="K155" s="385"/>
      <c r="L155" s="385"/>
    </row>
    <row r="156" spans="1:12" s="277" customFormat="1" ht="21.95" customHeight="1" x14ac:dyDescent="0.2">
      <c r="A156" s="383"/>
      <c r="B156" s="383"/>
      <c r="C156" s="383"/>
      <c r="D156" s="383"/>
      <c r="E156" s="383"/>
      <c r="F156" s="384"/>
      <c r="G156" s="384"/>
      <c r="H156" s="384"/>
      <c r="I156" s="384"/>
      <c r="J156" s="384"/>
      <c r="K156" s="385"/>
      <c r="L156" s="385"/>
    </row>
    <row r="157" spans="1:12" s="277" customFormat="1" ht="21.95" customHeight="1" x14ac:dyDescent="0.2">
      <c r="A157" s="383"/>
      <c r="B157" s="383"/>
      <c r="C157" s="383"/>
      <c r="D157" s="383"/>
      <c r="E157" s="383"/>
      <c r="F157" s="384"/>
      <c r="G157" s="384"/>
      <c r="H157" s="384"/>
      <c r="I157" s="384"/>
      <c r="J157" s="384"/>
      <c r="K157" s="385"/>
      <c r="L157" s="385"/>
    </row>
    <row r="158" spans="1:12" s="277" customFormat="1" ht="21.95" customHeight="1" x14ac:dyDescent="0.2">
      <c r="A158" s="383"/>
      <c r="B158" s="383"/>
      <c r="C158" s="383"/>
      <c r="D158" s="383"/>
      <c r="E158" s="383"/>
      <c r="F158" s="384"/>
      <c r="G158" s="384"/>
      <c r="H158" s="384"/>
      <c r="I158" s="384"/>
      <c r="J158" s="384"/>
      <c r="K158" s="385"/>
      <c r="L158" s="385"/>
    </row>
    <row r="159" spans="1:12" s="277" customFormat="1" ht="21.95" customHeight="1" x14ac:dyDescent="0.2">
      <c r="A159" s="383"/>
      <c r="B159" s="383"/>
      <c r="C159" s="383"/>
      <c r="D159" s="383"/>
      <c r="E159" s="383"/>
      <c r="F159" s="386"/>
      <c r="G159" s="386"/>
      <c r="H159" s="386"/>
      <c r="I159" s="386"/>
      <c r="J159" s="386"/>
      <c r="K159" s="385"/>
      <c r="L159" s="385"/>
    </row>
    <row r="160" spans="1:12" s="385" customFormat="1" ht="21.95" customHeight="1" x14ac:dyDescent="0.2">
      <c r="A160" s="383"/>
      <c r="B160" s="383"/>
      <c r="C160" s="383"/>
      <c r="D160" s="383"/>
      <c r="E160" s="383"/>
      <c r="F160" s="384"/>
      <c r="G160" s="384"/>
      <c r="H160" s="384"/>
      <c r="I160" s="384"/>
      <c r="J160" s="384"/>
    </row>
    <row r="161" spans="1:10" s="385" customFormat="1" ht="21.95" customHeight="1" x14ac:dyDescent="0.2">
      <c r="A161" s="383"/>
      <c r="B161" s="383"/>
      <c r="C161" s="383"/>
      <c r="D161" s="383"/>
      <c r="E161" s="383"/>
      <c r="F161" s="384"/>
      <c r="G161" s="384"/>
      <c r="H161" s="384"/>
      <c r="I161" s="384"/>
      <c r="J161" s="384"/>
    </row>
    <row r="162" spans="1:10" s="385" customFormat="1" ht="21.95" customHeight="1" x14ac:dyDescent="0.2">
      <c r="A162" s="383"/>
      <c r="B162" s="383"/>
      <c r="C162" s="383"/>
      <c r="D162" s="383"/>
      <c r="E162" s="383"/>
      <c r="F162" s="384"/>
      <c r="G162" s="384"/>
      <c r="H162" s="384"/>
      <c r="I162" s="384"/>
      <c r="J162" s="384"/>
    </row>
    <row r="163" spans="1:10" s="385" customFormat="1" ht="21.95" customHeight="1" x14ac:dyDescent="0.2">
      <c r="A163" s="383"/>
      <c r="B163" s="383"/>
      <c r="C163" s="383"/>
      <c r="D163" s="383"/>
      <c r="E163" s="383"/>
      <c r="F163" s="387"/>
      <c r="G163" s="387"/>
      <c r="H163" s="387"/>
      <c r="I163" s="387"/>
      <c r="J163" s="387"/>
    </row>
    <row r="164" spans="1:10" s="385" customFormat="1" ht="21.95" customHeight="1" x14ac:dyDescent="0.2">
      <c r="A164" s="383"/>
      <c r="B164" s="383"/>
      <c r="C164" s="383"/>
      <c r="D164" s="383"/>
      <c r="E164" s="383"/>
      <c r="F164" s="384"/>
      <c r="G164" s="384"/>
      <c r="H164" s="384"/>
      <c r="I164" s="384"/>
      <c r="J164" s="384"/>
    </row>
    <row r="165" spans="1:10" s="385" customFormat="1" ht="21.95" customHeight="1" x14ac:dyDescent="0.2">
      <c r="A165" s="383"/>
      <c r="B165" s="383"/>
      <c r="C165" s="383"/>
      <c r="D165" s="383"/>
      <c r="E165" s="383"/>
      <c r="F165" s="386"/>
      <c r="G165" s="386"/>
      <c r="H165" s="386"/>
      <c r="I165" s="386"/>
      <c r="J165" s="386"/>
    </row>
    <row r="166" spans="1:10" s="385" customFormat="1" ht="21.95" customHeight="1" x14ac:dyDescent="0.2">
      <c r="A166" s="383"/>
      <c r="B166" s="383"/>
      <c r="C166" s="383"/>
      <c r="D166" s="383"/>
      <c r="E166" s="383"/>
      <c r="F166" s="388"/>
      <c r="G166" s="388"/>
      <c r="H166" s="388"/>
      <c r="I166" s="388"/>
      <c r="J166" s="388"/>
    </row>
    <row r="167" spans="1:10" s="385" customFormat="1" ht="21.95" customHeight="1" x14ac:dyDescent="0.2">
      <c r="A167" s="383"/>
      <c r="B167" s="383"/>
      <c r="C167" s="383"/>
      <c r="D167" s="383"/>
      <c r="E167" s="383"/>
      <c r="F167" s="388"/>
      <c r="G167" s="388"/>
      <c r="H167" s="388"/>
      <c r="I167" s="388"/>
      <c r="J167" s="388"/>
    </row>
    <row r="168" spans="1:10" s="385" customFormat="1" ht="21.95" customHeight="1" x14ac:dyDescent="0.2">
      <c r="A168" s="383"/>
      <c r="B168" s="383"/>
      <c r="C168" s="383"/>
      <c r="D168" s="383"/>
      <c r="E168" s="383"/>
      <c r="F168" s="388"/>
      <c r="G168" s="388"/>
      <c r="H168" s="388"/>
      <c r="I168" s="388"/>
      <c r="J168" s="388"/>
    </row>
    <row r="169" spans="1:10" s="385" customFormat="1" ht="21.95" customHeight="1" x14ac:dyDescent="0.2">
      <c r="A169" s="383"/>
      <c r="B169" s="383"/>
      <c r="C169" s="383"/>
      <c r="D169" s="383"/>
      <c r="E169" s="383"/>
      <c r="F169" s="388"/>
      <c r="G169" s="388"/>
      <c r="H169" s="388"/>
      <c r="I169" s="388"/>
      <c r="J169" s="388"/>
    </row>
    <row r="170" spans="1:10" s="385" customFormat="1" ht="21.95" customHeight="1" x14ac:dyDescent="0.2">
      <c r="A170" s="383"/>
      <c r="B170" s="383"/>
      <c r="C170" s="383"/>
      <c r="D170" s="383"/>
      <c r="E170" s="383"/>
      <c r="F170" s="388"/>
      <c r="G170" s="388"/>
      <c r="H170" s="388"/>
      <c r="I170" s="388"/>
      <c r="J170" s="388"/>
    </row>
    <row r="171" spans="1:10" s="385" customFormat="1" ht="21.95" customHeight="1" x14ac:dyDescent="0.2">
      <c r="A171" s="383"/>
      <c r="B171" s="383"/>
      <c r="C171" s="383"/>
      <c r="D171" s="383"/>
      <c r="E171" s="383"/>
      <c r="F171" s="388"/>
      <c r="G171" s="388"/>
      <c r="H171" s="388"/>
      <c r="I171" s="388"/>
      <c r="J171" s="388"/>
    </row>
    <row r="172" spans="1:10" s="385" customFormat="1" ht="21.95" customHeight="1" x14ac:dyDescent="0.2">
      <c r="A172" s="383"/>
      <c r="B172" s="383"/>
      <c r="C172" s="383"/>
      <c r="D172" s="383"/>
      <c r="E172" s="383"/>
      <c r="F172" s="384"/>
      <c r="G172" s="384"/>
      <c r="H172" s="384"/>
      <c r="I172" s="384"/>
      <c r="J172" s="384"/>
    </row>
    <row r="173" spans="1:10" s="385" customFormat="1" ht="21.95" customHeight="1" x14ac:dyDescent="0.2">
      <c r="A173" s="383"/>
      <c r="B173" s="383"/>
      <c r="C173" s="383"/>
      <c r="D173" s="383"/>
      <c r="E173" s="383"/>
      <c r="F173" s="387"/>
      <c r="G173" s="387"/>
      <c r="H173" s="387"/>
      <c r="I173" s="387"/>
      <c r="J173" s="387"/>
    </row>
    <row r="174" spans="1:10" s="385" customFormat="1" ht="21.95" customHeight="1" x14ac:dyDescent="0.2">
      <c r="A174" s="383"/>
      <c r="B174" s="383"/>
      <c r="C174" s="383"/>
      <c r="D174" s="383"/>
      <c r="E174" s="383"/>
      <c r="F174" s="387"/>
      <c r="G174" s="387"/>
      <c r="H174" s="387"/>
      <c r="I174" s="387"/>
      <c r="J174" s="387"/>
    </row>
    <row r="175" spans="1:10" s="385" customFormat="1" ht="21.95" customHeight="1" x14ac:dyDescent="0.2">
      <c r="A175" s="383"/>
      <c r="B175" s="383"/>
      <c r="C175" s="383"/>
      <c r="D175" s="383"/>
      <c r="E175" s="383"/>
      <c r="F175" s="387"/>
      <c r="G175" s="387"/>
      <c r="H175" s="387"/>
      <c r="I175" s="387"/>
      <c r="J175" s="387"/>
    </row>
    <row r="176" spans="1:10" s="385" customFormat="1" ht="21.95" customHeight="1" x14ac:dyDescent="0.2">
      <c r="A176" s="383"/>
      <c r="B176" s="383"/>
      <c r="C176" s="383"/>
      <c r="D176" s="383"/>
      <c r="E176" s="383"/>
      <c r="F176" s="387"/>
      <c r="G176" s="387"/>
      <c r="H176" s="387"/>
      <c r="I176" s="387"/>
      <c r="J176" s="387"/>
    </row>
    <row r="177" spans="1:10" s="385" customFormat="1" ht="21.95" customHeight="1" x14ac:dyDescent="0.2">
      <c r="A177" s="383"/>
      <c r="B177" s="383"/>
      <c r="C177" s="383"/>
      <c r="D177" s="383"/>
      <c r="E177" s="383"/>
      <c r="F177" s="387"/>
      <c r="G177" s="387"/>
      <c r="H177" s="387"/>
      <c r="I177" s="387"/>
      <c r="J177" s="387"/>
    </row>
    <row r="178" spans="1:10" s="385" customFormat="1" ht="21.95" customHeight="1" x14ac:dyDescent="0.2">
      <c r="A178" s="383"/>
      <c r="B178" s="383"/>
      <c r="C178" s="383"/>
      <c r="D178" s="383"/>
      <c r="E178" s="383"/>
      <c r="F178" s="387"/>
      <c r="G178" s="387"/>
      <c r="H178" s="387"/>
      <c r="I178" s="387"/>
      <c r="J178" s="387"/>
    </row>
    <row r="179" spans="1:10" s="385" customFormat="1" ht="21.95" customHeight="1" x14ac:dyDescent="0.2">
      <c r="A179" s="383"/>
      <c r="B179" s="383"/>
      <c r="C179" s="383"/>
      <c r="D179" s="383"/>
      <c r="E179" s="383"/>
      <c r="F179" s="386"/>
      <c r="G179" s="386"/>
      <c r="H179" s="386"/>
      <c r="I179" s="386"/>
      <c r="J179" s="386"/>
    </row>
    <row r="180" spans="1:10" s="385" customFormat="1" ht="21.95" customHeight="1" x14ac:dyDescent="0.2">
      <c r="A180" s="383"/>
      <c r="B180" s="383"/>
      <c r="C180" s="383"/>
      <c r="D180" s="383"/>
      <c r="E180" s="383"/>
      <c r="F180" s="386"/>
      <c r="G180" s="386"/>
      <c r="H180" s="386"/>
      <c r="I180" s="386"/>
      <c r="J180" s="386"/>
    </row>
    <row r="181" spans="1:10" s="385" customFormat="1" ht="21.95" customHeight="1" x14ac:dyDescent="0.2">
      <c r="A181" s="383"/>
      <c r="B181" s="383"/>
      <c r="C181" s="383"/>
      <c r="D181" s="383"/>
      <c r="E181" s="383"/>
      <c r="F181" s="386"/>
      <c r="G181" s="386"/>
      <c r="H181" s="386"/>
      <c r="I181" s="386"/>
      <c r="J181" s="386"/>
    </row>
    <row r="182" spans="1:10" s="385" customFormat="1" ht="21.95" customHeight="1" x14ac:dyDescent="0.2">
      <c r="A182" s="383"/>
      <c r="B182" s="383"/>
      <c r="C182" s="383"/>
      <c r="D182" s="383"/>
      <c r="E182" s="383"/>
      <c r="F182" s="386"/>
      <c r="G182" s="386"/>
      <c r="H182" s="386"/>
      <c r="I182" s="386"/>
      <c r="J182" s="386"/>
    </row>
    <row r="183" spans="1:10" s="385" customFormat="1" ht="21.95" customHeight="1" x14ac:dyDescent="0.2">
      <c r="A183" s="383"/>
      <c r="B183" s="383"/>
      <c r="C183" s="383"/>
      <c r="D183" s="383"/>
      <c r="E183" s="383"/>
      <c r="F183" s="388"/>
      <c r="G183" s="388"/>
      <c r="H183" s="388"/>
      <c r="I183" s="388"/>
      <c r="J183" s="388"/>
    </row>
    <row r="184" spans="1:10" s="385" customFormat="1" ht="21.95" customHeight="1" x14ac:dyDescent="0.2">
      <c r="A184" s="383"/>
      <c r="B184" s="383"/>
      <c r="C184" s="383"/>
      <c r="D184" s="383"/>
      <c r="E184" s="383"/>
      <c r="F184" s="388"/>
      <c r="G184" s="388"/>
      <c r="H184" s="388"/>
      <c r="I184" s="388"/>
      <c r="J184" s="388"/>
    </row>
    <row r="185" spans="1:10" s="385" customFormat="1" ht="21.95" customHeight="1" x14ac:dyDescent="0.2">
      <c r="A185" s="383"/>
      <c r="B185" s="383"/>
      <c r="C185" s="383"/>
      <c r="D185" s="383"/>
      <c r="E185" s="383"/>
      <c r="F185" s="388"/>
      <c r="G185" s="388"/>
      <c r="H185" s="388"/>
      <c r="I185" s="388"/>
      <c r="J185" s="388"/>
    </row>
    <row r="186" spans="1:10" s="385" customFormat="1" ht="21.95" customHeight="1" x14ac:dyDescent="0.2">
      <c r="A186" s="383"/>
      <c r="B186" s="383"/>
      <c r="C186" s="383"/>
      <c r="D186" s="383"/>
      <c r="E186" s="383"/>
      <c r="F186" s="387"/>
      <c r="G186" s="387"/>
      <c r="H186" s="387"/>
      <c r="I186" s="387"/>
      <c r="J186" s="387"/>
    </row>
    <row r="187" spans="1:10" s="385" customFormat="1" ht="21.95" customHeight="1" x14ac:dyDescent="0.2">
      <c r="A187" s="383"/>
      <c r="B187" s="383"/>
      <c r="C187" s="383"/>
      <c r="D187" s="383"/>
      <c r="E187" s="383"/>
      <c r="F187" s="387"/>
      <c r="G187" s="387"/>
      <c r="H187" s="387"/>
      <c r="I187" s="387"/>
      <c r="J187" s="387"/>
    </row>
    <row r="188" spans="1:10" s="385" customFormat="1" ht="21.95" customHeight="1" x14ac:dyDescent="0.2">
      <c r="A188" s="383"/>
      <c r="B188" s="383"/>
      <c r="C188" s="383"/>
      <c r="D188" s="383"/>
      <c r="E188" s="383"/>
      <c r="F188" s="388"/>
      <c r="G188" s="388"/>
      <c r="H188" s="388"/>
      <c r="I188" s="388"/>
      <c r="J188" s="388"/>
    </row>
    <row r="189" spans="1:10" s="385" customFormat="1" ht="21.95" customHeight="1" x14ac:dyDescent="0.2">
      <c r="A189" s="383"/>
      <c r="B189" s="383"/>
      <c r="C189" s="383"/>
      <c r="D189" s="383"/>
      <c r="E189" s="383"/>
      <c r="F189" s="388"/>
      <c r="G189" s="388"/>
      <c r="H189" s="388"/>
      <c r="I189" s="388"/>
      <c r="J189" s="388"/>
    </row>
    <row r="190" spans="1:10" s="385" customFormat="1" ht="21.95" customHeight="1" x14ac:dyDescent="0.2">
      <c r="A190" s="383"/>
      <c r="B190" s="383"/>
      <c r="C190" s="383"/>
      <c r="D190" s="383"/>
      <c r="E190" s="383"/>
      <c r="F190" s="387"/>
      <c r="G190" s="387"/>
      <c r="H190" s="387"/>
      <c r="I190" s="387"/>
      <c r="J190" s="387"/>
    </row>
    <row r="191" spans="1:10" s="385" customFormat="1" ht="21.95" customHeight="1" x14ac:dyDescent="0.2">
      <c r="A191" s="383"/>
      <c r="B191" s="383"/>
      <c r="C191" s="383"/>
      <c r="D191" s="383"/>
      <c r="E191" s="383"/>
      <c r="F191" s="387"/>
      <c r="G191" s="387"/>
      <c r="H191" s="387"/>
      <c r="I191" s="387"/>
      <c r="J191" s="387"/>
    </row>
    <row r="192" spans="1:10" s="385" customFormat="1" ht="21.95" customHeight="1" x14ac:dyDescent="0.2">
      <c r="A192" s="383"/>
      <c r="B192" s="383"/>
      <c r="C192" s="383"/>
      <c r="D192" s="383"/>
      <c r="E192" s="383"/>
      <c r="F192" s="387"/>
      <c r="G192" s="387"/>
      <c r="H192" s="387"/>
      <c r="I192" s="387"/>
      <c r="J192" s="387"/>
    </row>
    <row r="193" spans="1:10" s="385" customFormat="1" ht="21.95" customHeight="1" x14ac:dyDescent="0.2">
      <c r="A193" s="383"/>
      <c r="B193" s="383"/>
      <c r="C193" s="383"/>
      <c r="D193" s="383"/>
      <c r="E193" s="383"/>
      <c r="F193" s="387"/>
      <c r="G193" s="387"/>
      <c r="H193" s="387"/>
      <c r="I193" s="387"/>
      <c r="J193" s="387"/>
    </row>
    <row r="194" spans="1:10" s="385" customFormat="1" ht="21.95" customHeight="1" x14ac:dyDescent="0.2">
      <c r="A194" s="383"/>
      <c r="B194" s="383"/>
      <c r="C194" s="383"/>
      <c r="D194" s="383"/>
      <c r="E194" s="383"/>
      <c r="F194" s="387"/>
      <c r="G194" s="387"/>
      <c r="H194" s="387"/>
      <c r="I194" s="387"/>
      <c r="J194" s="387"/>
    </row>
    <row r="195" spans="1:10" s="385" customFormat="1" ht="21.95" customHeight="1" x14ac:dyDescent="0.2">
      <c r="A195" s="383"/>
      <c r="B195" s="383"/>
      <c r="C195" s="383"/>
      <c r="D195" s="383"/>
      <c r="E195" s="383"/>
      <c r="F195" s="387"/>
      <c r="G195" s="387"/>
      <c r="H195" s="387"/>
      <c r="I195" s="387"/>
      <c r="J195" s="387"/>
    </row>
    <row r="196" spans="1:10" s="385" customFormat="1" ht="21.95" customHeight="1" x14ac:dyDescent="0.2">
      <c r="A196" s="383"/>
      <c r="B196" s="383"/>
      <c r="C196" s="383"/>
      <c r="D196" s="383"/>
      <c r="E196" s="383"/>
      <c r="F196" s="389"/>
      <c r="G196" s="389"/>
      <c r="H196" s="389"/>
      <c r="I196" s="389"/>
      <c r="J196" s="389"/>
    </row>
    <row r="197" spans="1:10" s="385" customFormat="1" ht="21.95" customHeight="1" x14ac:dyDescent="0.2">
      <c r="A197" s="383"/>
      <c r="B197" s="383"/>
      <c r="C197" s="383"/>
      <c r="D197" s="383"/>
      <c r="E197" s="383"/>
      <c r="F197" s="389"/>
      <c r="G197" s="389"/>
      <c r="H197" s="389"/>
      <c r="I197" s="389"/>
      <c r="J197" s="389"/>
    </row>
    <row r="198" spans="1:10" s="385" customFormat="1" ht="21.95" customHeight="1" x14ac:dyDescent="0.2">
      <c r="A198" s="383"/>
      <c r="B198" s="383"/>
      <c r="C198" s="383"/>
      <c r="D198" s="383"/>
      <c r="E198" s="383"/>
      <c r="F198" s="389"/>
      <c r="G198" s="389"/>
      <c r="H198" s="389"/>
      <c r="I198" s="389"/>
      <c r="J198" s="389"/>
    </row>
    <row r="199" spans="1:10" s="385" customFormat="1" ht="21.95" customHeight="1" x14ac:dyDescent="0.2">
      <c r="A199" s="383"/>
      <c r="B199" s="383"/>
      <c r="C199" s="383"/>
      <c r="D199" s="383"/>
      <c r="E199" s="383"/>
      <c r="F199" s="389"/>
      <c r="G199" s="389"/>
      <c r="H199" s="389"/>
      <c r="I199" s="389"/>
      <c r="J199" s="389"/>
    </row>
    <row r="200" spans="1:10" s="385" customFormat="1" ht="21.95" customHeight="1" x14ac:dyDescent="0.2">
      <c r="A200" s="390"/>
      <c r="B200" s="390"/>
      <c r="C200" s="390"/>
      <c r="D200" s="390"/>
      <c r="E200" s="390"/>
      <c r="F200" s="388"/>
      <c r="G200" s="388"/>
      <c r="H200" s="388"/>
      <c r="I200" s="388"/>
      <c r="J200" s="388"/>
    </row>
    <row r="201" spans="1:10" s="385" customFormat="1" ht="21.95" customHeight="1" x14ac:dyDescent="0.2">
      <c r="A201" s="390"/>
      <c r="B201" s="390"/>
      <c r="C201" s="390"/>
      <c r="D201" s="390"/>
      <c r="E201" s="390"/>
      <c r="F201" s="389"/>
      <c r="G201" s="389"/>
      <c r="H201" s="389"/>
      <c r="I201" s="389"/>
      <c r="J201" s="389"/>
    </row>
    <row r="202" spans="1:10" s="385" customFormat="1" ht="21.95" customHeight="1" x14ac:dyDescent="0.2">
      <c r="A202" s="390"/>
      <c r="B202" s="390"/>
      <c r="C202" s="390"/>
      <c r="D202" s="390"/>
      <c r="E202" s="390"/>
      <c r="F202" s="388"/>
      <c r="G202" s="388"/>
      <c r="H202" s="388"/>
      <c r="I202" s="388"/>
      <c r="J202" s="388"/>
    </row>
    <row r="203" spans="1:10" s="385" customFormat="1" ht="21.95" customHeight="1" x14ac:dyDescent="0.2">
      <c r="A203" s="390"/>
      <c r="B203" s="390"/>
      <c r="C203" s="390"/>
      <c r="D203" s="390"/>
      <c r="E203" s="390"/>
      <c r="F203" s="388"/>
      <c r="G203" s="388"/>
      <c r="H203" s="388"/>
      <c r="I203" s="388"/>
      <c r="J203" s="388"/>
    </row>
    <row r="204" spans="1:10" s="385" customFormat="1" ht="21.95" customHeight="1" x14ac:dyDescent="0.2">
      <c r="A204" s="390"/>
      <c r="B204" s="390"/>
      <c r="C204" s="390"/>
      <c r="D204" s="390"/>
      <c r="E204" s="390"/>
      <c r="F204" s="388"/>
      <c r="G204" s="388"/>
      <c r="H204" s="388"/>
      <c r="I204" s="388"/>
      <c r="J204" s="388"/>
    </row>
    <row r="205" spans="1:10" s="385" customFormat="1" ht="21.95" customHeight="1" x14ac:dyDescent="0.2">
      <c r="A205" s="390"/>
      <c r="B205" s="390"/>
      <c r="C205" s="390"/>
      <c r="D205" s="390"/>
      <c r="E205" s="390"/>
      <c r="F205" s="388"/>
      <c r="G205" s="388"/>
      <c r="H205" s="388"/>
      <c r="I205" s="388"/>
      <c r="J205" s="388"/>
    </row>
    <row r="206" spans="1:10" s="385" customFormat="1" ht="21.95" customHeight="1" x14ac:dyDescent="0.2">
      <c r="A206" s="390"/>
      <c r="B206" s="390"/>
      <c r="C206" s="390"/>
      <c r="D206" s="390"/>
      <c r="E206" s="390"/>
      <c r="F206" s="388"/>
      <c r="G206" s="388"/>
      <c r="H206" s="388"/>
      <c r="I206" s="388"/>
      <c r="J206" s="388"/>
    </row>
    <row r="207" spans="1:10" s="385" customFormat="1" ht="21.95" customHeight="1" x14ac:dyDescent="0.2">
      <c r="A207" s="390"/>
      <c r="B207" s="390"/>
      <c r="C207" s="390"/>
      <c r="D207" s="390"/>
      <c r="E207" s="390"/>
      <c r="F207" s="388"/>
      <c r="G207" s="388"/>
      <c r="H207" s="388"/>
      <c r="I207" s="388"/>
      <c r="J207" s="388"/>
    </row>
    <row r="208" spans="1:10" s="385" customFormat="1" ht="21.95" customHeight="1" x14ac:dyDescent="0.2">
      <c r="A208" s="390"/>
      <c r="B208" s="390"/>
      <c r="C208" s="390"/>
      <c r="D208" s="390"/>
      <c r="E208" s="390"/>
      <c r="F208" s="387"/>
      <c r="G208" s="387"/>
      <c r="H208" s="387"/>
      <c r="I208" s="387"/>
      <c r="J208" s="387"/>
    </row>
    <row r="209" spans="1:10" s="385" customFormat="1" ht="21.95" customHeight="1" x14ac:dyDescent="0.2">
      <c r="A209" s="390"/>
      <c r="B209" s="390"/>
      <c r="C209" s="390"/>
      <c r="D209" s="390"/>
      <c r="E209" s="390"/>
      <c r="F209" s="388"/>
      <c r="G209" s="388"/>
      <c r="H209" s="388"/>
      <c r="I209" s="388"/>
      <c r="J209" s="388"/>
    </row>
    <row r="210" spans="1:10" s="385" customFormat="1" ht="21.95" customHeight="1" x14ac:dyDescent="0.2">
      <c r="A210" s="390"/>
      <c r="B210" s="390"/>
      <c r="C210" s="390"/>
      <c r="D210" s="390"/>
      <c r="E210" s="390"/>
      <c r="F210" s="388"/>
      <c r="G210" s="388"/>
      <c r="H210" s="388"/>
      <c r="I210" s="388"/>
      <c r="J210" s="388"/>
    </row>
    <row r="211" spans="1:10" s="385" customFormat="1" ht="21.95" customHeight="1" x14ac:dyDescent="0.2">
      <c r="A211" s="390"/>
      <c r="B211" s="390"/>
      <c r="C211" s="390"/>
      <c r="D211" s="390"/>
      <c r="E211" s="390"/>
      <c r="F211" s="388"/>
      <c r="G211" s="388"/>
      <c r="H211" s="388"/>
      <c r="I211" s="388"/>
      <c r="J211" s="388"/>
    </row>
    <row r="212" spans="1:10" s="385" customFormat="1" ht="21.95" customHeight="1" x14ac:dyDescent="0.2">
      <c r="A212" s="390"/>
      <c r="B212" s="390"/>
      <c r="C212" s="390"/>
      <c r="D212" s="390"/>
      <c r="E212" s="390"/>
      <c r="F212" s="387"/>
      <c r="G212" s="387"/>
      <c r="H212" s="387"/>
      <c r="I212" s="387"/>
      <c r="J212" s="387"/>
    </row>
    <row r="213" spans="1:10" s="385" customFormat="1" ht="21.95" customHeight="1" x14ac:dyDescent="0.2">
      <c r="A213" s="390"/>
      <c r="B213" s="390"/>
      <c r="C213" s="390"/>
      <c r="D213" s="390"/>
      <c r="E213" s="390"/>
      <c r="F213" s="387"/>
      <c r="G213" s="387"/>
      <c r="H213" s="387"/>
      <c r="I213" s="387"/>
      <c r="J213" s="387"/>
    </row>
    <row r="214" spans="1:10" s="385" customFormat="1" ht="21.95" customHeight="1" x14ac:dyDescent="0.2">
      <c r="A214" s="390"/>
      <c r="B214" s="390"/>
      <c r="C214" s="390"/>
      <c r="D214" s="390"/>
      <c r="E214" s="390"/>
      <c r="F214" s="387"/>
      <c r="G214" s="387"/>
      <c r="H214" s="387"/>
      <c r="I214" s="387"/>
      <c r="J214" s="387"/>
    </row>
    <row r="215" spans="1:10" s="385" customFormat="1" ht="21.95" customHeight="1" x14ac:dyDescent="0.2">
      <c r="A215" s="390"/>
      <c r="B215" s="390"/>
      <c r="C215" s="390"/>
      <c r="D215" s="390"/>
      <c r="E215" s="390"/>
      <c r="F215" s="387"/>
      <c r="G215" s="387"/>
      <c r="H215" s="387"/>
      <c r="I215" s="387"/>
      <c r="J215" s="387"/>
    </row>
    <row r="216" spans="1:10" s="385" customFormat="1" ht="21.95" customHeight="1" x14ac:dyDescent="0.2">
      <c r="A216" s="390"/>
      <c r="B216" s="390"/>
      <c r="C216" s="390"/>
      <c r="D216" s="390"/>
      <c r="E216" s="390"/>
      <c r="F216" s="387"/>
      <c r="G216" s="387"/>
      <c r="H216" s="387"/>
      <c r="I216" s="387"/>
      <c r="J216" s="387"/>
    </row>
    <row r="217" spans="1:10" s="385" customFormat="1" ht="21.95" customHeight="1" x14ac:dyDescent="0.2">
      <c r="A217" s="390"/>
      <c r="B217" s="390"/>
      <c r="C217" s="390"/>
      <c r="D217" s="390"/>
      <c r="E217" s="390"/>
      <c r="F217" s="387"/>
      <c r="G217" s="387"/>
      <c r="H217" s="387"/>
      <c r="I217" s="387"/>
      <c r="J217" s="387"/>
    </row>
    <row r="218" spans="1:10" s="385" customFormat="1" ht="21.95" customHeight="1" x14ac:dyDescent="0.2">
      <c r="A218" s="390"/>
      <c r="B218" s="390"/>
      <c r="C218" s="390"/>
      <c r="D218" s="390"/>
      <c r="E218" s="390"/>
      <c r="F218" s="389"/>
      <c r="G218" s="389"/>
      <c r="H218" s="389"/>
      <c r="I218" s="389"/>
      <c r="J218" s="389"/>
    </row>
    <row r="219" spans="1:10" s="385" customFormat="1" ht="21.95" customHeight="1" x14ac:dyDescent="0.2">
      <c r="A219" s="390"/>
      <c r="B219" s="390"/>
      <c r="C219" s="390"/>
      <c r="D219" s="390"/>
      <c r="E219" s="390"/>
      <c r="F219" s="389"/>
      <c r="G219" s="389"/>
      <c r="H219" s="389"/>
      <c r="I219" s="389"/>
      <c r="J219" s="389"/>
    </row>
    <row r="220" spans="1:10" s="385" customFormat="1" ht="21.95" customHeight="1" x14ac:dyDescent="0.2">
      <c r="A220" s="390"/>
      <c r="B220" s="390"/>
      <c r="C220" s="390"/>
      <c r="D220" s="390"/>
      <c r="E220" s="390"/>
      <c r="F220" s="389"/>
      <c r="G220" s="389"/>
      <c r="H220" s="389"/>
      <c r="I220" s="389"/>
      <c r="J220" s="389"/>
    </row>
    <row r="221" spans="1:10" s="385" customFormat="1" ht="21.95" customHeight="1" x14ac:dyDescent="0.2">
      <c r="A221" s="390"/>
      <c r="B221" s="390"/>
      <c r="C221" s="390"/>
      <c r="D221" s="390"/>
      <c r="E221" s="390"/>
      <c r="F221" s="389"/>
      <c r="G221" s="389"/>
      <c r="H221" s="389"/>
      <c r="I221" s="389"/>
      <c r="J221" s="389"/>
    </row>
    <row r="222" spans="1:10" s="385" customFormat="1" ht="21.95" customHeight="1" x14ac:dyDescent="0.2">
      <c r="A222" s="390"/>
      <c r="B222" s="390"/>
      <c r="C222" s="390"/>
      <c r="D222" s="390"/>
      <c r="E222" s="390"/>
      <c r="F222" s="389"/>
      <c r="G222" s="389"/>
      <c r="H222" s="389"/>
      <c r="I222" s="389"/>
      <c r="J222" s="389"/>
    </row>
    <row r="223" spans="1:10" s="385" customFormat="1" ht="21.95" customHeight="1" x14ac:dyDescent="0.2">
      <c r="A223" s="390"/>
      <c r="B223" s="390"/>
      <c r="C223" s="390"/>
      <c r="D223" s="390"/>
      <c r="E223" s="390"/>
      <c r="F223" s="389"/>
      <c r="G223" s="389"/>
      <c r="H223" s="389"/>
      <c r="I223" s="389"/>
      <c r="J223" s="389"/>
    </row>
    <row r="224" spans="1:10" s="385" customFormat="1" ht="21.95" customHeight="1" x14ac:dyDescent="0.2">
      <c r="A224" s="390"/>
      <c r="B224" s="390"/>
      <c r="C224" s="390"/>
      <c r="D224" s="390"/>
      <c r="E224" s="390"/>
      <c r="F224" s="387"/>
      <c r="G224" s="387"/>
      <c r="H224" s="387"/>
      <c r="I224" s="387"/>
      <c r="J224" s="387"/>
    </row>
    <row r="225" spans="1:10" s="385" customFormat="1" ht="21.95" customHeight="1" x14ac:dyDescent="0.2">
      <c r="A225" s="390"/>
      <c r="B225" s="390"/>
      <c r="C225" s="390"/>
      <c r="D225" s="390"/>
      <c r="E225" s="390"/>
      <c r="F225" s="387"/>
      <c r="G225" s="387"/>
      <c r="H225" s="387"/>
      <c r="I225" s="387"/>
      <c r="J225" s="387"/>
    </row>
    <row r="226" spans="1:10" s="385" customFormat="1" ht="21.95" customHeight="1" x14ac:dyDescent="0.2">
      <c r="A226" s="390"/>
      <c r="B226" s="390"/>
      <c r="C226" s="390"/>
      <c r="D226" s="390"/>
      <c r="E226" s="390"/>
      <c r="F226" s="387"/>
      <c r="G226" s="387"/>
      <c r="H226" s="387"/>
      <c r="I226" s="387"/>
      <c r="J226" s="387"/>
    </row>
    <row r="227" spans="1:10" s="385" customFormat="1" ht="21.95" customHeight="1" x14ac:dyDescent="0.2">
      <c r="A227" s="390"/>
      <c r="B227" s="390"/>
      <c r="C227" s="390"/>
      <c r="D227" s="390"/>
      <c r="E227" s="390"/>
      <c r="F227" s="387"/>
      <c r="G227" s="387"/>
      <c r="H227" s="387"/>
      <c r="I227" s="387"/>
      <c r="J227" s="387"/>
    </row>
    <row r="228" spans="1:10" s="385" customFormat="1" ht="21.95" customHeight="1" x14ac:dyDescent="0.2">
      <c r="A228" s="390"/>
      <c r="B228" s="390"/>
      <c r="C228" s="390"/>
      <c r="D228" s="390"/>
      <c r="E228" s="390"/>
      <c r="F228" s="387"/>
      <c r="G228" s="387"/>
      <c r="H228" s="387"/>
      <c r="I228" s="387"/>
      <c r="J228" s="387"/>
    </row>
    <row r="229" spans="1:10" s="385" customFormat="1" ht="21.95" customHeight="1" x14ac:dyDescent="0.2">
      <c r="A229" s="390"/>
      <c r="B229" s="390"/>
      <c r="C229" s="390"/>
      <c r="D229" s="390"/>
      <c r="E229" s="390"/>
      <c r="F229" s="387"/>
      <c r="G229" s="387"/>
      <c r="H229" s="387"/>
      <c r="I229" s="387"/>
      <c r="J229" s="387"/>
    </row>
    <row r="230" spans="1:10" s="385" customFormat="1" ht="21.95" customHeight="1" x14ac:dyDescent="0.2">
      <c r="A230" s="390"/>
      <c r="B230" s="390"/>
      <c r="C230" s="390"/>
      <c r="D230" s="390"/>
      <c r="E230" s="390"/>
      <c r="F230" s="387"/>
      <c r="G230" s="387"/>
      <c r="H230" s="387"/>
      <c r="I230" s="387"/>
      <c r="J230" s="387"/>
    </row>
    <row r="231" spans="1:10" s="385" customFormat="1" ht="21.95" customHeight="1" x14ac:dyDescent="0.2">
      <c r="A231" s="391"/>
      <c r="B231" s="391"/>
      <c r="C231" s="391"/>
      <c r="D231" s="391"/>
      <c r="E231" s="391"/>
      <c r="F231" s="388"/>
      <c r="G231" s="388"/>
      <c r="H231" s="388"/>
      <c r="I231" s="388"/>
      <c r="J231" s="388"/>
    </row>
    <row r="232" spans="1:10" s="385" customFormat="1" ht="21.95" customHeight="1" x14ac:dyDescent="0.2">
      <c r="A232" s="391"/>
      <c r="B232" s="391"/>
      <c r="C232" s="391"/>
      <c r="D232" s="391"/>
      <c r="E232" s="391"/>
      <c r="F232" s="388"/>
      <c r="G232" s="388"/>
      <c r="H232" s="388"/>
      <c r="I232" s="388"/>
      <c r="J232" s="388"/>
    </row>
    <row r="233" spans="1:10" s="385" customFormat="1" ht="21.95" customHeight="1" x14ac:dyDescent="0.2">
      <c r="A233" s="391"/>
      <c r="B233" s="391"/>
      <c r="C233" s="391"/>
      <c r="D233" s="391"/>
      <c r="E233" s="391"/>
      <c r="F233" s="389"/>
      <c r="G233" s="389"/>
      <c r="H233" s="389"/>
      <c r="I233" s="389"/>
      <c r="J233" s="389"/>
    </row>
    <row r="234" spans="1:10" s="385" customFormat="1" ht="21.95" customHeight="1" x14ac:dyDescent="0.2">
      <c r="A234" s="391"/>
      <c r="B234" s="391"/>
      <c r="C234" s="391"/>
      <c r="D234" s="391"/>
      <c r="E234" s="391"/>
      <c r="F234" s="388"/>
      <c r="G234" s="388"/>
      <c r="H234" s="388"/>
      <c r="I234" s="388"/>
      <c r="J234" s="388"/>
    </row>
    <row r="235" spans="1:10" s="385" customFormat="1" ht="21.95" customHeight="1" x14ac:dyDescent="0.2">
      <c r="A235" s="391"/>
      <c r="B235" s="391"/>
      <c r="C235" s="391"/>
      <c r="D235" s="391"/>
      <c r="E235" s="391"/>
      <c r="F235" s="387"/>
      <c r="G235" s="387"/>
      <c r="H235" s="387"/>
      <c r="I235" s="387"/>
      <c r="J235" s="387"/>
    </row>
    <row r="236" spans="1:10" s="385" customFormat="1" ht="21.95" customHeight="1" x14ac:dyDescent="0.2">
      <c r="A236" s="391"/>
      <c r="B236" s="391"/>
      <c r="C236" s="391"/>
      <c r="D236" s="391"/>
      <c r="E236" s="391"/>
      <c r="F236" s="387"/>
      <c r="G236" s="387"/>
      <c r="H236" s="387"/>
      <c r="I236" s="387"/>
      <c r="J236" s="387"/>
    </row>
    <row r="237" spans="1:10" s="385" customFormat="1" ht="21.95" customHeight="1" x14ac:dyDescent="0.2">
      <c r="A237" s="391"/>
      <c r="B237" s="391"/>
      <c r="C237" s="391"/>
      <c r="D237" s="391"/>
      <c r="E237" s="391"/>
      <c r="F237" s="389"/>
      <c r="G237" s="389"/>
      <c r="H237" s="389"/>
      <c r="I237" s="389"/>
      <c r="J237" s="389"/>
    </row>
    <row r="238" spans="1:10" s="385" customFormat="1" ht="21.95" customHeight="1" x14ac:dyDescent="0.2">
      <c r="A238" s="391"/>
      <c r="B238" s="391"/>
      <c r="C238" s="391"/>
      <c r="D238" s="391"/>
      <c r="E238" s="391"/>
      <c r="F238" s="388"/>
      <c r="G238" s="388"/>
      <c r="H238" s="388"/>
      <c r="I238" s="388"/>
      <c r="J238" s="388"/>
    </row>
    <row r="239" spans="1:10" s="385" customFormat="1" ht="21.95" customHeight="1" x14ac:dyDescent="0.2">
      <c r="A239" s="391"/>
      <c r="B239" s="391"/>
      <c r="C239" s="391"/>
      <c r="D239" s="391"/>
      <c r="E239" s="391"/>
      <c r="F239" s="389"/>
      <c r="G239" s="389"/>
      <c r="H239" s="389"/>
      <c r="I239" s="389"/>
      <c r="J239" s="389"/>
    </row>
    <row r="240" spans="1:10" s="385" customFormat="1" ht="21.95" customHeight="1" x14ac:dyDescent="0.2">
      <c r="A240" s="391"/>
      <c r="B240" s="391"/>
      <c r="C240" s="391"/>
      <c r="D240" s="391"/>
      <c r="E240" s="391"/>
      <c r="F240" s="389"/>
      <c r="G240" s="389"/>
      <c r="H240" s="389"/>
      <c r="I240" s="389"/>
      <c r="J240" s="389"/>
    </row>
    <row r="241" spans="1:10" s="385" customFormat="1" ht="21.95" customHeight="1" x14ac:dyDescent="0.2">
      <c r="A241" s="391"/>
      <c r="B241" s="391"/>
      <c r="C241" s="391"/>
      <c r="D241" s="391"/>
      <c r="E241" s="391"/>
      <c r="F241" s="389"/>
      <c r="G241" s="389"/>
      <c r="H241" s="389"/>
      <c r="I241" s="389"/>
      <c r="J241" s="389"/>
    </row>
    <row r="242" spans="1:10" s="385" customFormat="1" ht="21.95" customHeight="1" x14ac:dyDescent="0.2">
      <c r="A242" s="391"/>
      <c r="B242" s="391"/>
      <c r="C242" s="391"/>
      <c r="D242" s="391"/>
      <c r="E242" s="391"/>
      <c r="F242" s="389"/>
      <c r="G242" s="389"/>
      <c r="H242" s="389"/>
      <c r="I242" s="389"/>
      <c r="J242" s="389"/>
    </row>
    <row r="243" spans="1:10" s="385" customFormat="1" ht="21.95" customHeight="1" x14ac:dyDescent="0.2">
      <c r="A243" s="391"/>
      <c r="B243" s="391"/>
      <c r="C243" s="391"/>
      <c r="D243" s="391"/>
      <c r="E243" s="391"/>
      <c r="F243" s="389"/>
      <c r="G243" s="389"/>
      <c r="H243" s="389"/>
      <c r="I243" s="389"/>
      <c r="J243" s="389"/>
    </row>
    <row r="244" spans="1:10" s="385" customFormat="1" ht="21.95" customHeight="1" x14ac:dyDescent="0.2">
      <c r="A244" s="391"/>
      <c r="B244" s="391"/>
      <c r="C244" s="391"/>
      <c r="D244" s="391"/>
      <c r="E244" s="391"/>
      <c r="F244" s="389"/>
      <c r="G244" s="389"/>
      <c r="H244" s="389"/>
      <c r="I244" s="389"/>
      <c r="J244" s="389"/>
    </row>
    <row r="245" spans="1:10" s="385" customFormat="1" ht="21.95" customHeight="1" x14ac:dyDescent="0.2">
      <c r="A245" s="391"/>
      <c r="B245" s="391"/>
      <c r="C245" s="391"/>
      <c r="D245" s="391"/>
      <c r="E245" s="391"/>
      <c r="F245" s="389"/>
      <c r="G245" s="389"/>
      <c r="H245" s="389"/>
      <c r="I245" s="389"/>
      <c r="J245" s="389"/>
    </row>
    <row r="246" spans="1:10" s="385" customFormat="1" ht="21.95" customHeight="1" x14ac:dyDescent="0.2">
      <c r="A246" s="391"/>
      <c r="B246" s="391"/>
      <c r="C246" s="391"/>
      <c r="D246" s="391"/>
      <c r="E246" s="391"/>
      <c r="F246" s="389"/>
      <c r="G246" s="389"/>
      <c r="H246" s="389"/>
      <c r="I246" s="389"/>
      <c r="J246" s="389"/>
    </row>
    <row r="247" spans="1:10" s="385" customFormat="1" ht="21.95" customHeight="1" x14ac:dyDescent="0.2">
      <c r="A247" s="391"/>
      <c r="B247" s="391"/>
      <c r="C247" s="391"/>
      <c r="D247" s="391"/>
      <c r="E247" s="391"/>
      <c r="F247" s="387"/>
      <c r="G247" s="387"/>
      <c r="H247" s="387"/>
      <c r="I247" s="387"/>
      <c r="J247" s="387"/>
    </row>
    <row r="248" spans="1:10" s="385" customFormat="1" ht="21.95" customHeight="1" x14ac:dyDescent="0.2">
      <c r="A248" s="391"/>
      <c r="B248" s="391"/>
      <c r="C248" s="391"/>
      <c r="D248" s="391"/>
      <c r="E248" s="391"/>
      <c r="F248" s="387"/>
      <c r="G248" s="387"/>
      <c r="H248" s="387"/>
      <c r="I248" s="387"/>
      <c r="J248" s="387"/>
    </row>
    <row r="249" spans="1:10" s="385" customFormat="1" ht="21.95" customHeight="1" x14ac:dyDescent="0.2">
      <c r="A249" s="391"/>
      <c r="B249" s="391"/>
      <c r="C249" s="391"/>
      <c r="D249" s="391"/>
      <c r="E249" s="391"/>
      <c r="F249" s="387"/>
      <c r="G249" s="387"/>
      <c r="H249" s="387"/>
      <c r="I249" s="387"/>
      <c r="J249" s="387"/>
    </row>
    <row r="250" spans="1:10" s="385" customFormat="1" ht="21.95" customHeight="1" x14ac:dyDescent="0.2">
      <c r="A250" s="391"/>
      <c r="B250" s="391"/>
      <c r="C250" s="391"/>
      <c r="D250" s="391"/>
      <c r="E250" s="391"/>
      <c r="F250" s="387"/>
      <c r="G250" s="387"/>
      <c r="H250" s="387"/>
      <c r="I250" s="387"/>
      <c r="J250" s="387"/>
    </row>
    <row r="251" spans="1:10" s="385" customFormat="1" ht="21.95" customHeight="1" x14ac:dyDescent="0.2">
      <c r="A251" s="391"/>
      <c r="B251" s="391"/>
      <c r="C251" s="391"/>
      <c r="D251" s="391"/>
      <c r="E251" s="391"/>
      <c r="F251" s="387"/>
      <c r="G251" s="387"/>
      <c r="H251" s="387"/>
      <c r="I251" s="387"/>
      <c r="J251" s="387"/>
    </row>
    <row r="252" spans="1:10" s="385" customFormat="1" ht="21.95" customHeight="1" x14ac:dyDescent="0.2">
      <c r="A252" s="391"/>
      <c r="B252" s="391"/>
      <c r="C252" s="391"/>
      <c r="D252" s="391"/>
      <c r="E252" s="391"/>
      <c r="F252" s="387"/>
      <c r="G252" s="387"/>
      <c r="H252" s="387"/>
      <c r="I252" s="387"/>
      <c r="J252" s="387"/>
    </row>
    <row r="253" spans="1:10" s="385" customFormat="1" ht="14.25" x14ac:dyDescent="0.2">
      <c r="A253" s="391"/>
      <c r="B253" s="391"/>
      <c r="C253" s="391"/>
      <c r="D253" s="391"/>
      <c r="E253" s="391"/>
      <c r="F253" s="388"/>
      <c r="G253" s="388"/>
      <c r="H253" s="388"/>
      <c r="I253" s="388"/>
      <c r="J253" s="388"/>
    </row>
    <row r="254" spans="1:10" s="385" customFormat="1" ht="14.25" x14ac:dyDescent="0.2">
      <c r="A254" s="391"/>
      <c r="B254" s="391"/>
      <c r="C254" s="391"/>
      <c r="D254" s="391"/>
      <c r="E254" s="391"/>
      <c r="F254" s="386"/>
      <c r="G254" s="386"/>
      <c r="H254" s="386"/>
      <c r="I254" s="386"/>
      <c r="J254" s="386"/>
    </row>
    <row r="255" spans="1:10" s="385" customFormat="1" ht="14.25" x14ac:dyDescent="0.2">
      <c r="A255" s="391"/>
      <c r="B255" s="391"/>
      <c r="C255" s="391"/>
      <c r="D255" s="391"/>
      <c r="E255" s="391"/>
      <c r="F255" s="388"/>
      <c r="G255" s="388"/>
      <c r="H255" s="388"/>
      <c r="I255" s="388"/>
      <c r="J255" s="388"/>
    </row>
    <row r="256" spans="1:10" s="385" customFormat="1" ht="14.25" x14ac:dyDescent="0.2">
      <c r="A256" s="391"/>
      <c r="B256" s="391"/>
      <c r="C256" s="391"/>
      <c r="D256" s="391"/>
      <c r="E256" s="391"/>
      <c r="F256" s="388"/>
      <c r="G256" s="388"/>
      <c r="H256" s="388"/>
      <c r="I256" s="388"/>
      <c r="J256" s="388"/>
    </row>
    <row r="257" spans="1:10" s="385" customFormat="1" ht="14.25" x14ac:dyDescent="0.2">
      <c r="A257" s="391"/>
      <c r="B257" s="391"/>
      <c r="C257" s="391"/>
      <c r="D257" s="391"/>
      <c r="E257" s="391"/>
      <c r="F257" s="387"/>
      <c r="G257" s="387"/>
      <c r="H257" s="387"/>
      <c r="I257" s="387"/>
      <c r="J257" s="387"/>
    </row>
    <row r="258" spans="1:10" s="385" customFormat="1" ht="14.25" x14ac:dyDescent="0.2">
      <c r="A258" s="391"/>
      <c r="B258" s="391"/>
      <c r="C258" s="391"/>
      <c r="D258" s="391"/>
      <c r="E258" s="391"/>
      <c r="F258" s="387"/>
      <c r="G258" s="387"/>
      <c r="H258" s="387"/>
      <c r="I258" s="387"/>
      <c r="J258" s="387"/>
    </row>
    <row r="259" spans="1:10" s="385" customFormat="1" ht="14.25" x14ac:dyDescent="0.2">
      <c r="A259" s="391"/>
      <c r="B259" s="391"/>
      <c r="C259" s="391"/>
      <c r="D259" s="391"/>
      <c r="E259" s="391"/>
      <c r="F259" s="387"/>
      <c r="G259" s="387"/>
      <c r="H259" s="387"/>
      <c r="I259" s="387"/>
      <c r="J259" s="387"/>
    </row>
    <row r="260" spans="1:10" s="385" customFormat="1" ht="14.25" x14ac:dyDescent="0.2">
      <c r="A260" s="391"/>
      <c r="B260" s="391"/>
      <c r="C260" s="391"/>
      <c r="D260" s="391"/>
      <c r="E260" s="391"/>
      <c r="F260" s="387"/>
      <c r="G260" s="387"/>
      <c r="H260" s="387"/>
      <c r="I260" s="387"/>
      <c r="J260" s="387"/>
    </row>
    <row r="261" spans="1:10" s="385" customFormat="1" ht="14.25" x14ac:dyDescent="0.2">
      <c r="A261" s="391"/>
      <c r="B261" s="391"/>
      <c r="C261" s="391"/>
      <c r="D261" s="391"/>
      <c r="E261" s="391"/>
      <c r="F261" s="389"/>
      <c r="G261" s="389"/>
      <c r="H261" s="389"/>
      <c r="I261" s="389"/>
      <c r="J261" s="389"/>
    </row>
    <row r="262" spans="1:10" s="385" customFormat="1" ht="14.25" x14ac:dyDescent="0.2">
      <c r="A262" s="391"/>
      <c r="B262" s="391"/>
      <c r="C262" s="391"/>
      <c r="D262" s="391"/>
      <c r="E262" s="391"/>
      <c r="F262" s="388"/>
      <c r="G262" s="388"/>
      <c r="H262" s="388"/>
      <c r="I262" s="388"/>
      <c r="J262" s="388"/>
    </row>
    <row r="263" spans="1:10" s="385" customFormat="1" ht="14.25" x14ac:dyDescent="0.2">
      <c r="A263" s="391"/>
      <c r="B263" s="391"/>
      <c r="C263" s="391"/>
      <c r="D263" s="391"/>
      <c r="E263" s="391"/>
      <c r="F263" s="386"/>
      <c r="G263" s="386"/>
      <c r="H263" s="386"/>
      <c r="I263" s="386"/>
      <c r="J263" s="386"/>
    </row>
    <row r="264" spans="1:10" s="385" customFormat="1" ht="14.25" x14ac:dyDescent="0.2">
      <c r="A264" s="391"/>
      <c r="B264" s="391"/>
      <c r="C264" s="391"/>
      <c r="D264" s="391"/>
      <c r="E264" s="391"/>
      <c r="F264" s="389"/>
      <c r="G264" s="389"/>
      <c r="H264" s="389"/>
      <c r="I264" s="389"/>
      <c r="J264" s="389"/>
    </row>
    <row r="265" spans="1:10" s="385" customFormat="1" ht="14.25" x14ac:dyDescent="0.2">
      <c r="A265" s="391"/>
      <c r="B265" s="391"/>
      <c r="C265" s="391"/>
      <c r="D265" s="391"/>
      <c r="E265" s="391"/>
      <c r="F265" s="387"/>
      <c r="G265" s="387"/>
      <c r="H265" s="387"/>
      <c r="I265" s="387"/>
      <c r="J265" s="387"/>
    </row>
    <row r="266" spans="1:10" s="385" customFormat="1" ht="14.25" x14ac:dyDescent="0.2">
      <c r="A266" s="391"/>
      <c r="B266" s="391"/>
      <c r="C266" s="391"/>
      <c r="D266" s="391"/>
      <c r="E266" s="391"/>
      <c r="F266" s="392"/>
      <c r="G266" s="392"/>
      <c r="H266" s="392"/>
      <c r="I266" s="392"/>
      <c r="J266" s="392"/>
    </row>
    <row r="267" spans="1:10" s="385" customFormat="1" ht="14.25" x14ac:dyDescent="0.2">
      <c r="A267" s="391"/>
      <c r="B267" s="391"/>
      <c r="C267" s="391"/>
      <c r="D267" s="391"/>
      <c r="E267" s="391"/>
      <c r="F267" s="392"/>
      <c r="G267" s="392"/>
      <c r="H267" s="392"/>
      <c r="I267" s="392"/>
      <c r="J267" s="392"/>
    </row>
    <row r="268" spans="1:10" s="385" customFormat="1" ht="14.25" x14ac:dyDescent="0.2">
      <c r="A268" s="391"/>
      <c r="B268" s="391"/>
      <c r="C268" s="391"/>
      <c r="D268" s="391"/>
      <c r="E268" s="391"/>
      <c r="F268" s="392"/>
      <c r="G268" s="392"/>
      <c r="H268" s="392"/>
      <c r="I268" s="392"/>
      <c r="J268" s="392"/>
    </row>
    <row r="269" spans="1:10" s="385" customFormat="1" ht="14.25" x14ac:dyDescent="0.2">
      <c r="A269" s="391"/>
      <c r="B269" s="391"/>
      <c r="C269" s="391"/>
      <c r="D269" s="391"/>
      <c r="E269" s="391"/>
      <c r="F269" s="392"/>
      <c r="G269" s="392"/>
      <c r="H269" s="392"/>
      <c r="I269" s="392"/>
      <c r="J269" s="392"/>
    </row>
    <row r="270" spans="1:10" s="385" customFormat="1" ht="14.25" x14ac:dyDescent="0.2">
      <c r="A270" s="391"/>
      <c r="B270" s="391"/>
      <c r="C270" s="391"/>
      <c r="D270" s="391"/>
      <c r="E270" s="391"/>
      <c r="F270" s="387"/>
      <c r="G270" s="387"/>
      <c r="H270" s="387"/>
      <c r="I270" s="387"/>
      <c r="J270" s="387"/>
    </row>
    <row r="271" spans="1:10" s="385" customFormat="1" ht="14.25" x14ac:dyDescent="0.2">
      <c r="A271" s="391"/>
      <c r="B271" s="391"/>
      <c r="C271" s="391"/>
      <c r="D271" s="391"/>
      <c r="E271" s="391"/>
      <c r="F271" s="387"/>
      <c r="G271" s="387"/>
      <c r="H271" s="387"/>
      <c r="I271" s="387"/>
      <c r="J271" s="387"/>
    </row>
    <row r="272" spans="1:10" s="385" customFormat="1" ht="14.25" x14ac:dyDescent="0.2">
      <c r="A272" s="391"/>
      <c r="B272" s="391"/>
      <c r="C272" s="391"/>
      <c r="D272" s="391"/>
      <c r="E272" s="391"/>
      <c r="F272" s="387"/>
      <c r="G272" s="387"/>
      <c r="H272" s="387"/>
      <c r="I272" s="387"/>
      <c r="J272" s="387"/>
    </row>
    <row r="273" spans="1:10" s="385" customFormat="1" ht="14.25" x14ac:dyDescent="0.2">
      <c r="A273" s="391"/>
      <c r="B273" s="391"/>
      <c r="C273" s="391"/>
      <c r="D273" s="391"/>
      <c r="E273" s="391"/>
      <c r="F273" s="387"/>
      <c r="G273" s="387"/>
      <c r="H273" s="387"/>
      <c r="I273" s="387"/>
      <c r="J273" s="387"/>
    </row>
    <row r="274" spans="1:10" s="385" customFormat="1" ht="14.25" x14ac:dyDescent="0.2">
      <c r="A274" s="391"/>
      <c r="B274" s="391"/>
      <c r="C274" s="391"/>
      <c r="D274" s="391"/>
      <c r="E274" s="391"/>
      <c r="F274" s="387"/>
      <c r="G274" s="387"/>
      <c r="H274" s="387"/>
      <c r="I274" s="387"/>
      <c r="J274" s="387"/>
    </row>
    <row r="275" spans="1:10" s="385" customFormat="1" ht="14.25" x14ac:dyDescent="0.2">
      <c r="A275" s="391"/>
      <c r="B275" s="391"/>
      <c r="C275" s="391"/>
      <c r="D275" s="391"/>
      <c r="E275" s="391"/>
      <c r="F275" s="387"/>
      <c r="G275" s="387"/>
      <c r="H275" s="387"/>
      <c r="I275" s="387"/>
      <c r="J275" s="387"/>
    </row>
    <row r="276" spans="1:10" s="385" customFormat="1" ht="14.25" x14ac:dyDescent="0.2">
      <c r="A276" s="391"/>
      <c r="B276" s="391"/>
      <c r="C276" s="391"/>
      <c r="D276" s="391"/>
      <c r="E276" s="391"/>
      <c r="F276" s="387"/>
      <c r="G276" s="387"/>
      <c r="H276" s="387"/>
      <c r="I276" s="387"/>
      <c r="J276" s="387"/>
    </row>
    <row r="277" spans="1:10" s="385" customFormat="1" ht="14.25" x14ac:dyDescent="0.2">
      <c r="A277" s="391"/>
      <c r="B277" s="391"/>
      <c r="C277" s="391"/>
      <c r="D277" s="391"/>
      <c r="E277" s="391"/>
      <c r="F277" s="387"/>
      <c r="G277" s="387"/>
      <c r="H277" s="387"/>
      <c r="I277" s="387"/>
      <c r="J277" s="387"/>
    </row>
    <row r="278" spans="1:10" s="385" customFormat="1" ht="14.25" x14ac:dyDescent="0.2">
      <c r="A278" s="391"/>
      <c r="B278" s="391"/>
      <c r="C278" s="391"/>
      <c r="D278" s="391"/>
      <c r="E278" s="391"/>
      <c r="F278" s="388"/>
      <c r="G278" s="388"/>
      <c r="H278" s="388"/>
      <c r="I278" s="388"/>
      <c r="J278" s="388"/>
    </row>
    <row r="279" spans="1:10" s="385" customFormat="1" ht="14.25" x14ac:dyDescent="0.2">
      <c r="A279" s="391"/>
      <c r="B279" s="391"/>
      <c r="C279" s="391"/>
      <c r="D279" s="391"/>
      <c r="E279" s="391"/>
      <c r="F279" s="389"/>
      <c r="G279" s="389"/>
      <c r="H279" s="389"/>
      <c r="I279" s="389"/>
      <c r="J279" s="389"/>
    </row>
    <row r="280" spans="1:10" s="385" customFormat="1" ht="14.25" x14ac:dyDescent="0.2">
      <c r="A280" s="391"/>
      <c r="B280" s="391"/>
      <c r="C280" s="391"/>
      <c r="D280" s="391"/>
      <c r="E280" s="391"/>
      <c r="F280" s="388"/>
      <c r="G280" s="388"/>
      <c r="H280" s="388"/>
      <c r="I280" s="388"/>
      <c r="J280" s="388"/>
    </row>
    <row r="281" spans="1:10" s="385" customFormat="1" ht="14.25" x14ac:dyDescent="0.2">
      <c r="A281" s="391"/>
      <c r="B281" s="391"/>
      <c r="C281" s="391"/>
      <c r="D281" s="391"/>
      <c r="E281" s="391"/>
      <c r="F281" s="387"/>
      <c r="G281" s="387"/>
      <c r="H281" s="387"/>
      <c r="I281" s="387"/>
      <c r="J281" s="387"/>
    </row>
    <row r="282" spans="1:10" s="385" customFormat="1" ht="14.25" x14ac:dyDescent="0.2">
      <c r="A282" s="391"/>
      <c r="B282" s="391"/>
      <c r="C282" s="391"/>
      <c r="D282" s="391"/>
      <c r="E282" s="391"/>
      <c r="F282" s="388"/>
      <c r="G282" s="388"/>
      <c r="H282" s="388"/>
      <c r="I282" s="388"/>
      <c r="J282" s="388"/>
    </row>
    <row r="283" spans="1:10" s="385" customFormat="1" ht="14.25" x14ac:dyDescent="0.2">
      <c r="A283" s="391"/>
      <c r="B283" s="391"/>
      <c r="C283" s="391"/>
      <c r="D283" s="391"/>
      <c r="E283" s="391"/>
      <c r="F283" s="387"/>
      <c r="G283" s="387"/>
      <c r="H283" s="387"/>
      <c r="I283" s="387"/>
      <c r="J283" s="387"/>
    </row>
    <row r="284" spans="1:10" s="385" customFormat="1" ht="14.25" x14ac:dyDescent="0.2">
      <c r="A284" s="391"/>
      <c r="B284" s="391"/>
      <c r="C284" s="391"/>
      <c r="D284" s="391"/>
      <c r="E284" s="391"/>
      <c r="F284" s="387"/>
      <c r="G284" s="387"/>
      <c r="H284" s="387"/>
      <c r="I284" s="387"/>
      <c r="J284" s="387"/>
    </row>
    <row r="285" spans="1:10" s="385" customFormat="1" ht="14.25" x14ac:dyDescent="0.2">
      <c r="A285" s="391"/>
      <c r="B285" s="391"/>
      <c r="C285" s="391"/>
      <c r="D285" s="391"/>
      <c r="E285" s="391"/>
      <c r="F285" s="388"/>
      <c r="G285" s="388"/>
      <c r="H285" s="388"/>
      <c r="I285" s="388"/>
      <c r="J285" s="388"/>
    </row>
    <row r="286" spans="1:10" s="385" customFormat="1" ht="14.25" x14ac:dyDescent="0.2">
      <c r="A286" s="391"/>
      <c r="B286" s="391"/>
      <c r="C286" s="391"/>
      <c r="D286" s="391"/>
      <c r="E286" s="391"/>
      <c r="F286" s="387"/>
      <c r="G286" s="387"/>
      <c r="H286" s="387"/>
      <c r="I286" s="387"/>
      <c r="J286" s="387"/>
    </row>
    <row r="287" spans="1:10" s="385" customFormat="1" ht="14.25" x14ac:dyDescent="0.2">
      <c r="A287" s="391"/>
      <c r="B287" s="391"/>
      <c r="C287" s="391"/>
      <c r="D287" s="391"/>
      <c r="E287" s="391"/>
      <c r="F287" s="387"/>
      <c r="G287" s="387"/>
      <c r="H287" s="387"/>
      <c r="I287" s="387"/>
      <c r="J287" s="387"/>
    </row>
    <row r="288" spans="1:10" s="385" customFormat="1" ht="14.25" x14ac:dyDescent="0.2">
      <c r="A288" s="391"/>
      <c r="B288" s="391"/>
      <c r="C288" s="391"/>
      <c r="D288" s="391"/>
      <c r="E288" s="391"/>
      <c r="F288" s="389"/>
      <c r="G288" s="389"/>
      <c r="H288" s="389"/>
      <c r="I288" s="389"/>
      <c r="J288" s="389"/>
    </row>
    <row r="289" spans="1:10" s="385" customFormat="1" ht="14.25" x14ac:dyDescent="0.2">
      <c r="A289" s="391"/>
      <c r="B289" s="391"/>
      <c r="C289" s="391"/>
      <c r="D289" s="391"/>
      <c r="E289" s="391"/>
      <c r="F289" s="387"/>
      <c r="G289" s="387"/>
      <c r="H289" s="387"/>
      <c r="I289" s="387"/>
      <c r="J289" s="387"/>
    </row>
    <row r="290" spans="1:10" s="385" customFormat="1" ht="14.25" x14ac:dyDescent="0.2">
      <c r="A290" s="391"/>
      <c r="B290" s="391"/>
      <c r="C290" s="391"/>
      <c r="D290" s="391"/>
      <c r="E290" s="391"/>
      <c r="F290" s="387"/>
      <c r="G290" s="387"/>
      <c r="H290" s="387"/>
      <c r="I290" s="387"/>
      <c r="J290" s="387"/>
    </row>
    <row r="291" spans="1:10" s="385" customFormat="1" ht="14.25" x14ac:dyDescent="0.2">
      <c r="A291" s="391"/>
      <c r="B291" s="391"/>
      <c r="C291" s="391"/>
      <c r="D291" s="391"/>
      <c r="E291" s="391"/>
      <c r="F291" s="387"/>
      <c r="G291" s="387"/>
      <c r="H291" s="387"/>
      <c r="I291" s="387"/>
      <c r="J291" s="387"/>
    </row>
    <row r="292" spans="1:10" s="385" customFormat="1" ht="14.25" x14ac:dyDescent="0.2">
      <c r="A292" s="391"/>
      <c r="B292" s="391"/>
      <c r="C292" s="391"/>
      <c r="D292" s="391"/>
      <c r="E292" s="391"/>
      <c r="F292" s="389"/>
      <c r="G292" s="389"/>
      <c r="H292" s="389"/>
      <c r="I292" s="389"/>
      <c r="J292" s="389"/>
    </row>
    <row r="293" spans="1:10" s="385" customFormat="1" ht="14.25" x14ac:dyDescent="0.2">
      <c r="A293" s="391"/>
      <c r="B293" s="391"/>
      <c r="C293" s="391"/>
      <c r="D293" s="391"/>
      <c r="E293" s="391"/>
      <c r="F293" s="387"/>
      <c r="G293" s="387"/>
      <c r="H293" s="387"/>
      <c r="I293" s="387"/>
      <c r="J293" s="387"/>
    </row>
    <row r="294" spans="1:10" s="385" customFormat="1" ht="14.25" x14ac:dyDescent="0.2">
      <c r="A294" s="391"/>
      <c r="B294" s="391"/>
      <c r="C294" s="391"/>
      <c r="D294" s="391"/>
      <c r="E294" s="391"/>
      <c r="F294" s="387"/>
      <c r="G294" s="387"/>
      <c r="H294" s="387"/>
      <c r="I294" s="387"/>
      <c r="J294" s="387"/>
    </row>
    <row r="295" spans="1:10" s="385" customFormat="1" ht="14.25" x14ac:dyDescent="0.2">
      <c r="A295" s="391"/>
      <c r="B295" s="391"/>
      <c r="C295" s="391"/>
      <c r="D295" s="391"/>
      <c r="E295" s="391"/>
      <c r="F295" s="387"/>
      <c r="G295" s="387"/>
      <c r="H295" s="387"/>
      <c r="I295" s="387"/>
      <c r="J295" s="387"/>
    </row>
    <row r="296" spans="1:10" s="385" customFormat="1" ht="14.25" x14ac:dyDescent="0.2">
      <c r="A296" s="391"/>
      <c r="B296" s="391"/>
      <c r="C296" s="391"/>
      <c r="D296" s="391"/>
      <c r="E296" s="391"/>
      <c r="F296" s="387"/>
      <c r="G296" s="387"/>
      <c r="H296" s="387"/>
      <c r="I296" s="387"/>
      <c r="J296" s="387"/>
    </row>
    <row r="297" spans="1:10" s="385" customFormat="1" ht="14.25" x14ac:dyDescent="0.2">
      <c r="A297" s="391"/>
      <c r="B297" s="391"/>
      <c r="C297" s="391"/>
      <c r="D297" s="391"/>
      <c r="E297" s="391"/>
      <c r="F297" s="387"/>
      <c r="G297" s="387"/>
      <c r="H297" s="387"/>
      <c r="I297" s="387"/>
      <c r="J297" s="387"/>
    </row>
    <row r="298" spans="1:10" s="385" customFormat="1" ht="14.25" x14ac:dyDescent="0.2">
      <c r="A298" s="391"/>
      <c r="B298" s="391"/>
      <c r="C298" s="391"/>
      <c r="D298" s="391"/>
      <c r="E298" s="391"/>
      <c r="F298" s="387"/>
      <c r="G298" s="387"/>
      <c r="H298" s="387"/>
      <c r="I298" s="387"/>
      <c r="J298" s="387"/>
    </row>
    <row r="299" spans="1:10" s="385" customFormat="1" ht="14.25" x14ac:dyDescent="0.2">
      <c r="A299" s="391"/>
      <c r="B299" s="391"/>
      <c r="C299" s="391"/>
      <c r="D299" s="391"/>
      <c r="E299" s="391"/>
      <c r="F299" s="386"/>
      <c r="G299" s="386"/>
      <c r="H299" s="386"/>
      <c r="I299" s="386"/>
      <c r="J299" s="386"/>
    </row>
    <row r="300" spans="1:10" s="385" customFormat="1" ht="14.25" x14ac:dyDescent="0.2">
      <c r="A300" s="391"/>
      <c r="B300" s="391"/>
      <c r="C300" s="391"/>
      <c r="D300" s="391"/>
      <c r="E300" s="391"/>
      <c r="F300" s="389"/>
      <c r="G300" s="389"/>
      <c r="H300" s="389"/>
      <c r="I300" s="389"/>
      <c r="J300" s="389"/>
    </row>
    <row r="301" spans="1:10" s="385" customFormat="1" ht="14.25" x14ac:dyDescent="0.2">
      <c r="A301" s="391"/>
      <c r="B301" s="391"/>
      <c r="C301" s="391"/>
      <c r="D301" s="391"/>
      <c r="E301" s="391"/>
      <c r="F301" s="387"/>
      <c r="G301" s="387"/>
      <c r="H301" s="387"/>
      <c r="I301" s="387"/>
      <c r="J301" s="387"/>
    </row>
    <row r="302" spans="1:10" s="385" customFormat="1" ht="14.25" x14ac:dyDescent="0.2">
      <c r="A302" s="391"/>
      <c r="B302" s="391"/>
      <c r="C302" s="391"/>
      <c r="D302" s="391"/>
      <c r="E302" s="391"/>
      <c r="F302" s="389"/>
      <c r="G302" s="389"/>
      <c r="H302" s="389"/>
      <c r="I302" s="389"/>
      <c r="J302" s="389"/>
    </row>
    <row r="303" spans="1:10" s="385" customFormat="1" ht="14.25" x14ac:dyDescent="0.2">
      <c r="A303" s="391"/>
      <c r="B303" s="391"/>
      <c r="C303" s="391"/>
      <c r="D303" s="391"/>
      <c r="E303" s="391"/>
      <c r="F303" s="387"/>
      <c r="G303" s="387"/>
      <c r="H303" s="387"/>
      <c r="I303" s="387"/>
      <c r="J303" s="387"/>
    </row>
    <row r="304" spans="1:10" s="385" customFormat="1" ht="14.25" x14ac:dyDescent="0.2">
      <c r="A304" s="391"/>
      <c r="B304" s="391"/>
      <c r="C304" s="391"/>
      <c r="D304" s="391"/>
      <c r="E304" s="391"/>
      <c r="F304" s="387"/>
      <c r="G304" s="387"/>
      <c r="H304" s="387"/>
      <c r="I304" s="387"/>
      <c r="J304" s="387"/>
    </row>
    <row r="305" spans="1:10" s="385" customFormat="1" ht="14.25" x14ac:dyDescent="0.2">
      <c r="A305" s="391"/>
      <c r="B305" s="391"/>
      <c r="C305" s="391"/>
      <c r="D305" s="391"/>
      <c r="E305" s="391"/>
      <c r="F305" s="389"/>
      <c r="G305" s="389"/>
      <c r="H305" s="389"/>
      <c r="I305" s="389"/>
      <c r="J305" s="389"/>
    </row>
    <row r="306" spans="1:10" s="385" customFormat="1" ht="14.25" x14ac:dyDescent="0.2">
      <c r="A306" s="391"/>
      <c r="B306" s="391"/>
      <c r="C306" s="391"/>
      <c r="D306" s="391"/>
      <c r="E306" s="391"/>
      <c r="F306" s="389"/>
      <c r="G306" s="389"/>
      <c r="H306" s="389"/>
      <c r="I306" s="389"/>
      <c r="J306" s="389"/>
    </row>
    <row r="307" spans="1:10" s="385" customFormat="1" ht="14.25" x14ac:dyDescent="0.2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</row>
    <row r="308" spans="1:10" s="385" customFormat="1" ht="14.25" x14ac:dyDescent="0.2">
      <c r="A308" s="391"/>
      <c r="B308" s="391"/>
      <c r="C308" s="391"/>
      <c r="D308" s="391"/>
      <c r="E308" s="391"/>
      <c r="F308" s="389"/>
      <c r="G308" s="389"/>
      <c r="H308" s="389"/>
      <c r="I308" s="389"/>
      <c r="J308" s="389"/>
    </row>
    <row r="309" spans="1:10" s="385" customFormat="1" ht="14.25" x14ac:dyDescent="0.2">
      <c r="A309" s="391"/>
      <c r="B309" s="391"/>
      <c r="C309" s="391"/>
      <c r="D309" s="391"/>
      <c r="E309" s="391"/>
      <c r="F309" s="389"/>
      <c r="G309" s="389"/>
      <c r="H309" s="389"/>
      <c r="I309" s="389"/>
      <c r="J309" s="389"/>
    </row>
    <row r="310" spans="1:10" s="385" customFormat="1" ht="14.25" x14ac:dyDescent="0.2">
      <c r="A310" s="391"/>
      <c r="B310" s="391"/>
      <c r="C310" s="391"/>
      <c r="D310" s="391"/>
      <c r="E310" s="391"/>
      <c r="F310" s="387"/>
      <c r="G310" s="387"/>
      <c r="H310" s="387"/>
      <c r="I310" s="387"/>
      <c r="J310" s="387"/>
    </row>
    <row r="311" spans="1:10" s="385" customFormat="1" ht="14.25" x14ac:dyDescent="0.2">
      <c r="A311" s="391"/>
      <c r="B311" s="391"/>
      <c r="C311" s="391"/>
      <c r="D311" s="391"/>
      <c r="E311" s="391"/>
      <c r="F311" s="387"/>
      <c r="G311" s="387"/>
      <c r="H311" s="387"/>
      <c r="I311" s="387"/>
      <c r="J311" s="387"/>
    </row>
    <row r="312" spans="1:10" s="385" customFormat="1" ht="14.25" x14ac:dyDescent="0.2">
      <c r="A312" s="391"/>
      <c r="B312" s="391"/>
      <c r="C312" s="391"/>
      <c r="D312" s="391"/>
      <c r="E312" s="391"/>
      <c r="F312" s="387"/>
      <c r="G312" s="387"/>
      <c r="H312" s="387"/>
      <c r="I312" s="387"/>
      <c r="J312" s="387"/>
    </row>
    <row r="313" spans="1:10" s="385" customFormat="1" ht="14.25" x14ac:dyDescent="0.2">
      <c r="A313" s="391"/>
      <c r="B313" s="391"/>
      <c r="C313" s="391"/>
      <c r="D313" s="391"/>
      <c r="E313" s="391"/>
      <c r="F313" s="387"/>
      <c r="G313" s="387"/>
      <c r="H313" s="387"/>
      <c r="I313" s="387"/>
      <c r="J313" s="387"/>
    </row>
    <row r="314" spans="1:10" s="385" customFormat="1" ht="14.25" x14ac:dyDescent="0.2">
      <c r="A314" s="391"/>
      <c r="B314" s="391"/>
      <c r="C314" s="391"/>
      <c r="D314" s="391"/>
      <c r="E314" s="391"/>
      <c r="F314" s="387"/>
      <c r="G314" s="387"/>
      <c r="H314" s="387"/>
      <c r="I314" s="387"/>
      <c r="J314" s="387"/>
    </row>
    <row r="315" spans="1:10" s="385" customFormat="1" ht="14.25" x14ac:dyDescent="0.2">
      <c r="A315" s="391"/>
      <c r="B315" s="391"/>
      <c r="C315" s="391"/>
      <c r="D315" s="391"/>
      <c r="E315" s="391"/>
      <c r="F315" s="392"/>
      <c r="G315" s="392"/>
      <c r="H315" s="392"/>
      <c r="I315" s="392"/>
      <c r="J315" s="392"/>
    </row>
    <row r="316" spans="1:10" s="385" customFormat="1" ht="14.25" x14ac:dyDescent="0.2">
      <c r="A316" s="391"/>
      <c r="B316" s="391"/>
      <c r="C316" s="391"/>
      <c r="D316" s="391"/>
      <c r="E316" s="391"/>
      <c r="F316" s="392"/>
      <c r="G316" s="392"/>
      <c r="H316" s="392"/>
      <c r="I316" s="392"/>
      <c r="J316" s="392"/>
    </row>
    <row r="317" spans="1:10" s="385" customFormat="1" ht="14.25" x14ac:dyDescent="0.2">
      <c r="A317" s="391"/>
      <c r="B317" s="391"/>
      <c r="C317" s="391"/>
      <c r="D317" s="391"/>
      <c r="E317" s="391"/>
      <c r="F317" s="387"/>
      <c r="G317" s="387"/>
      <c r="H317" s="387"/>
      <c r="I317" s="387"/>
      <c r="J317" s="387"/>
    </row>
    <row r="318" spans="1:10" s="385" customFormat="1" ht="14.25" x14ac:dyDescent="0.2">
      <c r="A318" s="391"/>
      <c r="B318" s="391"/>
      <c r="C318" s="391"/>
      <c r="D318" s="391"/>
      <c r="E318" s="391"/>
      <c r="F318" s="389"/>
      <c r="G318" s="389"/>
      <c r="H318" s="389"/>
      <c r="I318" s="389"/>
      <c r="J318" s="389"/>
    </row>
    <row r="319" spans="1:10" s="385" customFormat="1" ht="14.25" x14ac:dyDescent="0.2">
      <c r="A319" s="391"/>
      <c r="B319" s="391"/>
      <c r="C319" s="391"/>
      <c r="D319" s="391"/>
      <c r="E319" s="391"/>
      <c r="F319" s="392"/>
      <c r="G319" s="392"/>
      <c r="H319" s="392"/>
      <c r="I319" s="392"/>
      <c r="J319" s="392"/>
    </row>
    <row r="320" spans="1:10" s="385" customFormat="1" ht="14.25" x14ac:dyDescent="0.2">
      <c r="A320" s="391"/>
      <c r="B320" s="391"/>
      <c r="C320" s="391"/>
      <c r="D320" s="391"/>
      <c r="E320" s="391"/>
      <c r="F320" s="387"/>
      <c r="G320" s="387"/>
      <c r="H320" s="387"/>
      <c r="I320" s="387"/>
      <c r="J320" s="387"/>
    </row>
    <row r="321" spans="1:10" s="385" customFormat="1" ht="14.25" x14ac:dyDescent="0.2">
      <c r="A321" s="391"/>
      <c r="B321" s="391"/>
      <c r="C321" s="391"/>
      <c r="D321" s="391"/>
      <c r="E321" s="391"/>
      <c r="F321" s="392"/>
      <c r="G321" s="392"/>
      <c r="H321" s="392"/>
      <c r="I321" s="392"/>
      <c r="J321" s="392"/>
    </row>
    <row r="322" spans="1:10" s="385" customFormat="1" ht="14.25" x14ac:dyDescent="0.2">
      <c r="A322" s="391"/>
      <c r="B322" s="391"/>
      <c r="C322" s="391"/>
      <c r="D322" s="391"/>
      <c r="E322" s="391"/>
      <c r="F322" s="392"/>
      <c r="G322" s="392"/>
      <c r="H322" s="392"/>
      <c r="I322" s="392"/>
      <c r="J322" s="392"/>
    </row>
    <row r="323" spans="1:10" s="385" customFormat="1" ht="14.25" x14ac:dyDescent="0.2">
      <c r="A323" s="391"/>
      <c r="B323" s="391"/>
      <c r="C323" s="391"/>
      <c r="D323" s="391"/>
      <c r="E323" s="391"/>
      <c r="F323" s="387"/>
      <c r="G323" s="387"/>
      <c r="H323" s="387"/>
      <c r="I323" s="387"/>
      <c r="J323" s="387"/>
    </row>
    <row r="324" spans="1:10" s="385" customFormat="1" ht="14.25" x14ac:dyDescent="0.2">
      <c r="A324" s="391"/>
      <c r="B324" s="391"/>
      <c r="C324" s="391"/>
      <c r="D324" s="391"/>
      <c r="E324" s="391"/>
      <c r="F324" s="387"/>
      <c r="G324" s="387"/>
      <c r="H324" s="387"/>
      <c r="I324" s="387"/>
      <c r="J324" s="387"/>
    </row>
    <row r="325" spans="1:10" s="385" customFormat="1" ht="14.25" x14ac:dyDescent="0.2">
      <c r="A325" s="391"/>
      <c r="B325" s="391"/>
      <c r="C325" s="391"/>
      <c r="D325" s="391"/>
      <c r="E325" s="391"/>
      <c r="F325" s="387"/>
      <c r="G325" s="387"/>
      <c r="H325" s="387"/>
      <c r="I325" s="387"/>
      <c r="J325" s="387"/>
    </row>
    <row r="326" spans="1:10" s="385" customFormat="1" ht="14.25" x14ac:dyDescent="0.2">
      <c r="A326" s="391"/>
      <c r="B326" s="391"/>
      <c r="C326" s="391"/>
      <c r="D326" s="391"/>
      <c r="E326" s="391"/>
      <c r="F326" s="387"/>
      <c r="G326" s="387"/>
      <c r="H326" s="387"/>
      <c r="I326" s="387"/>
      <c r="J326" s="387"/>
    </row>
    <row r="327" spans="1:10" s="385" customFormat="1" ht="14.25" x14ac:dyDescent="0.2">
      <c r="A327" s="391"/>
      <c r="B327" s="391"/>
      <c r="C327" s="391"/>
      <c r="D327" s="391"/>
      <c r="E327" s="391"/>
      <c r="F327" s="387"/>
      <c r="G327" s="387"/>
      <c r="H327" s="387"/>
      <c r="I327" s="387"/>
      <c r="J327" s="387"/>
    </row>
    <row r="328" spans="1:10" s="385" customFormat="1" ht="14.25" x14ac:dyDescent="0.2">
      <c r="A328" s="391"/>
      <c r="B328" s="391"/>
      <c r="C328" s="391"/>
      <c r="D328" s="391"/>
      <c r="E328" s="391"/>
      <c r="F328" s="387"/>
      <c r="G328" s="387"/>
      <c r="H328" s="387"/>
      <c r="I328" s="387"/>
      <c r="J328" s="387"/>
    </row>
    <row r="329" spans="1:10" s="385" customFormat="1" ht="14.25" x14ac:dyDescent="0.2">
      <c r="A329" s="391"/>
      <c r="B329" s="391"/>
      <c r="C329" s="391"/>
      <c r="D329" s="391"/>
      <c r="E329" s="391"/>
      <c r="F329" s="387"/>
      <c r="G329" s="387"/>
      <c r="H329" s="387"/>
      <c r="I329" s="387"/>
      <c r="J329" s="387"/>
    </row>
    <row r="330" spans="1:10" s="385" customFormat="1" ht="14.25" x14ac:dyDescent="0.2">
      <c r="A330" s="391"/>
      <c r="B330" s="391"/>
      <c r="C330" s="391"/>
      <c r="D330" s="391"/>
      <c r="E330" s="391"/>
      <c r="F330" s="392"/>
      <c r="G330" s="392"/>
      <c r="H330" s="392"/>
      <c r="I330" s="392"/>
      <c r="J330" s="392"/>
    </row>
    <row r="331" spans="1:10" s="385" customFormat="1" ht="14.25" x14ac:dyDescent="0.2">
      <c r="A331" s="391"/>
      <c r="B331" s="391"/>
      <c r="C331" s="391"/>
      <c r="D331" s="391"/>
      <c r="E331" s="391"/>
      <c r="F331" s="392"/>
      <c r="G331" s="392"/>
      <c r="H331" s="392"/>
      <c r="I331" s="392"/>
      <c r="J331" s="392"/>
    </row>
    <row r="332" spans="1:10" s="385" customFormat="1" ht="14.25" x14ac:dyDescent="0.2">
      <c r="A332" s="391"/>
      <c r="B332" s="391"/>
      <c r="C332" s="391"/>
      <c r="D332" s="391"/>
      <c r="E332" s="391"/>
      <c r="F332" s="387"/>
      <c r="G332" s="387"/>
      <c r="H332" s="387"/>
      <c r="I332" s="387"/>
      <c r="J332" s="387"/>
    </row>
    <row r="333" spans="1:10" s="385" customFormat="1" ht="14.25" x14ac:dyDescent="0.2">
      <c r="A333" s="391"/>
      <c r="B333" s="391"/>
      <c r="C333" s="391"/>
      <c r="D333" s="391"/>
      <c r="E333" s="391"/>
      <c r="F333" s="387"/>
      <c r="G333" s="387"/>
      <c r="H333" s="387"/>
      <c r="I333" s="387"/>
      <c r="J333" s="387"/>
    </row>
    <row r="334" spans="1:10" s="385" customFormat="1" ht="14.25" x14ac:dyDescent="0.2">
      <c r="A334" s="391"/>
      <c r="B334" s="391"/>
      <c r="C334" s="391"/>
      <c r="D334" s="391"/>
      <c r="E334" s="391"/>
      <c r="F334" s="387"/>
      <c r="G334" s="387"/>
      <c r="H334" s="387"/>
      <c r="I334" s="387"/>
      <c r="J334" s="387"/>
    </row>
    <row r="335" spans="1:10" s="385" customFormat="1" ht="14.25" x14ac:dyDescent="0.2">
      <c r="A335" s="391"/>
      <c r="B335" s="391"/>
      <c r="C335" s="391"/>
      <c r="D335" s="391"/>
      <c r="E335" s="391"/>
      <c r="F335" s="387"/>
      <c r="G335" s="387"/>
      <c r="H335" s="387"/>
      <c r="I335" s="387"/>
      <c r="J335" s="387"/>
    </row>
    <row r="336" spans="1:10" s="385" customFormat="1" ht="14.25" x14ac:dyDescent="0.2">
      <c r="A336" s="391"/>
      <c r="B336" s="391"/>
      <c r="C336" s="391"/>
      <c r="D336" s="391"/>
      <c r="E336" s="391"/>
      <c r="F336" s="387"/>
      <c r="G336" s="387"/>
      <c r="H336" s="387"/>
      <c r="I336" s="387"/>
      <c r="J336" s="387"/>
    </row>
    <row r="337" spans="1:10" s="385" customFormat="1" ht="14.25" x14ac:dyDescent="0.2">
      <c r="A337" s="391"/>
      <c r="B337" s="391"/>
      <c r="C337" s="391"/>
      <c r="D337" s="391"/>
      <c r="E337" s="391"/>
      <c r="F337" s="387"/>
      <c r="G337" s="387"/>
      <c r="H337" s="387"/>
      <c r="I337" s="387"/>
      <c r="J337" s="387"/>
    </row>
    <row r="338" spans="1:10" s="385" customFormat="1" ht="14.25" x14ac:dyDescent="0.2">
      <c r="A338" s="391"/>
      <c r="B338" s="391"/>
      <c r="C338" s="391"/>
      <c r="D338" s="391"/>
      <c r="E338" s="391"/>
      <c r="F338" s="387"/>
      <c r="G338" s="387"/>
      <c r="H338" s="387"/>
      <c r="I338" s="387"/>
      <c r="J338" s="387"/>
    </row>
    <row r="339" spans="1:10" s="385" customFormat="1" ht="14.25" x14ac:dyDescent="0.2">
      <c r="A339" s="391"/>
      <c r="B339" s="391"/>
      <c r="C339" s="391"/>
      <c r="D339" s="391"/>
      <c r="E339" s="391"/>
      <c r="F339" s="387"/>
      <c r="G339" s="387"/>
      <c r="H339" s="387"/>
      <c r="I339" s="387"/>
      <c r="J339" s="387"/>
    </row>
    <row r="340" spans="1:10" s="385" customFormat="1" ht="14.25" x14ac:dyDescent="0.2">
      <c r="A340" s="391"/>
      <c r="B340" s="391"/>
      <c r="C340" s="391"/>
      <c r="D340" s="391"/>
      <c r="E340" s="391"/>
      <c r="F340" s="387"/>
      <c r="G340" s="387"/>
      <c r="H340" s="387"/>
      <c r="I340" s="387"/>
      <c r="J340" s="387"/>
    </row>
    <row r="341" spans="1:10" s="385" customFormat="1" ht="14.25" x14ac:dyDescent="0.2">
      <c r="A341" s="391"/>
      <c r="B341" s="391"/>
      <c r="C341" s="391"/>
      <c r="D341" s="391"/>
      <c r="E341" s="391"/>
      <c r="F341" s="387"/>
      <c r="G341" s="387"/>
      <c r="H341" s="387"/>
      <c r="I341" s="387"/>
      <c r="J341" s="387"/>
    </row>
    <row r="342" spans="1:10" s="385" customFormat="1" ht="14.25" x14ac:dyDescent="0.2">
      <c r="A342" s="391"/>
      <c r="B342" s="391"/>
      <c r="C342" s="391"/>
      <c r="D342" s="391"/>
      <c r="E342" s="391"/>
      <c r="F342" s="387"/>
      <c r="G342" s="387"/>
      <c r="H342" s="387"/>
      <c r="I342" s="387"/>
      <c r="J342" s="387"/>
    </row>
    <row r="343" spans="1:10" s="385" customFormat="1" ht="14.25" x14ac:dyDescent="0.2">
      <c r="A343" s="391"/>
      <c r="B343" s="391"/>
      <c r="C343" s="391"/>
      <c r="D343" s="391"/>
      <c r="E343" s="391"/>
      <c r="F343" s="387"/>
      <c r="G343" s="387"/>
      <c r="H343" s="387"/>
      <c r="I343" s="387"/>
      <c r="J343" s="387"/>
    </row>
    <row r="344" spans="1:10" s="385" customFormat="1" ht="14.25" x14ac:dyDescent="0.2">
      <c r="A344" s="391"/>
      <c r="B344" s="391"/>
      <c r="C344" s="391"/>
      <c r="D344" s="391"/>
      <c r="E344" s="391"/>
      <c r="F344" s="387"/>
      <c r="G344" s="387"/>
      <c r="H344" s="387"/>
      <c r="I344" s="387"/>
      <c r="J344" s="387"/>
    </row>
    <row r="345" spans="1:10" s="385" customFormat="1" ht="14.25" x14ac:dyDescent="0.2">
      <c r="A345" s="391"/>
      <c r="B345" s="391"/>
      <c r="C345" s="391"/>
      <c r="D345" s="391"/>
      <c r="E345" s="391"/>
      <c r="F345" s="387"/>
      <c r="G345" s="387"/>
      <c r="H345" s="387"/>
      <c r="I345" s="387"/>
      <c r="J345" s="387"/>
    </row>
    <row r="346" spans="1:10" s="385" customFormat="1" ht="14.25" x14ac:dyDescent="0.2">
      <c r="A346" s="391"/>
      <c r="B346" s="391"/>
      <c r="C346" s="391"/>
      <c r="D346" s="391"/>
      <c r="E346" s="391"/>
      <c r="F346" s="387"/>
      <c r="G346" s="387"/>
      <c r="H346" s="387"/>
      <c r="I346" s="387"/>
      <c r="J346" s="387"/>
    </row>
    <row r="347" spans="1:10" s="385" customFormat="1" ht="14.25" x14ac:dyDescent="0.2">
      <c r="A347" s="391"/>
      <c r="B347" s="391"/>
      <c r="C347" s="391"/>
      <c r="D347" s="391"/>
      <c r="E347" s="391"/>
      <c r="F347" s="387"/>
      <c r="G347" s="387"/>
      <c r="H347" s="387"/>
      <c r="I347" s="387"/>
      <c r="J347" s="387"/>
    </row>
    <row r="348" spans="1:10" s="385" customFormat="1" ht="14.25" x14ac:dyDescent="0.2">
      <c r="A348" s="391"/>
      <c r="B348" s="391"/>
      <c r="C348" s="391"/>
      <c r="D348" s="391"/>
      <c r="E348" s="391"/>
      <c r="F348" s="387"/>
      <c r="G348" s="387"/>
      <c r="H348" s="387"/>
      <c r="I348" s="387"/>
      <c r="J348" s="387"/>
    </row>
    <row r="349" spans="1:10" s="385" customFormat="1" ht="14.25" x14ac:dyDescent="0.2">
      <c r="A349" s="391"/>
      <c r="B349" s="391"/>
      <c r="C349" s="391"/>
      <c r="D349" s="391"/>
      <c r="E349" s="391"/>
      <c r="F349" s="387"/>
      <c r="G349" s="387"/>
      <c r="H349" s="387"/>
      <c r="I349" s="387"/>
      <c r="J349" s="387"/>
    </row>
    <row r="350" spans="1:10" s="385" customFormat="1" ht="14.25" x14ac:dyDescent="0.2">
      <c r="A350" s="391"/>
      <c r="B350" s="391"/>
      <c r="C350" s="391"/>
      <c r="D350" s="391"/>
      <c r="E350" s="391"/>
      <c r="F350" s="387"/>
      <c r="G350" s="387"/>
      <c r="H350" s="387"/>
      <c r="I350" s="387"/>
      <c r="J350" s="387"/>
    </row>
    <row r="351" spans="1:10" s="385" customFormat="1" ht="14.25" x14ac:dyDescent="0.2">
      <c r="A351" s="391"/>
      <c r="B351" s="391"/>
      <c r="C351" s="391"/>
      <c r="D351" s="391"/>
      <c r="E351" s="391"/>
      <c r="F351" s="387"/>
      <c r="G351" s="387"/>
      <c r="H351" s="387"/>
      <c r="I351" s="387"/>
      <c r="J351" s="387"/>
    </row>
    <row r="352" spans="1:10" s="385" customFormat="1" ht="14.25" x14ac:dyDescent="0.2">
      <c r="A352" s="391"/>
      <c r="B352" s="391"/>
      <c r="C352" s="391"/>
      <c r="D352" s="391"/>
      <c r="E352" s="391"/>
      <c r="F352" s="387"/>
      <c r="G352" s="387"/>
      <c r="H352" s="387"/>
      <c r="I352" s="387"/>
      <c r="J352" s="387"/>
    </row>
    <row r="353" spans="1:10" s="385" customFormat="1" ht="14.25" x14ac:dyDescent="0.2">
      <c r="A353" s="391"/>
      <c r="B353" s="391"/>
      <c r="C353" s="391"/>
      <c r="D353" s="391"/>
      <c r="E353" s="391"/>
      <c r="F353" s="387"/>
      <c r="G353" s="387"/>
      <c r="H353" s="387"/>
      <c r="I353" s="387"/>
      <c r="J353" s="387"/>
    </row>
    <row r="354" spans="1:10" s="385" customFormat="1" ht="14.25" x14ac:dyDescent="0.2">
      <c r="A354" s="391"/>
      <c r="B354" s="391"/>
      <c r="C354" s="391"/>
      <c r="D354" s="391"/>
      <c r="E354" s="391"/>
      <c r="F354" s="387"/>
      <c r="G354" s="387"/>
      <c r="H354" s="387"/>
      <c r="I354" s="387"/>
      <c r="J354" s="387"/>
    </row>
    <row r="355" spans="1:10" s="385" customFormat="1" ht="14.25" x14ac:dyDescent="0.2">
      <c r="A355" s="391"/>
      <c r="B355" s="391"/>
      <c r="C355" s="391"/>
      <c r="D355" s="391"/>
      <c r="E355" s="391"/>
      <c r="F355" s="387"/>
      <c r="G355" s="387"/>
      <c r="H355" s="387"/>
      <c r="I355" s="387"/>
      <c r="J355" s="387"/>
    </row>
    <row r="356" spans="1:10" s="385" customFormat="1" ht="14.25" x14ac:dyDescent="0.2">
      <c r="A356" s="391"/>
      <c r="B356" s="391"/>
      <c r="C356" s="391"/>
      <c r="D356" s="391"/>
      <c r="E356" s="391"/>
      <c r="F356" s="387"/>
      <c r="G356" s="387"/>
      <c r="H356" s="387"/>
      <c r="I356" s="387"/>
      <c r="J356" s="387"/>
    </row>
    <row r="357" spans="1:10" s="385" customFormat="1" ht="14.25" x14ac:dyDescent="0.2">
      <c r="A357" s="391"/>
      <c r="B357" s="391"/>
      <c r="C357" s="391"/>
      <c r="D357" s="391"/>
      <c r="E357" s="391"/>
      <c r="F357" s="387"/>
      <c r="G357" s="387"/>
      <c r="H357" s="387"/>
      <c r="I357" s="387"/>
      <c r="J357" s="387"/>
    </row>
    <row r="358" spans="1:10" s="385" customFormat="1" ht="14.25" x14ac:dyDescent="0.2">
      <c r="A358" s="391"/>
      <c r="B358" s="391"/>
      <c r="C358" s="391"/>
      <c r="D358" s="391"/>
      <c r="E358" s="391"/>
      <c r="F358" s="387"/>
      <c r="G358" s="387"/>
      <c r="H358" s="387"/>
      <c r="I358" s="387"/>
      <c r="J358" s="387"/>
    </row>
    <row r="359" spans="1:10" s="385" customFormat="1" ht="14.25" x14ac:dyDescent="0.2">
      <c r="A359" s="391"/>
      <c r="B359" s="391"/>
      <c r="C359" s="391"/>
      <c r="D359" s="391"/>
      <c r="E359" s="391"/>
      <c r="F359" s="386"/>
      <c r="G359" s="386"/>
      <c r="H359" s="386"/>
      <c r="I359" s="386"/>
      <c r="J359" s="386"/>
    </row>
    <row r="360" spans="1:10" s="385" customFormat="1" ht="14.25" x14ac:dyDescent="0.2">
      <c r="A360" s="391"/>
      <c r="B360" s="391"/>
      <c r="C360" s="391"/>
      <c r="D360" s="391"/>
      <c r="E360" s="391"/>
      <c r="F360" s="386"/>
      <c r="G360" s="386"/>
      <c r="H360" s="386"/>
      <c r="I360" s="386"/>
      <c r="J360" s="386"/>
    </row>
    <row r="361" spans="1:10" s="385" customFormat="1" ht="14.25" x14ac:dyDescent="0.2">
      <c r="A361" s="391"/>
      <c r="B361" s="391"/>
      <c r="C361" s="391"/>
      <c r="D361" s="391"/>
      <c r="E361" s="391"/>
      <c r="F361" s="386"/>
      <c r="G361" s="386"/>
      <c r="H361" s="386"/>
      <c r="I361" s="386"/>
      <c r="J361" s="386"/>
    </row>
    <row r="362" spans="1:10" s="385" customFormat="1" ht="14.25" x14ac:dyDescent="0.2">
      <c r="A362" s="391"/>
      <c r="B362" s="391"/>
      <c r="C362" s="391"/>
      <c r="D362" s="391"/>
      <c r="E362" s="391"/>
      <c r="F362" s="387"/>
      <c r="G362" s="387"/>
      <c r="H362" s="387"/>
      <c r="I362" s="387"/>
      <c r="J362" s="387"/>
    </row>
    <row r="363" spans="1:10" s="385" customFormat="1" ht="14.25" x14ac:dyDescent="0.2">
      <c r="A363" s="391"/>
      <c r="B363" s="391"/>
      <c r="C363" s="391"/>
      <c r="D363" s="391"/>
      <c r="E363" s="391"/>
      <c r="F363" s="387"/>
      <c r="G363" s="387"/>
      <c r="H363" s="387"/>
      <c r="I363" s="387"/>
      <c r="J363" s="387"/>
    </row>
    <row r="364" spans="1:10" s="385" customFormat="1" ht="14.25" x14ac:dyDescent="0.2">
      <c r="A364" s="391"/>
      <c r="B364" s="391"/>
      <c r="C364" s="391"/>
      <c r="D364" s="391"/>
      <c r="E364" s="391"/>
      <c r="F364" s="386"/>
      <c r="G364" s="386"/>
      <c r="H364" s="386"/>
      <c r="I364" s="386"/>
      <c r="J364" s="386"/>
    </row>
    <row r="365" spans="1:10" s="385" customFormat="1" ht="14.25" x14ac:dyDescent="0.2">
      <c r="A365" s="391"/>
      <c r="B365" s="391"/>
      <c r="C365" s="391"/>
      <c r="D365" s="391"/>
      <c r="E365" s="391"/>
      <c r="F365" s="386"/>
      <c r="G365" s="386"/>
      <c r="H365" s="386"/>
      <c r="I365" s="386"/>
      <c r="J365" s="386"/>
    </row>
    <row r="366" spans="1:10" s="385" customFormat="1" ht="14.25" x14ac:dyDescent="0.2">
      <c r="A366" s="391"/>
      <c r="B366" s="391"/>
      <c r="C366" s="391"/>
      <c r="D366" s="391"/>
      <c r="E366" s="391"/>
      <c r="F366" s="386"/>
      <c r="G366" s="386"/>
      <c r="H366" s="386"/>
      <c r="I366" s="386"/>
      <c r="J366" s="386"/>
    </row>
    <row r="367" spans="1:10" s="385" customFormat="1" ht="14.25" x14ac:dyDescent="0.2">
      <c r="A367" s="391"/>
      <c r="B367" s="391"/>
      <c r="C367" s="391"/>
      <c r="D367" s="391"/>
      <c r="E367" s="391"/>
      <c r="F367" s="387"/>
      <c r="G367" s="387"/>
      <c r="H367" s="387"/>
      <c r="I367" s="387"/>
      <c r="J367" s="387"/>
    </row>
    <row r="368" spans="1:10" s="385" customFormat="1" ht="14.25" x14ac:dyDescent="0.2">
      <c r="A368" s="391"/>
      <c r="B368" s="391"/>
      <c r="C368" s="391"/>
      <c r="D368" s="391"/>
      <c r="E368" s="391"/>
      <c r="F368" s="387"/>
      <c r="G368" s="387"/>
      <c r="H368" s="387"/>
      <c r="I368" s="387"/>
      <c r="J368" s="387"/>
    </row>
    <row r="369" spans="1:10" s="385" customFormat="1" ht="14.25" x14ac:dyDescent="0.2">
      <c r="A369" s="391"/>
      <c r="B369" s="391"/>
      <c r="C369" s="391"/>
      <c r="D369" s="391"/>
      <c r="E369" s="391"/>
      <c r="F369" s="387"/>
      <c r="G369" s="387"/>
      <c r="H369" s="387"/>
      <c r="I369" s="387"/>
      <c r="J369" s="387"/>
    </row>
    <row r="370" spans="1:10" s="385" customFormat="1" ht="14.25" x14ac:dyDescent="0.2">
      <c r="A370" s="391"/>
      <c r="B370" s="391"/>
      <c r="C370" s="391"/>
      <c r="D370" s="391"/>
      <c r="E370" s="391"/>
      <c r="F370" s="388"/>
      <c r="G370" s="388"/>
      <c r="H370" s="388"/>
      <c r="I370" s="388"/>
      <c r="J370" s="388"/>
    </row>
    <row r="371" spans="1:10" s="385" customFormat="1" ht="14.25" x14ac:dyDescent="0.2">
      <c r="A371" s="383"/>
      <c r="B371" s="383"/>
      <c r="C371" s="383"/>
      <c r="D371" s="383"/>
      <c r="E371" s="383"/>
      <c r="F371" s="388"/>
      <c r="G371" s="388"/>
      <c r="H371" s="388"/>
      <c r="I371" s="388"/>
      <c r="J371" s="388"/>
    </row>
    <row r="372" spans="1:10" s="385" customFormat="1" ht="14.25" x14ac:dyDescent="0.2">
      <c r="A372" s="383"/>
      <c r="B372" s="383"/>
      <c r="C372" s="383"/>
      <c r="D372" s="383"/>
      <c r="E372" s="383"/>
      <c r="F372" s="388"/>
      <c r="G372" s="388"/>
      <c r="H372" s="388"/>
      <c r="I372" s="388"/>
      <c r="J372" s="388"/>
    </row>
    <row r="373" spans="1:10" s="385" customFormat="1" ht="14.25" x14ac:dyDescent="0.2">
      <c r="A373" s="383"/>
      <c r="B373" s="383"/>
      <c r="C373" s="383"/>
      <c r="D373" s="383"/>
      <c r="E373" s="383"/>
      <c r="F373" s="388"/>
      <c r="G373" s="388"/>
      <c r="H373" s="388"/>
      <c r="I373" s="388"/>
      <c r="J373" s="388"/>
    </row>
    <row r="374" spans="1:10" s="385" customFormat="1" ht="14.25" x14ac:dyDescent="0.2">
      <c r="A374" s="383"/>
      <c r="B374" s="383"/>
      <c r="C374" s="383"/>
      <c r="D374" s="383"/>
      <c r="E374" s="383"/>
      <c r="F374" s="388"/>
      <c r="G374" s="388"/>
      <c r="H374" s="388"/>
      <c r="I374" s="388"/>
      <c r="J374" s="388"/>
    </row>
    <row r="375" spans="1:10" s="385" customFormat="1" ht="14.25" x14ac:dyDescent="0.2">
      <c r="A375" s="383"/>
      <c r="B375" s="383"/>
      <c r="C375" s="383"/>
      <c r="D375" s="383"/>
      <c r="E375" s="383"/>
      <c r="F375" s="388"/>
      <c r="G375" s="388"/>
      <c r="H375" s="388"/>
      <c r="I375" s="388"/>
      <c r="J375" s="388"/>
    </row>
    <row r="376" spans="1:10" s="385" customFormat="1" ht="14.25" x14ac:dyDescent="0.2">
      <c r="A376" s="383"/>
      <c r="B376" s="383"/>
      <c r="C376" s="383"/>
      <c r="D376" s="383"/>
      <c r="E376" s="383"/>
      <c r="F376" s="388"/>
      <c r="G376" s="388"/>
      <c r="H376" s="388"/>
      <c r="I376" s="388"/>
      <c r="J376" s="388"/>
    </row>
    <row r="377" spans="1:10" s="385" customFormat="1" ht="14.25" x14ac:dyDescent="0.2">
      <c r="A377" s="383"/>
      <c r="B377" s="383"/>
      <c r="C377" s="383"/>
      <c r="D377" s="383"/>
      <c r="E377" s="383"/>
      <c r="F377" s="388"/>
      <c r="G377" s="388"/>
      <c r="H377" s="388"/>
      <c r="I377" s="388"/>
      <c r="J377" s="388"/>
    </row>
    <row r="378" spans="1:10" s="385" customFormat="1" ht="14.25" x14ac:dyDescent="0.2">
      <c r="A378" s="383"/>
      <c r="B378" s="383"/>
      <c r="C378" s="383"/>
      <c r="D378" s="383"/>
      <c r="E378" s="383"/>
      <c r="F378" s="388"/>
      <c r="G378" s="388"/>
      <c r="H378" s="388"/>
      <c r="I378" s="388"/>
      <c r="J378" s="388"/>
    </row>
    <row r="379" spans="1:10" s="385" customFormat="1" ht="14.25" x14ac:dyDescent="0.2">
      <c r="A379" s="383"/>
      <c r="B379" s="383"/>
      <c r="C379" s="383"/>
      <c r="D379" s="383"/>
      <c r="E379" s="383"/>
      <c r="F379" s="389"/>
      <c r="G379" s="389"/>
      <c r="H379" s="389"/>
      <c r="I379" s="389"/>
      <c r="J379" s="389"/>
    </row>
    <row r="380" spans="1:10" s="385" customFormat="1" ht="14.25" x14ac:dyDescent="0.2">
      <c r="A380" s="383"/>
      <c r="B380" s="383"/>
      <c r="C380" s="383"/>
      <c r="D380" s="383"/>
      <c r="E380" s="383"/>
      <c r="F380" s="389"/>
      <c r="G380" s="389"/>
      <c r="H380" s="389"/>
      <c r="I380" s="389"/>
      <c r="J380" s="389"/>
    </row>
    <row r="381" spans="1:10" s="385" customFormat="1" ht="14.25" x14ac:dyDescent="0.2">
      <c r="A381" s="383"/>
      <c r="B381" s="383"/>
      <c r="C381" s="383"/>
      <c r="D381" s="383"/>
      <c r="E381" s="383"/>
      <c r="F381" s="389"/>
      <c r="G381" s="389"/>
      <c r="H381" s="389"/>
      <c r="I381" s="389"/>
      <c r="J381" s="389"/>
    </row>
    <row r="382" spans="1:10" s="385" customFormat="1" ht="14.25" x14ac:dyDescent="0.2">
      <c r="A382" s="383"/>
      <c r="B382" s="383"/>
      <c r="C382" s="383"/>
      <c r="D382" s="383"/>
      <c r="E382" s="383"/>
      <c r="F382" s="389"/>
      <c r="G382" s="389"/>
      <c r="H382" s="389"/>
      <c r="I382" s="389"/>
      <c r="J382" s="389"/>
    </row>
    <row r="383" spans="1:10" s="385" customFormat="1" ht="14.25" x14ac:dyDescent="0.2">
      <c r="A383" s="383"/>
      <c r="B383" s="383"/>
      <c r="C383" s="383"/>
      <c r="D383" s="383"/>
      <c r="E383" s="383"/>
      <c r="F383" s="388"/>
      <c r="G383" s="388"/>
      <c r="H383" s="388"/>
      <c r="I383" s="388"/>
      <c r="J383" s="388"/>
    </row>
    <row r="384" spans="1:10" s="385" customFormat="1" ht="14.25" x14ac:dyDescent="0.2">
      <c r="A384" s="383"/>
      <c r="B384" s="383"/>
      <c r="C384" s="383"/>
      <c r="D384" s="383"/>
      <c r="E384" s="383"/>
      <c r="F384" s="388"/>
      <c r="G384" s="388"/>
      <c r="H384" s="388"/>
      <c r="I384" s="388"/>
      <c r="J384" s="388"/>
    </row>
    <row r="385" spans="1:10" s="385" customFormat="1" ht="14.25" x14ac:dyDescent="0.2">
      <c r="A385" s="383"/>
      <c r="B385" s="383"/>
      <c r="C385" s="383"/>
      <c r="D385" s="383"/>
      <c r="E385" s="383"/>
      <c r="F385" s="388"/>
      <c r="G385" s="388"/>
      <c r="H385" s="388"/>
      <c r="I385" s="388"/>
      <c r="J385" s="388"/>
    </row>
    <row r="386" spans="1:10" s="385" customFormat="1" ht="14.25" x14ac:dyDescent="0.2">
      <c r="A386" s="383"/>
      <c r="B386" s="383"/>
      <c r="C386" s="383"/>
      <c r="D386" s="383"/>
      <c r="E386" s="383"/>
      <c r="F386" s="387"/>
      <c r="G386" s="387"/>
      <c r="H386" s="387"/>
      <c r="I386" s="387"/>
      <c r="J386" s="387"/>
    </row>
    <row r="387" spans="1:10" s="385" customFormat="1" ht="14.25" x14ac:dyDescent="0.2">
      <c r="A387" s="383"/>
      <c r="B387" s="383"/>
      <c r="C387" s="383"/>
      <c r="D387" s="383"/>
      <c r="E387" s="383"/>
      <c r="F387" s="388"/>
      <c r="G387" s="388"/>
      <c r="H387" s="388"/>
      <c r="I387" s="388"/>
      <c r="J387" s="388"/>
    </row>
    <row r="388" spans="1:10" s="385" customFormat="1" ht="14.25" x14ac:dyDescent="0.2">
      <c r="A388" s="383"/>
      <c r="B388" s="383"/>
      <c r="C388" s="383"/>
      <c r="D388" s="383"/>
      <c r="E388" s="383"/>
      <c r="F388" s="388"/>
      <c r="G388" s="388"/>
      <c r="H388" s="388"/>
      <c r="I388" s="388"/>
      <c r="J388" s="388"/>
    </row>
    <row r="389" spans="1:10" s="385" customFormat="1" ht="14.25" x14ac:dyDescent="0.2">
      <c r="A389" s="383"/>
      <c r="B389" s="383"/>
      <c r="C389" s="383"/>
      <c r="D389" s="383"/>
      <c r="E389" s="383"/>
      <c r="F389" s="384"/>
      <c r="G389" s="384"/>
      <c r="H389" s="384"/>
      <c r="I389" s="384"/>
      <c r="J389" s="384"/>
    </row>
    <row r="390" spans="1:10" s="385" customFormat="1" ht="14.25" x14ac:dyDescent="0.2">
      <c r="A390" s="383"/>
      <c r="B390" s="383"/>
      <c r="C390" s="383"/>
      <c r="D390" s="383"/>
      <c r="E390" s="383"/>
      <c r="F390" s="384"/>
      <c r="G390" s="384"/>
      <c r="H390" s="384"/>
      <c r="I390" s="384"/>
      <c r="J390" s="384"/>
    </row>
    <row r="391" spans="1:10" s="385" customFormat="1" ht="14.25" x14ac:dyDescent="0.2">
      <c r="A391" s="383"/>
      <c r="B391" s="383"/>
      <c r="C391" s="383"/>
      <c r="D391" s="383"/>
      <c r="E391" s="383"/>
      <c r="F391" s="384"/>
      <c r="G391" s="384"/>
      <c r="H391" s="384"/>
      <c r="I391" s="384"/>
      <c r="J391" s="384"/>
    </row>
    <row r="392" spans="1:10" s="385" customFormat="1" ht="14.25" x14ac:dyDescent="0.2">
      <c r="A392" s="383"/>
      <c r="B392" s="383"/>
      <c r="C392" s="383"/>
      <c r="D392" s="383"/>
      <c r="E392" s="383"/>
      <c r="F392" s="384"/>
      <c r="G392" s="384"/>
      <c r="H392" s="384"/>
      <c r="I392" s="384"/>
      <c r="J392" s="384"/>
    </row>
    <row r="393" spans="1:10" s="385" customFormat="1" ht="14.25" x14ac:dyDescent="0.2">
      <c r="A393" s="383"/>
      <c r="B393" s="383"/>
      <c r="C393" s="383"/>
      <c r="D393" s="383"/>
      <c r="E393" s="383"/>
      <c r="F393" s="384"/>
      <c r="G393" s="384"/>
      <c r="H393" s="384"/>
      <c r="I393" s="384"/>
      <c r="J393" s="384"/>
    </row>
    <row r="394" spans="1:10" s="385" customFormat="1" ht="14.25" x14ac:dyDescent="0.2">
      <c r="A394" s="383"/>
      <c r="B394" s="383"/>
      <c r="C394" s="383"/>
      <c r="D394" s="383"/>
      <c r="E394" s="383"/>
      <c r="F394" s="384"/>
      <c r="G394" s="384"/>
      <c r="H394" s="384"/>
      <c r="I394" s="384"/>
      <c r="J394" s="384"/>
    </row>
    <row r="395" spans="1:10" s="385" customFormat="1" ht="14.25" x14ac:dyDescent="0.2">
      <c r="A395" s="383"/>
      <c r="B395" s="383"/>
      <c r="C395" s="383"/>
      <c r="D395" s="383"/>
      <c r="E395" s="383"/>
      <c r="F395" s="384"/>
      <c r="G395" s="384"/>
      <c r="H395" s="384"/>
      <c r="I395" s="384"/>
      <c r="J395" s="384"/>
    </row>
    <row r="396" spans="1:10" s="385" customFormat="1" ht="14.25" x14ac:dyDescent="0.2">
      <c r="A396" s="383"/>
      <c r="B396" s="383"/>
      <c r="C396" s="383"/>
      <c r="D396" s="383"/>
      <c r="E396" s="383"/>
      <c r="F396" s="386"/>
      <c r="G396" s="386"/>
      <c r="H396" s="386"/>
      <c r="I396" s="386"/>
      <c r="J396" s="386"/>
    </row>
    <row r="397" spans="1:10" s="385" customFormat="1" ht="14.25" x14ac:dyDescent="0.2">
      <c r="A397" s="383"/>
      <c r="B397" s="383"/>
      <c r="C397" s="383"/>
      <c r="D397" s="383"/>
      <c r="E397" s="383"/>
      <c r="F397" s="384"/>
      <c r="G397" s="384"/>
      <c r="H397" s="384"/>
      <c r="I397" s="384"/>
      <c r="J397" s="384"/>
    </row>
    <row r="398" spans="1:10" s="385" customFormat="1" ht="14.25" x14ac:dyDescent="0.2">
      <c r="A398" s="383"/>
      <c r="B398" s="383"/>
      <c r="C398" s="383"/>
      <c r="D398" s="383"/>
      <c r="E398" s="383"/>
      <c r="F398" s="384"/>
      <c r="G398" s="384"/>
      <c r="H398" s="384"/>
      <c r="I398" s="384"/>
      <c r="J398" s="384"/>
    </row>
    <row r="399" spans="1:10" s="385" customFormat="1" ht="14.25" x14ac:dyDescent="0.2">
      <c r="A399" s="383"/>
      <c r="B399" s="383"/>
      <c r="C399" s="383"/>
      <c r="D399" s="383"/>
      <c r="E399" s="383"/>
      <c r="F399" s="384"/>
      <c r="G399" s="384"/>
      <c r="H399" s="384"/>
      <c r="I399" s="384"/>
      <c r="J399" s="384"/>
    </row>
    <row r="400" spans="1:10" s="385" customFormat="1" ht="14.25" x14ac:dyDescent="0.2">
      <c r="A400" s="383"/>
      <c r="B400" s="383"/>
      <c r="C400" s="383"/>
      <c r="D400" s="383"/>
      <c r="E400" s="383"/>
      <c r="F400" s="387"/>
      <c r="G400" s="387"/>
      <c r="H400" s="387"/>
      <c r="I400" s="387"/>
      <c r="J400" s="387"/>
    </row>
    <row r="401" spans="1:10" s="385" customFormat="1" ht="14.25" x14ac:dyDescent="0.2">
      <c r="A401" s="383"/>
      <c r="B401" s="383"/>
      <c r="C401" s="383"/>
      <c r="D401" s="383"/>
      <c r="E401" s="383"/>
      <c r="F401" s="384"/>
      <c r="G401" s="384"/>
      <c r="H401" s="384"/>
      <c r="I401" s="384"/>
      <c r="J401" s="384"/>
    </row>
    <row r="402" spans="1:10" s="385" customFormat="1" ht="14.25" x14ac:dyDescent="0.2">
      <c r="A402" s="383"/>
      <c r="B402" s="383"/>
      <c r="C402" s="383"/>
      <c r="D402" s="383"/>
      <c r="E402" s="383"/>
      <c r="F402" s="386"/>
      <c r="G402" s="386"/>
      <c r="H402" s="386"/>
      <c r="I402" s="386"/>
      <c r="J402" s="386"/>
    </row>
    <row r="403" spans="1:10" s="385" customFormat="1" ht="14.25" x14ac:dyDescent="0.2">
      <c r="A403" s="383"/>
      <c r="B403" s="383"/>
      <c r="C403" s="383"/>
      <c r="D403" s="383"/>
      <c r="E403" s="383"/>
      <c r="F403" s="388"/>
      <c r="G403" s="388"/>
      <c r="H403" s="388"/>
      <c r="I403" s="388"/>
      <c r="J403" s="388"/>
    </row>
    <row r="404" spans="1:10" s="385" customFormat="1" ht="14.25" x14ac:dyDescent="0.2">
      <c r="A404" s="383"/>
      <c r="B404" s="383"/>
      <c r="C404" s="383"/>
      <c r="D404" s="383"/>
      <c r="E404" s="383"/>
      <c r="F404" s="388"/>
      <c r="G404" s="388"/>
      <c r="H404" s="388"/>
      <c r="I404" s="388"/>
      <c r="J404" s="388"/>
    </row>
    <row r="405" spans="1:10" s="385" customFormat="1" ht="14.25" x14ac:dyDescent="0.2">
      <c r="A405" s="383"/>
      <c r="B405" s="383"/>
      <c r="C405" s="383"/>
      <c r="D405" s="383"/>
      <c r="E405" s="383"/>
      <c r="F405" s="388"/>
      <c r="G405" s="388"/>
      <c r="H405" s="388"/>
      <c r="I405" s="388"/>
      <c r="J405" s="388"/>
    </row>
    <row r="406" spans="1:10" s="385" customFormat="1" ht="14.25" x14ac:dyDescent="0.2">
      <c r="A406" s="383"/>
      <c r="B406" s="383"/>
      <c r="C406" s="383"/>
      <c r="D406" s="383"/>
      <c r="E406" s="383"/>
      <c r="F406" s="388"/>
      <c r="G406" s="388"/>
      <c r="H406" s="388"/>
      <c r="I406" s="388"/>
      <c r="J406" s="388"/>
    </row>
    <row r="407" spans="1:10" s="385" customFormat="1" ht="14.25" x14ac:dyDescent="0.2">
      <c r="A407" s="383"/>
      <c r="B407" s="383"/>
      <c r="C407" s="383"/>
      <c r="D407" s="383"/>
      <c r="E407" s="383"/>
      <c r="F407" s="388"/>
      <c r="G407" s="388"/>
      <c r="H407" s="388"/>
      <c r="I407" s="388"/>
      <c r="J407" s="388"/>
    </row>
    <row r="408" spans="1:10" s="385" customFormat="1" ht="14.25" x14ac:dyDescent="0.2">
      <c r="A408" s="383"/>
      <c r="B408" s="383"/>
      <c r="C408" s="383"/>
      <c r="D408" s="383"/>
      <c r="E408" s="383"/>
      <c r="F408" s="388"/>
      <c r="G408" s="388"/>
      <c r="H408" s="388"/>
      <c r="I408" s="388"/>
      <c r="J408" s="388"/>
    </row>
    <row r="409" spans="1:10" s="385" customFormat="1" ht="14.25" x14ac:dyDescent="0.2">
      <c r="A409" s="383"/>
      <c r="B409" s="383"/>
      <c r="C409" s="383"/>
      <c r="D409" s="383"/>
      <c r="E409" s="383"/>
      <c r="F409" s="384"/>
      <c r="G409" s="384"/>
      <c r="H409" s="384"/>
      <c r="I409" s="384"/>
      <c r="J409" s="384"/>
    </row>
    <row r="410" spans="1:10" s="385" customFormat="1" ht="14.25" x14ac:dyDescent="0.2">
      <c r="A410" s="383"/>
      <c r="B410" s="383"/>
      <c r="C410" s="383"/>
      <c r="D410" s="383"/>
      <c r="E410" s="383"/>
      <c r="F410" s="387"/>
      <c r="G410" s="387"/>
      <c r="H410" s="387"/>
      <c r="I410" s="387"/>
      <c r="J410" s="387"/>
    </row>
    <row r="411" spans="1:10" s="385" customFormat="1" ht="14.25" x14ac:dyDescent="0.2">
      <c r="A411" s="383"/>
      <c r="B411" s="383"/>
      <c r="C411" s="383"/>
      <c r="D411" s="383"/>
      <c r="E411" s="383"/>
      <c r="F411" s="387"/>
      <c r="G411" s="387"/>
      <c r="H411" s="387"/>
      <c r="I411" s="387"/>
      <c r="J411" s="387"/>
    </row>
    <row r="412" spans="1:10" s="385" customFormat="1" ht="14.25" x14ac:dyDescent="0.2">
      <c r="A412" s="383"/>
      <c r="B412" s="383"/>
      <c r="C412" s="383"/>
      <c r="D412" s="383"/>
      <c r="E412" s="383"/>
      <c r="F412" s="387"/>
      <c r="G412" s="387"/>
      <c r="H412" s="387"/>
      <c r="I412" s="387"/>
      <c r="J412" s="387"/>
    </row>
    <row r="413" spans="1:10" s="385" customFormat="1" ht="14.25" x14ac:dyDescent="0.2">
      <c r="A413" s="383"/>
      <c r="B413" s="383"/>
      <c r="C413" s="383"/>
      <c r="D413" s="383"/>
      <c r="E413" s="383"/>
      <c r="F413" s="387"/>
      <c r="G413" s="387"/>
      <c r="H413" s="387"/>
      <c r="I413" s="387"/>
      <c r="J413" s="387"/>
    </row>
    <row r="414" spans="1:10" s="385" customFormat="1" ht="14.25" x14ac:dyDescent="0.2">
      <c r="A414" s="383"/>
      <c r="B414" s="383"/>
      <c r="C414" s="383"/>
      <c r="D414" s="383"/>
      <c r="E414" s="383"/>
      <c r="F414" s="387"/>
      <c r="G414" s="387"/>
      <c r="H414" s="387"/>
      <c r="I414" s="387"/>
      <c r="J414" s="387"/>
    </row>
    <row r="415" spans="1:10" s="385" customFormat="1" ht="14.25" x14ac:dyDescent="0.2">
      <c r="A415" s="383"/>
      <c r="B415" s="383"/>
      <c r="C415" s="383"/>
      <c r="D415" s="383"/>
      <c r="E415" s="383"/>
      <c r="F415" s="387"/>
      <c r="G415" s="387"/>
      <c r="H415" s="387"/>
      <c r="I415" s="387"/>
      <c r="J415" s="387"/>
    </row>
    <row r="416" spans="1:10" s="385" customFormat="1" ht="14.25" x14ac:dyDescent="0.2">
      <c r="A416" s="383"/>
      <c r="B416" s="383"/>
      <c r="C416" s="383"/>
      <c r="D416" s="383"/>
      <c r="E416" s="383"/>
      <c r="F416" s="386"/>
      <c r="G416" s="386"/>
      <c r="H416" s="386"/>
      <c r="I416" s="386"/>
      <c r="J416" s="386"/>
    </row>
    <row r="417" spans="1:10" s="385" customFormat="1" ht="14.25" x14ac:dyDescent="0.2">
      <c r="A417" s="383"/>
      <c r="B417" s="383"/>
      <c r="C417" s="383"/>
      <c r="D417" s="383"/>
      <c r="E417" s="383"/>
      <c r="F417" s="386"/>
      <c r="G417" s="386"/>
      <c r="H417" s="386"/>
      <c r="I417" s="386"/>
      <c r="J417" s="386"/>
    </row>
    <row r="418" spans="1:10" s="385" customFormat="1" ht="14.25" x14ac:dyDescent="0.2">
      <c r="A418" s="383"/>
      <c r="B418" s="383"/>
      <c r="C418" s="383"/>
      <c r="D418" s="383"/>
      <c r="E418" s="383"/>
      <c r="F418" s="386"/>
      <c r="G418" s="386"/>
      <c r="H418" s="386"/>
      <c r="I418" s="386"/>
      <c r="J418" s="386"/>
    </row>
    <row r="419" spans="1:10" s="385" customFormat="1" ht="14.25" x14ac:dyDescent="0.2">
      <c r="A419" s="383"/>
      <c r="B419" s="383"/>
      <c r="C419" s="383"/>
      <c r="D419" s="383"/>
      <c r="E419" s="383"/>
      <c r="F419" s="386"/>
      <c r="G419" s="386"/>
      <c r="H419" s="386"/>
      <c r="I419" s="386"/>
      <c r="J419" s="386"/>
    </row>
    <row r="420" spans="1:10" s="385" customFormat="1" ht="14.25" x14ac:dyDescent="0.2">
      <c r="A420" s="383"/>
      <c r="B420" s="383"/>
      <c r="C420" s="383"/>
      <c r="D420" s="383"/>
      <c r="E420" s="383"/>
      <c r="F420" s="388"/>
      <c r="G420" s="388"/>
      <c r="H420" s="388"/>
      <c r="I420" s="388"/>
      <c r="J420" s="388"/>
    </row>
    <row r="421" spans="1:10" s="385" customFormat="1" ht="14.25" x14ac:dyDescent="0.2">
      <c r="A421" s="383"/>
      <c r="B421" s="383"/>
      <c r="C421" s="383"/>
      <c r="D421" s="383"/>
      <c r="E421" s="383"/>
      <c r="F421" s="388"/>
      <c r="G421" s="388"/>
      <c r="H421" s="388"/>
      <c r="I421" s="388"/>
      <c r="J421" s="388"/>
    </row>
    <row r="422" spans="1:10" s="385" customFormat="1" ht="14.25" x14ac:dyDescent="0.2">
      <c r="A422" s="383"/>
      <c r="B422" s="383"/>
      <c r="C422" s="383"/>
      <c r="D422" s="383"/>
      <c r="E422" s="383"/>
      <c r="F422" s="388"/>
      <c r="G422" s="388"/>
      <c r="H422" s="388"/>
      <c r="I422" s="388"/>
      <c r="J422" s="388"/>
    </row>
    <row r="423" spans="1:10" s="385" customFormat="1" ht="14.25" x14ac:dyDescent="0.2">
      <c r="A423" s="383"/>
      <c r="B423" s="383"/>
      <c r="C423" s="383"/>
      <c r="D423" s="383"/>
      <c r="E423" s="383"/>
      <c r="F423" s="387"/>
      <c r="G423" s="387"/>
      <c r="H423" s="387"/>
      <c r="I423" s="387"/>
      <c r="J423" s="387"/>
    </row>
    <row r="424" spans="1:10" s="385" customFormat="1" ht="14.25" x14ac:dyDescent="0.2">
      <c r="A424" s="383"/>
      <c r="B424" s="383"/>
      <c r="C424" s="383"/>
      <c r="D424" s="383"/>
      <c r="E424" s="383"/>
      <c r="F424" s="387"/>
      <c r="G424" s="387"/>
      <c r="H424" s="387"/>
      <c r="I424" s="387"/>
      <c r="J424" s="387"/>
    </row>
    <row r="425" spans="1:10" s="385" customFormat="1" ht="14.25" x14ac:dyDescent="0.2">
      <c r="A425" s="383"/>
      <c r="B425" s="383"/>
      <c r="C425" s="383"/>
      <c r="D425" s="383"/>
      <c r="E425" s="383"/>
      <c r="F425" s="388"/>
      <c r="G425" s="388"/>
      <c r="H425" s="388"/>
      <c r="I425" s="388"/>
      <c r="J425" s="388"/>
    </row>
    <row r="426" spans="1:10" s="385" customFormat="1" ht="14.25" x14ac:dyDescent="0.2">
      <c r="A426" s="383"/>
      <c r="B426" s="383"/>
      <c r="C426" s="383"/>
      <c r="D426" s="383"/>
      <c r="E426" s="383"/>
      <c r="F426" s="388"/>
      <c r="G426" s="388"/>
      <c r="H426" s="388"/>
      <c r="I426" s="388"/>
      <c r="J426" s="388"/>
    </row>
    <row r="427" spans="1:10" s="385" customFormat="1" ht="14.25" x14ac:dyDescent="0.2">
      <c r="A427" s="383"/>
      <c r="B427" s="383"/>
      <c r="C427" s="383"/>
      <c r="D427" s="383"/>
      <c r="E427" s="383"/>
      <c r="F427" s="387"/>
      <c r="G427" s="387"/>
      <c r="H427" s="387"/>
      <c r="I427" s="387"/>
      <c r="J427" s="387"/>
    </row>
    <row r="428" spans="1:10" s="385" customFormat="1" ht="14.25" x14ac:dyDescent="0.2">
      <c r="A428" s="383"/>
      <c r="B428" s="383"/>
      <c r="C428" s="383"/>
      <c r="D428" s="383"/>
      <c r="E428" s="383"/>
      <c r="F428" s="387"/>
      <c r="G428" s="387"/>
      <c r="H428" s="387"/>
      <c r="I428" s="387"/>
      <c r="J428" s="387"/>
    </row>
    <row r="429" spans="1:10" s="385" customFormat="1" ht="14.25" x14ac:dyDescent="0.2">
      <c r="A429" s="383"/>
      <c r="B429" s="383"/>
      <c r="C429" s="383"/>
      <c r="D429" s="383"/>
      <c r="E429" s="383"/>
      <c r="F429" s="387"/>
      <c r="G429" s="387"/>
      <c r="H429" s="387"/>
      <c r="I429" s="387"/>
      <c r="J429" s="387"/>
    </row>
    <row r="430" spans="1:10" s="385" customFormat="1" ht="14.25" x14ac:dyDescent="0.2">
      <c r="A430" s="383"/>
      <c r="B430" s="383"/>
      <c r="C430" s="383"/>
      <c r="D430" s="383"/>
      <c r="E430" s="383"/>
      <c r="F430" s="387"/>
      <c r="G430" s="387"/>
      <c r="H430" s="387"/>
      <c r="I430" s="387"/>
      <c r="J430" s="387"/>
    </row>
    <row r="431" spans="1:10" s="385" customFormat="1" ht="14.25" x14ac:dyDescent="0.2">
      <c r="A431" s="383"/>
      <c r="B431" s="383"/>
      <c r="C431" s="383"/>
      <c r="D431" s="383"/>
      <c r="E431" s="383"/>
      <c r="F431" s="387"/>
      <c r="G431" s="387"/>
      <c r="H431" s="387"/>
      <c r="I431" s="387"/>
      <c r="J431" s="387"/>
    </row>
    <row r="432" spans="1:10" s="385" customFormat="1" ht="14.25" x14ac:dyDescent="0.2">
      <c r="A432" s="383"/>
      <c r="B432" s="383"/>
      <c r="C432" s="383"/>
      <c r="D432" s="383"/>
      <c r="E432" s="383"/>
      <c r="F432" s="387"/>
      <c r="G432" s="387"/>
      <c r="H432" s="387"/>
      <c r="I432" s="387"/>
      <c r="J432" s="387"/>
    </row>
    <row r="433" spans="1:10" s="385" customFormat="1" ht="14.25" x14ac:dyDescent="0.2">
      <c r="A433" s="383"/>
      <c r="B433" s="383"/>
      <c r="C433" s="383"/>
      <c r="D433" s="383"/>
      <c r="E433" s="383"/>
      <c r="F433" s="389"/>
      <c r="G433" s="389"/>
      <c r="H433" s="389"/>
      <c r="I433" s="389"/>
      <c r="J433" s="389"/>
    </row>
    <row r="434" spans="1:10" s="385" customFormat="1" ht="14.25" x14ac:dyDescent="0.2">
      <c r="A434" s="383"/>
      <c r="B434" s="383"/>
      <c r="C434" s="383"/>
      <c r="D434" s="383"/>
      <c r="E434" s="383"/>
      <c r="F434" s="389"/>
      <c r="G434" s="389"/>
      <c r="H434" s="389"/>
      <c r="I434" s="389"/>
      <c r="J434" s="389"/>
    </row>
    <row r="435" spans="1:10" s="385" customFormat="1" ht="14.25" x14ac:dyDescent="0.2">
      <c r="A435" s="383"/>
      <c r="B435" s="383"/>
      <c r="C435" s="383"/>
      <c r="D435" s="383"/>
      <c r="E435" s="383"/>
      <c r="F435" s="389"/>
      <c r="G435" s="389"/>
      <c r="H435" s="389"/>
      <c r="I435" s="389"/>
      <c r="J435" s="389"/>
    </row>
    <row r="436" spans="1:10" s="385" customFormat="1" ht="14.25" x14ac:dyDescent="0.2">
      <c r="A436" s="383"/>
      <c r="B436" s="383"/>
      <c r="C436" s="383"/>
      <c r="D436" s="383"/>
      <c r="E436" s="383"/>
      <c r="F436" s="389"/>
      <c r="G436" s="389"/>
      <c r="H436" s="389"/>
      <c r="I436" s="389"/>
      <c r="J436" s="389"/>
    </row>
    <row r="437" spans="1:10" s="385" customFormat="1" ht="14.25" x14ac:dyDescent="0.2">
      <c r="A437" s="390"/>
      <c r="B437" s="390"/>
      <c r="C437" s="390"/>
      <c r="D437" s="390"/>
      <c r="E437" s="390"/>
      <c r="F437" s="388"/>
      <c r="G437" s="388"/>
      <c r="H437" s="388"/>
      <c r="I437" s="388"/>
      <c r="J437" s="388"/>
    </row>
    <row r="438" spans="1:10" s="385" customFormat="1" ht="14.25" x14ac:dyDescent="0.2">
      <c r="A438" s="390"/>
      <c r="B438" s="390"/>
      <c r="C438" s="390"/>
      <c r="D438" s="390"/>
      <c r="E438" s="390"/>
      <c r="F438" s="389"/>
      <c r="G438" s="389"/>
      <c r="H438" s="389"/>
      <c r="I438" s="389"/>
      <c r="J438" s="389"/>
    </row>
    <row r="439" spans="1:10" s="385" customFormat="1" ht="14.25" x14ac:dyDescent="0.2">
      <c r="A439" s="390"/>
      <c r="B439" s="390"/>
      <c r="C439" s="390"/>
      <c r="D439" s="390"/>
      <c r="E439" s="390"/>
      <c r="F439" s="388"/>
      <c r="G439" s="388"/>
      <c r="H439" s="388"/>
      <c r="I439" s="388"/>
      <c r="J439" s="388"/>
    </row>
    <row r="440" spans="1:10" s="385" customFormat="1" ht="14.25" x14ac:dyDescent="0.2">
      <c r="A440" s="390"/>
      <c r="B440" s="390"/>
      <c r="C440" s="390"/>
      <c r="D440" s="390"/>
      <c r="E440" s="390"/>
      <c r="F440" s="388"/>
      <c r="G440" s="388"/>
      <c r="H440" s="388"/>
      <c r="I440" s="388"/>
      <c r="J440" s="388"/>
    </row>
    <row r="441" spans="1:10" s="385" customFormat="1" ht="14.25" x14ac:dyDescent="0.2">
      <c r="A441" s="390"/>
      <c r="B441" s="390"/>
      <c r="C441" s="390"/>
      <c r="D441" s="390"/>
      <c r="E441" s="390"/>
      <c r="F441" s="388"/>
      <c r="G441" s="388"/>
      <c r="H441" s="388"/>
      <c r="I441" s="388"/>
      <c r="J441" s="388"/>
    </row>
    <row r="442" spans="1:10" s="385" customFormat="1" ht="14.25" x14ac:dyDescent="0.2">
      <c r="A442" s="390"/>
      <c r="B442" s="390"/>
      <c r="C442" s="390"/>
      <c r="D442" s="390"/>
      <c r="E442" s="390"/>
      <c r="F442" s="388"/>
      <c r="G442" s="388"/>
      <c r="H442" s="388"/>
      <c r="I442" s="388"/>
      <c r="J442" s="388"/>
    </row>
    <row r="443" spans="1:10" s="385" customFormat="1" ht="14.25" x14ac:dyDescent="0.2">
      <c r="A443" s="390"/>
      <c r="B443" s="390"/>
      <c r="C443" s="390"/>
      <c r="D443" s="390"/>
      <c r="E443" s="390"/>
      <c r="F443" s="388"/>
      <c r="G443" s="388"/>
      <c r="H443" s="388"/>
      <c r="I443" s="388"/>
      <c r="J443" s="388"/>
    </row>
    <row r="444" spans="1:10" s="385" customFormat="1" ht="14.25" x14ac:dyDescent="0.2">
      <c r="A444" s="390"/>
      <c r="B444" s="390"/>
      <c r="C444" s="390"/>
      <c r="D444" s="390"/>
      <c r="E444" s="390"/>
      <c r="F444" s="388"/>
      <c r="G444" s="388"/>
      <c r="H444" s="388"/>
      <c r="I444" s="388"/>
      <c r="J444" s="388"/>
    </row>
    <row r="445" spans="1:10" s="385" customFormat="1" ht="14.25" x14ac:dyDescent="0.2">
      <c r="A445" s="390"/>
      <c r="B445" s="390"/>
      <c r="C445" s="390"/>
      <c r="D445" s="390"/>
      <c r="E445" s="390"/>
      <c r="F445" s="387"/>
      <c r="G445" s="387"/>
      <c r="H445" s="387"/>
      <c r="I445" s="387"/>
      <c r="J445" s="387"/>
    </row>
    <row r="446" spans="1:10" s="385" customFormat="1" ht="14.25" x14ac:dyDescent="0.2">
      <c r="A446" s="390"/>
      <c r="B446" s="390"/>
      <c r="C446" s="390"/>
      <c r="D446" s="390"/>
      <c r="E446" s="390"/>
      <c r="F446" s="388"/>
      <c r="G446" s="388"/>
      <c r="H446" s="388"/>
      <c r="I446" s="388"/>
      <c r="J446" s="388"/>
    </row>
    <row r="447" spans="1:10" s="385" customFormat="1" ht="14.25" x14ac:dyDescent="0.2">
      <c r="A447" s="390"/>
      <c r="B447" s="390"/>
      <c r="C447" s="390"/>
      <c r="D447" s="390"/>
      <c r="E447" s="390"/>
      <c r="F447" s="388"/>
      <c r="G447" s="388"/>
      <c r="H447" s="388"/>
      <c r="I447" s="388"/>
      <c r="J447" s="388"/>
    </row>
    <row r="448" spans="1:10" s="385" customFormat="1" ht="14.25" x14ac:dyDescent="0.2">
      <c r="A448" s="390"/>
      <c r="B448" s="390"/>
      <c r="C448" s="390"/>
      <c r="D448" s="390"/>
      <c r="E448" s="390"/>
      <c r="F448" s="388"/>
      <c r="G448" s="388"/>
      <c r="H448" s="388"/>
      <c r="I448" s="388"/>
      <c r="J448" s="388"/>
    </row>
    <row r="449" spans="1:10" s="385" customFormat="1" ht="14.25" x14ac:dyDescent="0.2">
      <c r="A449" s="390"/>
      <c r="B449" s="390"/>
      <c r="C449" s="390"/>
      <c r="D449" s="390"/>
      <c r="E449" s="390"/>
      <c r="F449" s="387"/>
      <c r="G449" s="387"/>
      <c r="H449" s="387"/>
      <c r="I449" s="387"/>
      <c r="J449" s="387"/>
    </row>
    <row r="450" spans="1:10" s="385" customFormat="1" ht="14.25" x14ac:dyDescent="0.2">
      <c r="A450" s="390"/>
      <c r="B450" s="390"/>
      <c r="C450" s="390"/>
      <c r="D450" s="390"/>
      <c r="E450" s="390"/>
      <c r="F450" s="387"/>
      <c r="G450" s="387"/>
      <c r="H450" s="387"/>
      <c r="I450" s="387"/>
      <c r="J450" s="387"/>
    </row>
    <row r="451" spans="1:10" s="385" customFormat="1" ht="14.25" x14ac:dyDescent="0.2">
      <c r="A451" s="390"/>
      <c r="B451" s="390"/>
      <c r="C451" s="390"/>
      <c r="D451" s="390"/>
      <c r="E451" s="390"/>
      <c r="F451" s="387"/>
      <c r="G451" s="387"/>
      <c r="H451" s="387"/>
      <c r="I451" s="387"/>
      <c r="J451" s="387"/>
    </row>
    <row r="452" spans="1:10" s="385" customFormat="1" ht="14.25" x14ac:dyDescent="0.2">
      <c r="A452" s="390"/>
      <c r="B452" s="390"/>
      <c r="C452" s="390"/>
      <c r="D452" s="390"/>
      <c r="E452" s="390"/>
      <c r="F452" s="387"/>
      <c r="G452" s="387"/>
      <c r="H452" s="387"/>
      <c r="I452" s="387"/>
      <c r="J452" s="387"/>
    </row>
    <row r="453" spans="1:10" s="385" customFormat="1" ht="14.25" x14ac:dyDescent="0.2">
      <c r="A453" s="390"/>
      <c r="B453" s="390"/>
      <c r="C453" s="390"/>
      <c r="D453" s="390"/>
      <c r="E453" s="390"/>
      <c r="F453" s="387"/>
      <c r="G453" s="387"/>
      <c r="H453" s="387"/>
      <c r="I453" s="387"/>
      <c r="J453" s="387"/>
    </row>
    <row r="454" spans="1:10" s="385" customFormat="1" ht="14.25" x14ac:dyDescent="0.2">
      <c r="A454" s="390"/>
      <c r="B454" s="390"/>
      <c r="C454" s="390"/>
      <c r="D454" s="390"/>
      <c r="E454" s="390"/>
      <c r="F454" s="387"/>
      <c r="G454" s="387"/>
      <c r="H454" s="387"/>
      <c r="I454" s="387"/>
      <c r="J454" s="387"/>
    </row>
    <row r="455" spans="1:10" s="385" customFormat="1" ht="14.25" x14ac:dyDescent="0.2">
      <c r="A455" s="390"/>
      <c r="B455" s="390"/>
      <c r="C455" s="390"/>
      <c r="D455" s="390"/>
      <c r="E455" s="390"/>
      <c r="F455" s="389"/>
      <c r="G455" s="389"/>
      <c r="H455" s="389"/>
      <c r="I455" s="389"/>
      <c r="J455" s="389"/>
    </row>
    <row r="456" spans="1:10" s="385" customFormat="1" ht="14.25" x14ac:dyDescent="0.2">
      <c r="A456" s="390"/>
      <c r="B456" s="390"/>
      <c r="C456" s="390"/>
      <c r="D456" s="390"/>
      <c r="E456" s="390"/>
      <c r="F456" s="389"/>
      <c r="G456" s="389"/>
      <c r="H456" s="389"/>
      <c r="I456" s="389"/>
      <c r="J456" s="389"/>
    </row>
    <row r="457" spans="1:10" s="385" customFormat="1" ht="14.25" x14ac:dyDescent="0.2">
      <c r="A457" s="390"/>
      <c r="B457" s="390"/>
      <c r="C457" s="390"/>
      <c r="D457" s="390"/>
      <c r="E457" s="390"/>
      <c r="F457" s="389"/>
      <c r="G457" s="389"/>
      <c r="H457" s="389"/>
      <c r="I457" s="389"/>
      <c r="J457" s="389"/>
    </row>
    <row r="458" spans="1:10" s="385" customFormat="1" ht="14.25" x14ac:dyDescent="0.2">
      <c r="A458" s="390"/>
      <c r="B458" s="390"/>
      <c r="C458" s="390"/>
      <c r="D458" s="390"/>
      <c r="E458" s="390"/>
      <c r="F458" s="389"/>
      <c r="G458" s="389"/>
      <c r="H458" s="389"/>
      <c r="I458" s="389"/>
      <c r="J458" s="389"/>
    </row>
    <row r="459" spans="1:10" s="385" customFormat="1" ht="14.25" x14ac:dyDescent="0.2">
      <c r="A459" s="390"/>
      <c r="B459" s="390"/>
      <c r="C459" s="390"/>
      <c r="D459" s="390"/>
      <c r="E459" s="390"/>
      <c r="F459" s="389"/>
      <c r="G459" s="389"/>
      <c r="H459" s="389"/>
      <c r="I459" s="389"/>
      <c r="J459" s="389"/>
    </row>
    <row r="460" spans="1:10" s="385" customFormat="1" ht="14.25" x14ac:dyDescent="0.2">
      <c r="A460" s="390"/>
      <c r="B460" s="390"/>
      <c r="C460" s="390"/>
      <c r="D460" s="390"/>
      <c r="E460" s="390"/>
      <c r="F460" s="389"/>
      <c r="G460" s="389"/>
      <c r="H460" s="389"/>
      <c r="I460" s="389"/>
      <c r="J460" s="389"/>
    </row>
    <row r="461" spans="1:10" s="385" customFormat="1" ht="14.25" x14ac:dyDescent="0.2">
      <c r="A461" s="390"/>
      <c r="B461" s="390"/>
      <c r="C461" s="390"/>
      <c r="D461" s="390"/>
      <c r="E461" s="390"/>
      <c r="F461" s="387"/>
      <c r="G461" s="387"/>
      <c r="H461" s="387"/>
      <c r="I461" s="387"/>
      <c r="J461" s="387"/>
    </row>
    <row r="462" spans="1:10" s="385" customFormat="1" ht="14.25" x14ac:dyDescent="0.2">
      <c r="A462" s="390"/>
      <c r="B462" s="390"/>
      <c r="C462" s="390"/>
      <c r="D462" s="390"/>
      <c r="E462" s="390"/>
      <c r="F462" s="387"/>
      <c r="G462" s="387"/>
      <c r="H462" s="387"/>
      <c r="I462" s="387"/>
      <c r="J462" s="387"/>
    </row>
    <row r="463" spans="1:10" s="385" customFormat="1" ht="14.25" x14ac:dyDescent="0.2">
      <c r="A463" s="390"/>
      <c r="B463" s="390"/>
      <c r="C463" s="390"/>
      <c r="D463" s="390"/>
      <c r="E463" s="390"/>
      <c r="F463" s="387"/>
      <c r="G463" s="387"/>
      <c r="H463" s="387"/>
      <c r="I463" s="387"/>
      <c r="J463" s="387"/>
    </row>
    <row r="464" spans="1:10" s="385" customFormat="1" ht="14.25" x14ac:dyDescent="0.2">
      <c r="A464" s="390"/>
      <c r="B464" s="390"/>
      <c r="C464" s="390"/>
      <c r="D464" s="390"/>
      <c r="E464" s="390"/>
      <c r="F464" s="387"/>
      <c r="G464" s="387"/>
      <c r="H464" s="387"/>
      <c r="I464" s="387"/>
      <c r="J464" s="387"/>
    </row>
    <row r="465" spans="1:10" s="385" customFormat="1" ht="14.25" x14ac:dyDescent="0.2">
      <c r="A465" s="390"/>
      <c r="B465" s="390"/>
      <c r="C465" s="390"/>
      <c r="D465" s="390"/>
      <c r="E465" s="390"/>
      <c r="F465" s="387"/>
      <c r="G465" s="387"/>
      <c r="H465" s="387"/>
      <c r="I465" s="387"/>
      <c r="J465" s="387"/>
    </row>
    <row r="466" spans="1:10" s="385" customFormat="1" ht="14.25" x14ac:dyDescent="0.2">
      <c r="A466" s="390"/>
      <c r="B466" s="390"/>
      <c r="C466" s="390"/>
      <c r="D466" s="390"/>
      <c r="E466" s="390"/>
      <c r="F466" s="387"/>
      <c r="G466" s="387"/>
      <c r="H466" s="387"/>
      <c r="I466" s="387"/>
      <c r="J466" s="387"/>
    </row>
    <row r="467" spans="1:10" s="385" customFormat="1" ht="14.25" x14ac:dyDescent="0.2">
      <c r="A467" s="390"/>
      <c r="B467" s="390"/>
      <c r="C467" s="390"/>
      <c r="D467" s="390"/>
      <c r="E467" s="390"/>
      <c r="F467" s="387"/>
      <c r="G467" s="387"/>
      <c r="H467" s="387"/>
      <c r="I467" s="387"/>
      <c r="J467" s="387"/>
    </row>
    <row r="468" spans="1:10" s="385" customFormat="1" ht="14.25" x14ac:dyDescent="0.2">
      <c r="A468" s="391"/>
      <c r="B468" s="391"/>
      <c r="C468" s="391"/>
      <c r="D468" s="391"/>
      <c r="E468" s="391"/>
      <c r="F468" s="388"/>
      <c r="G468" s="388"/>
      <c r="H468" s="388"/>
      <c r="I468" s="388"/>
      <c r="J468" s="388"/>
    </row>
    <row r="469" spans="1:10" s="385" customFormat="1" ht="14.25" x14ac:dyDescent="0.2">
      <c r="A469" s="391"/>
      <c r="B469" s="391"/>
      <c r="C469" s="391"/>
      <c r="D469" s="391"/>
      <c r="E469" s="391"/>
      <c r="F469" s="388"/>
      <c r="G469" s="388"/>
      <c r="H469" s="388"/>
      <c r="I469" s="388"/>
      <c r="J469" s="388"/>
    </row>
    <row r="470" spans="1:10" s="385" customFormat="1" ht="14.25" x14ac:dyDescent="0.2">
      <c r="A470" s="391"/>
      <c r="B470" s="391"/>
      <c r="C470" s="391"/>
      <c r="D470" s="391"/>
      <c r="E470" s="391"/>
      <c r="F470" s="389"/>
      <c r="G470" s="389"/>
      <c r="H470" s="389"/>
      <c r="I470" s="389"/>
      <c r="J470" s="389"/>
    </row>
    <row r="471" spans="1:10" s="385" customFormat="1" ht="14.25" x14ac:dyDescent="0.2">
      <c r="A471" s="391"/>
      <c r="B471" s="391"/>
      <c r="C471" s="391"/>
      <c r="D471" s="391"/>
      <c r="E471" s="391"/>
      <c r="F471" s="388"/>
      <c r="G471" s="388"/>
      <c r="H471" s="388"/>
      <c r="I471" s="388"/>
      <c r="J471" s="388"/>
    </row>
    <row r="472" spans="1:10" s="385" customFormat="1" ht="14.25" x14ac:dyDescent="0.2">
      <c r="A472" s="391"/>
      <c r="B472" s="391"/>
      <c r="C472" s="391"/>
      <c r="D472" s="391"/>
      <c r="E472" s="391"/>
      <c r="F472" s="387"/>
      <c r="G472" s="387"/>
      <c r="H472" s="387"/>
      <c r="I472" s="387"/>
      <c r="J472" s="387"/>
    </row>
    <row r="473" spans="1:10" s="385" customFormat="1" ht="14.25" x14ac:dyDescent="0.2">
      <c r="A473" s="391"/>
      <c r="B473" s="391"/>
      <c r="C473" s="391"/>
      <c r="D473" s="391"/>
      <c r="E473" s="391"/>
      <c r="F473" s="387"/>
      <c r="G473" s="387"/>
      <c r="H473" s="387"/>
      <c r="I473" s="387"/>
      <c r="J473" s="387"/>
    </row>
    <row r="474" spans="1:10" s="385" customFormat="1" ht="14.25" x14ac:dyDescent="0.2">
      <c r="A474" s="391"/>
      <c r="B474" s="391"/>
      <c r="C474" s="391"/>
      <c r="D474" s="391"/>
      <c r="E474" s="391"/>
      <c r="F474" s="389"/>
      <c r="G474" s="389"/>
      <c r="H474" s="389"/>
      <c r="I474" s="389"/>
      <c r="J474" s="389"/>
    </row>
    <row r="475" spans="1:10" s="385" customFormat="1" ht="14.25" x14ac:dyDescent="0.2">
      <c r="A475" s="391"/>
      <c r="B475" s="391"/>
      <c r="C475" s="391"/>
      <c r="D475" s="391"/>
      <c r="E475" s="391"/>
      <c r="F475" s="388"/>
      <c r="G475" s="388"/>
      <c r="H475" s="388"/>
      <c r="I475" s="388"/>
      <c r="J475" s="388"/>
    </row>
    <row r="476" spans="1:10" s="385" customFormat="1" ht="14.25" x14ac:dyDescent="0.2">
      <c r="A476" s="391"/>
      <c r="B476" s="391"/>
      <c r="C476" s="391"/>
      <c r="D476" s="391"/>
      <c r="E476" s="391"/>
      <c r="F476" s="389"/>
      <c r="G476" s="389"/>
      <c r="H476" s="389"/>
      <c r="I476" s="389"/>
      <c r="J476" s="389"/>
    </row>
    <row r="477" spans="1:10" s="385" customFormat="1" ht="14.25" x14ac:dyDescent="0.2">
      <c r="A477" s="391"/>
      <c r="B477" s="391"/>
      <c r="C477" s="391"/>
      <c r="D477" s="391"/>
      <c r="E477" s="391"/>
      <c r="F477" s="389"/>
      <c r="G477" s="389"/>
      <c r="H477" s="389"/>
      <c r="I477" s="389"/>
      <c r="J477" s="389"/>
    </row>
    <row r="478" spans="1:10" s="385" customFormat="1" ht="14.25" x14ac:dyDescent="0.2">
      <c r="A478" s="391"/>
      <c r="B478" s="391"/>
      <c r="C478" s="391"/>
      <c r="D478" s="391"/>
      <c r="E478" s="391"/>
      <c r="F478" s="389"/>
      <c r="G478" s="389"/>
      <c r="H478" s="389"/>
      <c r="I478" s="389"/>
      <c r="J478" s="389"/>
    </row>
    <row r="479" spans="1:10" s="385" customFormat="1" ht="14.25" x14ac:dyDescent="0.2">
      <c r="A479" s="391"/>
      <c r="B479" s="391"/>
      <c r="C479" s="391"/>
      <c r="D479" s="391"/>
      <c r="E479" s="391"/>
      <c r="F479" s="389"/>
      <c r="G479" s="389"/>
      <c r="H479" s="389"/>
      <c r="I479" s="389"/>
      <c r="J479" s="389"/>
    </row>
    <row r="480" spans="1:10" s="385" customFormat="1" ht="14.25" x14ac:dyDescent="0.2">
      <c r="A480" s="391"/>
      <c r="B480" s="391"/>
      <c r="C480" s="391"/>
      <c r="D480" s="391"/>
      <c r="E480" s="391"/>
      <c r="F480" s="389"/>
      <c r="G480" s="389"/>
      <c r="H480" s="389"/>
      <c r="I480" s="389"/>
      <c r="J480" s="389"/>
    </row>
    <row r="481" spans="1:10" s="385" customFormat="1" ht="14.25" x14ac:dyDescent="0.2">
      <c r="A481" s="391"/>
      <c r="B481" s="391"/>
      <c r="C481" s="391"/>
      <c r="D481" s="391"/>
      <c r="E481" s="391"/>
      <c r="F481" s="389"/>
      <c r="G481" s="389"/>
      <c r="H481" s="389"/>
      <c r="I481" s="389"/>
      <c r="J481" s="389"/>
    </row>
    <row r="482" spans="1:10" s="385" customFormat="1" ht="14.25" x14ac:dyDescent="0.2">
      <c r="A482" s="391"/>
      <c r="B482" s="391"/>
      <c r="C482" s="391"/>
      <c r="D482" s="391"/>
      <c r="E482" s="391"/>
      <c r="F482" s="389"/>
      <c r="G482" s="389"/>
      <c r="H482" s="389"/>
      <c r="I482" s="389"/>
      <c r="J482" s="389"/>
    </row>
    <row r="483" spans="1:10" s="385" customFormat="1" ht="14.25" x14ac:dyDescent="0.2">
      <c r="A483" s="391"/>
      <c r="B483" s="391"/>
      <c r="C483" s="391"/>
      <c r="D483" s="391"/>
      <c r="E483" s="391"/>
      <c r="F483" s="389"/>
      <c r="G483" s="389"/>
      <c r="H483" s="389"/>
      <c r="I483" s="389"/>
      <c r="J483" s="389"/>
    </row>
    <row r="484" spans="1:10" s="385" customFormat="1" ht="14.25" x14ac:dyDescent="0.2">
      <c r="A484" s="391"/>
      <c r="B484" s="391"/>
      <c r="C484" s="391"/>
      <c r="D484" s="391"/>
      <c r="E484" s="391"/>
      <c r="F484" s="387"/>
      <c r="G484" s="387"/>
      <c r="H484" s="387"/>
      <c r="I484" s="387"/>
      <c r="J484" s="387"/>
    </row>
    <row r="485" spans="1:10" s="385" customFormat="1" ht="14.25" x14ac:dyDescent="0.2">
      <c r="A485" s="391"/>
      <c r="B485" s="391"/>
      <c r="C485" s="391"/>
      <c r="D485" s="391"/>
      <c r="E485" s="391"/>
      <c r="F485" s="387"/>
      <c r="G485" s="387"/>
      <c r="H485" s="387"/>
      <c r="I485" s="387"/>
      <c r="J485" s="387"/>
    </row>
    <row r="486" spans="1:10" s="385" customFormat="1" ht="14.25" x14ac:dyDescent="0.2">
      <c r="A486" s="391"/>
      <c r="B486" s="391"/>
      <c r="C486" s="391"/>
      <c r="D486" s="391"/>
      <c r="E486" s="391"/>
      <c r="F486" s="387"/>
      <c r="G486" s="387"/>
      <c r="H486" s="387"/>
      <c r="I486" s="387"/>
      <c r="J486" s="387"/>
    </row>
    <row r="487" spans="1:10" s="385" customFormat="1" ht="14.25" x14ac:dyDescent="0.2">
      <c r="A487" s="391"/>
      <c r="B487" s="391"/>
      <c r="C487" s="391"/>
      <c r="D487" s="391"/>
      <c r="E487" s="391"/>
      <c r="F487" s="387"/>
      <c r="G487" s="387"/>
      <c r="H487" s="387"/>
      <c r="I487" s="387"/>
      <c r="J487" s="387"/>
    </row>
    <row r="488" spans="1:10" s="385" customFormat="1" ht="14.25" x14ac:dyDescent="0.2">
      <c r="A488" s="391"/>
      <c r="B488" s="391"/>
      <c r="C488" s="391"/>
      <c r="D488" s="391"/>
      <c r="E488" s="391"/>
      <c r="F488" s="387"/>
      <c r="G488" s="387"/>
      <c r="H488" s="387"/>
      <c r="I488" s="387"/>
      <c r="J488" s="387"/>
    </row>
    <row r="489" spans="1:10" s="385" customFormat="1" ht="14.25" x14ac:dyDescent="0.2">
      <c r="A489" s="391"/>
      <c r="B489" s="391"/>
      <c r="C489" s="391"/>
      <c r="D489" s="391"/>
      <c r="E489" s="391"/>
      <c r="F489" s="387"/>
      <c r="G489" s="387"/>
      <c r="H489" s="387"/>
      <c r="I489" s="387"/>
      <c r="J489" s="387"/>
    </row>
    <row r="490" spans="1:10" s="385" customFormat="1" ht="14.25" x14ac:dyDescent="0.2">
      <c r="A490" s="391"/>
      <c r="B490" s="391"/>
      <c r="C490" s="391"/>
      <c r="D490" s="391"/>
      <c r="E490" s="391"/>
      <c r="F490" s="388"/>
      <c r="G490" s="388"/>
      <c r="H490" s="388"/>
      <c r="I490" s="388"/>
      <c r="J490" s="388"/>
    </row>
    <row r="491" spans="1:10" s="385" customFormat="1" ht="14.25" x14ac:dyDescent="0.2">
      <c r="A491" s="391"/>
      <c r="B491" s="391"/>
      <c r="C491" s="391"/>
      <c r="D491" s="391"/>
      <c r="E491" s="391"/>
      <c r="F491" s="386"/>
      <c r="G491" s="386"/>
      <c r="H491" s="386"/>
      <c r="I491" s="386"/>
      <c r="J491" s="386"/>
    </row>
    <row r="492" spans="1:10" s="385" customFormat="1" ht="14.25" x14ac:dyDescent="0.2">
      <c r="A492" s="391"/>
      <c r="B492" s="391"/>
      <c r="C492" s="391"/>
      <c r="D492" s="391"/>
      <c r="E492" s="391"/>
      <c r="F492" s="388"/>
      <c r="G492" s="388"/>
      <c r="H492" s="388"/>
      <c r="I492" s="388"/>
      <c r="J492" s="388"/>
    </row>
    <row r="493" spans="1:10" s="385" customFormat="1" ht="14.25" x14ac:dyDescent="0.2">
      <c r="A493" s="391"/>
      <c r="B493" s="391"/>
      <c r="C493" s="391"/>
      <c r="D493" s="391"/>
      <c r="E493" s="391"/>
      <c r="F493" s="388"/>
      <c r="G493" s="388"/>
      <c r="H493" s="388"/>
      <c r="I493" s="388"/>
      <c r="J493" s="388"/>
    </row>
    <row r="494" spans="1:10" s="385" customFormat="1" ht="14.25" x14ac:dyDescent="0.2">
      <c r="A494" s="391"/>
      <c r="B494" s="391"/>
      <c r="C494" s="391"/>
      <c r="D494" s="391"/>
      <c r="E494" s="391"/>
      <c r="F494" s="387"/>
      <c r="G494" s="387"/>
      <c r="H494" s="387"/>
      <c r="I494" s="387"/>
      <c r="J494" s="387"/>
    </row>
    <row r="495" spans="1:10" s="385" customFormat="1" ht="14.25" x14ac:dyDescent="0.2">
      <c r="A495" s="391"/>
      <c r="B495" s="391"/>
      <c r="C495" s="391"/>
      <c r="D495" s="391"/>
      <c r="E495" s="391"/>
      <c r="F495" s="387"/>
      <c r="G495" s="387"/>
      <c r="H495" s="387"/>
      <c r="I495" s="387"/>
      <c r="J495" s="387"/>
    </row>
    <row r="496" spans="1:10" s="385" customFormat="1" ht="14.25" x14ac:dyDescent="0.2">
      <c r="A496" s="391"/>
      <c r="B496" s="391"/>
      <c r="C496" s="391"/>
      <c r="D496" s="391"/>
      <c r="E496" s="391"/>
      <c r="F496" s="387"/>
      <c r="G496" s="387"/>
      <c r="H496" s="387"/>
      <c r="I496" s="387"/>
      <c r="J496" s="387"/>
    </row>
    <row r="497" spans="1:10" s="385" customFormat="1" ht="14.25" x14ac:dyDescent="0.2">
      <c r="A497" s="391"/>
      <c r="B497" s="391"/>
      <c r="C497" s="391"/>
      <c r="D497" s="391"/>
      <c r="E497" s="391"/>
      <c r="F497" s="387"/>
      <c r="G497" s="387"/>
      <c r="H497" s="387"/>
      <c r="I497" s="387"/>
      <c r="J497" s="387"/>
    </row>
    <row r="498" spans="1:10" s="385" customFormat="1" ht="14.25" x14ac:dyDescent="0.2">
      <c r="A498" s="391"/>
      <c r="B498" s="391"/>
      <c r="C498" s="391"/>
      <c r="D498" s="391"/>
      <c r="E498" s="391"/>
      <c r="F498" s="389"/>
      <c r="G498" s="389"/>
      <c r="H498" s="389"/>
      <c r="I498" s="389"/>
      <c r="J498" s="389"/>
    </row>
    <row r="499" spans="1:10" s="385" customFormat="1" ht="14.25" x14ac:dyDescent="0.2">
      <c r="A499" s="391"/>
      <c r="B499" s="391"/>
      <c r="C499" s="391"/>
      <c r="D499" s="391"/>
      <c r="E499" s="391"/>
      <c r="F499" s="388"/>
      <c r="G499" s="388"/>
      <c r="H499" s="388"/>
      <c r="I499" s="388"/>
      <c r="J499" s="388"/>
    </row>
    <row r="500" spans="1:10" s="385" customFormat="1" ht="14.25" x14ac:dyDescent="0.2">
      <c r="A500" s="391"/>
      <c r="B500" s="391"/>
      <c r="C500" s="391"/>
      <c r="D500" s="391"/>
      <c r="E500" s="391"/>
      <c r="F500" s="386"/>
      <c r="G500" s="386"/>
      <c r="H500" s="386"/>
      <c r="I500" s="386"/>
      <c r="J500" s="386"/>
    </row>
    <row r="501" spans="1:10" s="385" customFormat="1" ht="14.25" x14ac:dyDescent="0.2">
      <c r="A501" s="391"/>
      <c r="B501" s="391"/>
      <c r="C501" s="391"/>
      <c r="D501" s="391"/>
      <c r="E501" s="391"/>
      <c r="F501" s="389"/>
      <c r="G501" s="389"/>
      <c r="H501" s="389"/>
      <c r="I501" s="389"/>
      <c r="J501" s="389"/>
    </row>
    <row r="502" spans="1:10" s="385" customFormat="1" ht="14.25" x14ac:dyDescent="0.2">
      <c r="A502" s="391"/>
      <c r="B502" s="391"/>
      <c r="C502" s="391"/>
      <c r="D502" s="391"/>
      <c r="E502" s="391"/>
      <c r="F502" s="387"/>
      <c r="G502" s="387"/>
      <c r="H502" s="387"/>
      <c r="I502" s="387"/>
      <c r="J502" s="387"/>
    </row>
    <row r="503" spans="1:10" s="385" customFormat="1" ht="14.25" x14ac:dyDescent="0.2">
      <c r="A503" s="391"/>
      <c r="B503" s="391"/>
      <c r="C503" s="391"/>
      <c r="D503" s="391"/>
      <c r="E503" s="391"/>
      <c r="F503" s="392"/>
      <c r="G503" s="392"/>
      <c r="H503" s="392"/>
      <c r="I503" s="392"/>
      <c r="J503" s="392"/>
    </row>
    <row r="504" spans="1:10" s="385" customFormat="1" ht="14.25" x14ac:dyDescent="0.2">
      <c r="A504" s="391"/>
      <c r="B504" s="391"/>
      <c r="C504" s="391"/>
      <c r="D504" s="391"/>
      <c r="E504" s="391"/>
      <c r="F504" s="392"/>
      <c r="G504" s="392"/>
      <c r="H504" s="392"/>
      <c r="I504" s="392"/>
      <c r="J504" s="392"/>
    </row>
    <row r="505" spans="1:10" s="385" customFormat="1" ht="14.25" x14ac:dyDescent="0.2">
      <c r="A505" s="391"/>
      <c r="B505" s="391"/>
      <c r="C505" s="391"/>
      <c r="D505" s="391"/>
      <c r="E505" s="391"/>
      <c r="F505" s="392"/>
      <c r="G505" s="392"/>
      <c r="H505" s="392"/>
      <c r="I505" s="392"/>
      <c r="J505" s="392"/>
    </row>
    <row r="506" spans="1:10" s="385" customFormat="1" ht="14.25" x14ac:dyDescent="0.2">
      <c r="A506" s="391"/>
      <c r="B506" s="391"/>
      <c r="C506" s="391"/>
      <c r="D506" s="391"/>
      <c r="E506" s="391"/>
      <c r="F506" s="392"/>
      <c r="G506" s="392"/>
      <c r="H506" s="392"/>
      <c r="I506" s="392"/>
      <c r="J506" s="392"/>
    </row>
    <row r="507" spans="1:10" s="385" customFormat="1" ht="14.25" x14ac:dyDescent="0.2">
      <c r="A507" s="391"/>
      <c r="B507" s="391"/>
      <c r="C507" s="391"/>
      <c r="D507" s="391"/>
      <c r="E507" s="391"/>
      <c r="F507" s="387"/>
      <c r="G507" s="387"/>
      <c r="H507" s="387"/>
      <c r="I507" s="387"/>
      <c r="J507" s="387"/>
    </row>
    <row r="508" spans="1:10" s="385" customFormat="1" ht="14.25" x14ac:dyDescent="0.2">
      <c r="A508" s="391"/>
      <c r="B508" s="391"/>
      <c r="C508" s="391"/>
      <c r="D508" s="391"/>
      <c r="E508" s="391"/>
      <c r="F508" s="387"/>
      <c r="G508" s="387"/>
      <c r="H508" s="387"/>
      <c r="I508" s="387"/>
      <c r="J508" s="387"/>
    </row>
    <row r="509" spans="1:10" s="385" customFormat="1" ht="14.25" x14ac:dyDescent="0.2">
      <c r="A509" s="391"/>
      <c r="B509" s="391"/>
      <c r="C509" s="391"/>
      <c r="D509" s="391"/>
      <c r="E509" s="391"/>
      <c r="F509" s="387"/>
      <c r="G509" s="387"/>
      <c r="H509" s="387"/>
      <c r="I509" s="387"/>
      <c r="J509" s="387"/>
    </row>
    <row r="510" spans="1:10" s="385" customFormat="1" ht="14.25" x14ac:dyDescent="0.2">
      <c r="A510" s="391"/>
      <c r="B510" s="391"/>
      <c r="C510" s="391"/>
      <c r="D510" s="391"/>
      <c r="E510" s="391"/>
      <c r="F510" s="387"/>
      <c r="G510" s="387"/>
      <c r="H510" s="387"/>
      <c r="I510" s="387"/>
      <c r="J510" s="387"/>
    </row>
    <row r="511" spans="1:10" s="385" customFormat="1" ht="14.25" x14ac:dyDescent="0.2">
      <c r="A511" s="391"/>
      <c r="B511" s="391"/>
      <c r="C511" s="391"/>
      <c r="D511" s="391"/>
      <c r="E511" s="391"/>
      <c r="F511" s="387"/>
      <c r="G511" s="387"/>
      <c r="H511" s="387"/>
      <c r="I511" s="387"/>
      <c r="J511" s="387"/>
    </row>
    <row r="512" spans="1:10" s="385" customFormat="1" ht="14.25" x14ac:dyDescent="0.2">
      <c r="A512" s="391"/>
      <c r="B512" s="391"/>
      <c r="C512" s="391"/>
      <c r="D512" s="391"/>
      <c r="E512" s="391"/>
      <c r="F512" s="387"/>
      <c r="G512" s="387"/>
      <c r="H512" s="387"/>
      <c r="I512" s="387"/>
      <c r="J512" s="387"/>
    </row>
    <row r="513" spans="1:10" s="385" customFormat="1" ht="14.25" x14ac:dyDescent="0.2">
      <c r="A513" s="391"/>
      <c r="B513" s="391"/>
      <c r="C513" s="391"/>
      <c r="D513" s="391"/>
      <c r="E513" s="391"/>
      <c r="F513" s="387"/>
      <c r="G513" s="387"/>
      <c r="H513" s="387"/>
      <c r="I513" s="387"/>
      <c r="J513" s="387"/>
    </row>
    <row r="514" spans="1:10" s="385" customFormat="1" ht="14.25" x14ac:dyDescent="0.2">
      <c r="A514" s="391"/>
      <c r="B514" s="391"/>
      <c r="C514" s="391"/>
      <c r="D514" s="391"/>
      <c r="E514" s="391"/>
      <c r="F514" s="387"/>
      <c r="G514" s="387"/>
      <c r="H514" s="387"/>
      <c r="I514" s="387"/>
      <c r="J514" s="387"/>
    </row>
    <row r="515" spans="1:10" s="385" customFormat="1" ht="14.25" x14ac:dyDescent="0.2">
      <c r="A515" s="391"/>
      <c r="B515" s="391"/>
      <c r="C515" s="391"/>
      <c r="D515" s="391"/>
      <c r="E515" s="391"/>
      <c r="F515" s="388"/>
      <c r="G515" s="388"/>
      <c r="H515" s="388"/>
      <c r="I515" s="388"/>
      <c r="J515" s="388"/>
    </row>
    <row r="516" spans="1:10" s="385" customFormat="1" ht="14.25" x14ac:dyDescent="0.2">
      <c r="A516" s="391"/>
      <c r="B516" s="391"/>
      <c r="C516" s="391"/>
      <c r="D516" s="391"/>
      <c r="E516" s="391"/>
      <c r="F516" s="389"/>
      <c r="G516" s="389"/>
      <c r="H516" s="389"/>
      <c r="I516" s="389"/>
      <c r="J516" s="389"/>
    </row>
    <row r="517" spans="1:10" s="385" customFormat="1" ht="14.25" x14ac:dyDescent="0.2">
      <c r="A517" s="391"/>
      <c r="B517" s="391"/>
      <c r="C517" s="391"/>
      <c r="D517" s="391"/>
      <c r="E517" s="391"/>
      <c r="F517" s="388"/>
      <c r="G517" s="388"/>
      <c r="H517" s="388"/>
      <c r="I517" s="388"/>
      <c r="J517" s="388"/>
    </row>
    <row r="518" spans="1:10" s="385" customFormat="1" ht="14.25" x14ac:dyDescent="0.2">
      <c r="A518" s="391"/>
      <c r="B518" s="391"/>
      <c r="C518" s="391"/>
      <c r="D518" s="391"/>
      <c r="E518" s="391"/>
      <c r="F518" s="387"/>
      <c r="G518" s="387"/>
      <c r="H518" s="387"/>
      <c r="I518" s="387"/>
      <c r="J518" s="387"/>
    </row>
    <row r="519" spans="1:10" s="385" customFormat="1" ht="14.25" x14ac:dyDescent="0.2">
      <c r="A519" s="391"/>
      <c r="B519" s="391"/>
      <c r="C519" s="391"/>
      <c r="D519" s="391"/>
      <c r="E519" s="391"/>
      <c r="F519" s="388"/>
      <c r="G519" s="388"/>
      <c r="H519" s="388"/>
      <c r="I519" s="388"/>
      <c r="J519" s="388"/>
    </row>
    <row r="520" spans="1:10" s="385" customFormat="1" ht="14.25" x14ac:dyDescent="0.2">
      <c r="A520" s="391"/>
      <c r="B520" s="391"/>
      <c r="C520" s="391"/>
      <c r="D520" s="391"/>
      <c r="E520" s="391"/>
      <c r="F520" s="387"/>
      <c r="G520" s="387"/>
      <c r="H520" s="387"/>
      <c r="I520" s="387"/>
      <c r="J520" s="387"/>
    </row>
    <row r="521" spans="1:10" s="385" customFormat="1" ht="14.25" x14ac:dyDescent="0.2">
      <c r="A521" s="391"/>
      <c r="B521" s="391"/>
      <c r="C521" s="391"/>
      <c r="D521" s="391"/>
      <c r="E521" s="391"/>
      <c r="F521" s="387"/>
      <c r="G521" s="387"/>
      <c r="H521" s="387"/>
      <c r="I521" s="387"/>
      <c r="J521" s="387"/>
    </row>
    <row r="522" spans="1:10" s="385" customFormat="1" ht="14.25" x14ac:dyDescent="0.2">
      <c r="A522" s="391"/>
      <c r="B522" s="391"/>
      <c r="C522" s="391"/>
      <c r="D522" s="391"/>
      <c r="E522" s="391"/>
      <c r="F522" s="388"/>
      <c r="G522" s="388"/>
      <c r="H522" s="388"/>
      <c r="I522" s="388"/>
      <c r="J522" s="388"/>
    </row>
    <row r="523" spans="1:10" s="385" customFormat="1" ht="14.25" x14ac:dyDescent="0.2">
      <c r="A523" s="391"/>
      <c r="B523" s="391"/>
      <c r="C523" s="391"/>
      <c r="D523" s="391"/>
      <c r="E523" s="391"/>
      <c r="F523" s="387"/>
      <c r="G523" s="387"/>
      <c r="H523" s="387"/>
      <c r="I523" s="387"/>
      <c r="J523" s="387"/>
    </row>
    <row r="524" spans="1:10" s="385" customFormat="1" ht="14.25" x14ac:dyDescent="0.2">
      <c r="A524" s="391"/>
      <c r="B524" s="391"/>
      <c r="C524" s="391"/>
      <c r="D524" s="391"/>
      <c r="E524" s="391"/>
      <c r="F524" s="387"/>
      <c r="G524" s="387"/>
      <c r="H524" s="387"/>
      <c r="I524" s="387"/>
      <c r="J524" s="387"/>
    </row>
    <row r="525" spans="1:10" s="385" customFormat="1" ht="14.25" x14ac:dyDescent="0.2">
      <c r="A525" s="391"/>
      <c r="B525" s="391"/>
      <c r="C525" s="391"/>
      <c r="D525" s="391"/>
      <c r="E525" s="391"/>
      <c r="F525" s="389"/>
      <c r="G525" s="389"/>
      <c r="H525" s="389"/>
      <c r="I525" s="389"/>
      <c r="J525" s="389"/>
    </row>
    <row r="526" spans="1:10" s="385" customFormat="1" ht="14.25" x14ac:dyDescent="0.2">
      <c r="A526" s="391"/>
      <c r="B526" s="391"/>
      <c r="C526" s="391"/>
      <c r="D526" s="391"/>
      <c r="E526" s="391"/>
      <c r="F526" s="387"/>
      <c r="G526" s="387"/>
      <c r="H526" s="387"/>
      <c r="I526" s="387"/>
      <c r="J526" s="387"/>
    </row>
    <row r="527" spans="1:10" s="385" customFormat="1" ht="14.25" x14ac:dyDescent="0.2">
      <c r="A527" s="391"/>
      <c r="B527" s="391"/>
      <c r="C527" s="391"/>
      <c r="D527" s="391"/>
      <c r="E527" s="391"/>
      <c r="F527" s="387"/>
      <c r="G527" s="387"/>
      <c r="H527" s="387"/>
      <c r="I527" s="387"/>
      <c r="J527" s="387"/>
    </row>
    <row r="528" spans="1:10" s="385" customFormat="1" ht="14.25" x14ac:dyDescent="0.2">
      <c r="A528" s="391"/>
      <c r="B528" s="391"/>
      <c r="C528" s="391"/>
      <c r="D528" s="391"/>
      <c r="E528" s="391"/>
      <c r="F528" s="387"/>
      <c r="G528" s="387"/>
      <c r="H528" s="387"/>
      <c r="I528" s="387"/>
      <c r="J528" s="387"/>
    </row>
    <row r="529" spans="1:10" s="385" customFormat="1" ht="14.25" x14ac:dyDescent="0.2">
      <c r="A529" s="391"/>
      <c r="B529" s="391"/>
      <c r="C529" s="391"/>
      <c r="D529" s="391"/>
      <c r="E529" s="391"/>
      <c r="F529" s="389"/>
      <c r="G529" s="389"/>
      <c r="H529" s="389"/>
      <c r="I529" s="389"/>
      <c r="J529" s="389"/>
    </row>
    <row r="530" spans="1:10" s="385" customFormat="1" ht="14.25" x14ac:dyDescent="0.2">
      <c r="A530" s="391"/>
      <c r="B530" s="391"/>
      <c r="C530" s="391"/>
      <c r="D530" s="391"/>
      <c r="E530" s="391"/>
      <c r="F530" s="387"/>
      <c r="G530" s="387"/>
      <c r="H530" s="387"/>
      <c r="I530" s="387"/>
      <c r="J530" s="387"/>
    </row>
    <row r="531" spans="1:10" s="385" customFormat="1" ht="14.25" x14ac:dyDescent="0.2">
      <c r="A531" s="391"/>
      <c r="B531" s="391"/>
      <c r="C531" s="391"/>
      <c r="D531" s="391"/>
      <c r="E531" s="391"/>
      <c r="F531" s="387"/>
      <c r="G531" s="387"/>
      <c r="H531" s="387"/>
      <c r="I531" s="387"/>
      <c r="J531" s="387"/>
    </row>
    <row r="532" spans="1:10" s="385" customFormat="1" ht="14.25" x14ac:dyDescent="0.2">
      <c r="A532" s="391"/>
      <c r="B532" s="391"/>
      <c r="C532" s="391"/>
      <c r="D532" s="391"/>
      <c r="E532" s="391"/>
      <c r="F532" s="387"/>
      <c r="G532" s="387"/>
      <c r="H532" s="387"/>
      <c r="I532" s="387"/>
      <c r="J532" s="387"/>
    </row>
    <row r="533" spans="1:10" s="385" customFormat="1" ht="14.25" x14ac:dyDescent="0.2">
      <c r="A533" s="391"/>
      <c r="B533" s="391"/>
      <c r="C533" s="391"/>
      <c r="D533" s="391"/>
      <c r="E533" s="391"/>
      <c r="F533" s="387"/>
      <c r="G533" s="387"/>
      <c r="H533" s="387"/>
      <c r="I533" s="387"/>
      <c r="J533" s="387"/>
    </row>
    <row r="534" spans="1:10" s="385" customFormat="1" ht="14.25" x14ac:dyDescent="0.2">
      <c r="A534" s="391"/>
      <c r="B534" s="391"/>
      <c r="C534" s="391"/>
      <c r="D534" s="391"/>
      <c r="E534" s="391"/>
      <c r="F534" s="387"/>
      <c r="G534" s="387"/>
      <c r="H534" s="387"/>
      <c r="I534" s="387"/>
      <c r="J534" s="387"/>
    </row>
    <row r="535" spans="1:10" s="385" customFormat="1" ht="14.25" x14ac:dyDescent="0.2">
      <c r="A535" s="391"/>
      <c r="B535" s="391"/>
      <c r="C535" s="391"/>
      <c r="D535" s="391"/>
      <c r="E535" s="391"/>
      <c r="F535" s="387"/>
      <c r="G535" s="387"/>
      <c r="H535" s="387"/>
      <c r="I535" s="387"/>
      <c r="J535" s="387"/>
    </row>
    <row r="536" spans="1:10" s="385" customFormat="1" ht="14.25" x14ac:dyDescent="0.2">
      <c r="A536" s="391"/>
      <c r="B536" s="391"/>
      <c r="C536" s="391"/>
      <c r="D536" s="391"/>
      <c r="E536" s="391"/>
      <c r="F536" s="386"/>
      <c r="G536" s="386"/>
      <c r="H536" s="386"/>
      <c r="I536" s="386"/>
      <c r="J536" s="386"/>
    </row>
    <row r="537" spans="1:10" s="385" customFormat="1" ht="14.25" x14ac:dyDescent="0.2">
      <c r="A537" s="391"/>
      <c r="B537" s="391"/>
      <c r="C537" s="391"/>
      <c r="D537" s="391"/>
      <c r="E537" s="391"/>
      <c r="F537" s="389"/>
      <c r="G537" s="389"/>
      <c r="H537" s="389"/>
      <c r="I537" s="389"/>
      <c r="J537" s="389"/>
    </row>
    <row r="538" spans="1:10" s="385" customFormat="1" ht="14.25" x14ac:dyDescent="0.2">
      <c r="A538" s="391"/>
      <c r="B538" s="391"/>
      <c r="C538" s="391"/>
      <c r="D538" s="391"/>
      <c r="E538" s="391"/>
      <c r="F538" s="387"/>
      <c r="G538" s="387"/>
      <c r="H538" s="387"/>
      <c r="I538" s="387"/>
      <c r="J538" s="387"/>
    </row>
    <row r="539" spans="1:10" s="385" customFormat="1" ht="14.25" x14ac:dyDescent="0.2">
      <c r="A539" s="391"/>
      <c r="B539" s="391"/>
      <c r="C539" s="391"/>
      <c r="D539" s="391"/>
      <c r="E539" s="391"/>
      <c r="F539" s="389"/>
      <c r="G539" s="389"/>
      <c r="H539" s="389"/>
      <c r="I539" s="389"/>
      <c r="J539" s="389"/>
    </row>
    <row r="540" spans="1:10" s="385" customFormat="1" ht="14.25" x14ac:dyDescent="0.2">
      <c r="A540" s="391"/>
      <c r="B540" s="391"/>
      <c r="C540" s="391"/>
      <c r="D540" s="391"/>
      <c r="E540" s="391"/>
      <c r="F540" s="387"/>
      <c r="G540" s="387"/>
      <c r="H540" s="387"/>
      <c r="I540" s="387"/>
      <c r="J540" s="387"/>
    </row>
    <row r="541" spans="1:10" s="385" customFormat="1" ht="14.25" x14ac:dyDescent="0.2">
      <c r="A541" s="391"/>
      <c r="B541" s="391"/>
      <c r="C541" s="391"/>
      <c r="D541" s="391"/>
      <c r="E541" s="391"/>
      <c r="F541" s="387"/>
      <c r="G541" s="387"/>
      <c r="H541" s="387"/>
      <c r="I541" s="387"/>
      <c r="J541" s="387"/>
    </row>
    <row r="542" spans="1:10" s="385" customFormat="1" ht="14.25" x14ac:dyDescent="0.2">
      <c r="A542" s="391"/>
      <c r="B542" s="391"/>
      <c r="C542" s="391"/>
      <c r="D542" s="391"/>
      <c r="E542" s="391"/>
      <c r="F542" s="389"/>
      <c r="G542" s="389"/>
      <c r="H542" s="389"/>
      <c r="I542" s="389"/>
      <c r="J542" s="389"/>
    </row>
    <row r="543" spans="1:10" s="385" customFormat="1" ht="14.25" x14ac:dyDescent="0.2">
      <c r="A543" s="391"/>
      <c r="B543" s="391"/>
      <c r="C543" s="391"/>
      <c r="D543" s="391"/>
      <c r="E543" s="391"/>
      <c r="F543" s="389"/>
      <c r="G543" s="389"/>
      <c r="H543" s="389"/>
      <c r="I543" s="389"/>
      <c r="J543" s="389"/>
    </row>
    <row r="544" spans="1:10" s="385" customFormat="1" ht="14.25" x14ac:dyDescent="0.2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</row>
    <row r="545" spans="1:10" s="385" customFormat="1" ht="14.25" x14ac:dyDescent="0.2">
      <c r="A545" s="391"/>
      <c r="B545" s="391"/>
      <c r="C545" s="391"/>
      <c r="D545" s="391"/>
      <c r="E545" s="391"/>
      <c r="F545" s="389"/>
      <c r="G545" s="389"/>
      <c r="H545" s="389"/>
      <c r="I545" s="389"/>
      <c r="J545" s="389"/>
    </row>
    <row r="546" spans="1:10" s="385" customFormat="1" ht="14.25" x14ac:dyDescent="0.2">
      <c r="A546" s="391"/>
      <c r="B546" s="391"/>
      <c r="C546" s="391"/>
      <c r="D546" s="391"/>
      <c r="E546" s="391"/>
      <c r="F546" s="389"/>
      <c r="G546" s="389"/>
      <c r="H546" s="389"/>
      <c r="I546" s="389"/>
      <c r="J546" s="389"/>
    </row>
    <row r="547" spans="1:10" s="385" customFormat="1" ht="14.25" x14ac:dyDescent="0.2">
      <c r="A547" s="391"/>
      <c r="B547" s="391"/>
      <c r="C547" s="391"/>
      <c r="D547" s="391"/>
      <c r="E547" s="391"/>
      <c r="F547" s="387"/>
      <c r="G547" s="387"/>
      <c r="H547" s="387"/>
      <c r="I547" s="387"/>
      <c r="J547" s="387"/>
    </row>
    <row r="548" spans="1:10" s="385" customFormat="1" ht="14.25" x14ac:dyDescent="0.2">
      <c r="A548" s="391"/>
      <c r="B548" s="391"/>
      <c r="C548" s="391"/>
      <c r="D548" s="391"/>
      <c r="E548" s="391"/>
      <c r="F548" s="387"/>
      <c r="G548" s="387"/>
      <c r="H548" s="387"/>
      <c r="I548" s="387"/>
      <c r="J548" s="387"/>
    </row>
    <row r="549" spans="1:10" s="385" customFormat="1" ht="14.25" x14ac:dyDescent="0.2">
      <c r="A549" s="391"/>
      <c r="B549" s="391"/>
      <c r="C549" s="391"/>
      <c r="D549" s="391"/>
      <c r="E549" s="391"/>
      <c r="F549" s="387"/>
      <c r="G549" s="387"/>
      <c r="H549" s="387"/>
      <c r="I549" s="387"/>
      <c r="J549" s="387"/>
    </row>
    <row r="550" spans="1:10" s="385" customFormat="1" ht="14.25" x14ac:dyDescent="0.2">
      <c r="A550" s="391"/>
      <c r="B550" s="391"/>
      <c r="C550" s="391"/>
      <c r="D550" s="391"/>
      <c r="E550" s="391"/>
      <c r="F550" s="387"/>
      <c r="G550" s="387"/>
      <c r="H550" s="387"/>
      <c r="I550" s="387"/>
      <c r="J550" s="387"/>
    </row>
    <row r="551" spans="1:10" s="385" customFormat="1" ht="14.25" x14ac:dyDescent="0.2">
      <c r="A551" s="391"/>
      <c r="B551" s="391"/>
      <c r="C551" s="391"/>
      <c r="D551" s="391"/>
      <c r="E551" s="391"/>
      <c r="F551" s="387"/>
      <c r="G551" s="387"/>
      <c r="H551" s="387"/>
      <c r="I551" s="387"/>
      <c r="J551" s="387"/>
    </row>
    <row r="552" spans="1:10" s="385" customFormat="1" ht="14.25" x14ac:dyDescent="0.2">
      <c r="A552" s="391"/>
      <c r="B552" s="391"/>
      <c r="C552" s="391"/>
      <c r="D552" s="391"/>
      <c r="E552" s="391"/>
      <c r="F552" s="392"/>
      <c r="G552" s="392"/>
      <c r="H552" s="392"/>
      <c r="I552" s="392"/>
      <c r="J552" s="392"/>
    </row>
    <row r="553" spans="1:10" s="385" customFormat="1" ht="14.25" x14ac:dyDescent="0.2">
      <c r="A553" s="391"/>
      <c r="B553" s="391"/>
      <c r="C553" s="391"/>
      <c r="D553" s="391"/>
      <c r="E553" s="391"/>
      <c r="F553" s="392"/>
      <c r="G553" s="392"/>
      <c r="H553" s="392"/>
      <c r="I553" s="392"/>
      <c r="J553" s="392"/>
    </row>
    <row r="554" spans="1:10" s="385" customFormat="1" ht="14.25" x14ac:dyDescent="0.2">
      <c r="A554" s="391"/>
      <c r="B554" s="391"/>
      <c r="C554" s="391"/>
      <c r="D554" s="391"/>
      <c r="E554" s="391"/>
      <c r="F554" s="387"/>
      <c r="G554" s="387"/>
      <c r="H554" s="387"/>
      <c r="I554" s="387"/>
      <c r="J554" s="387"/>
    </row>
    <row r="555" spans="1:10" s="385" customFormat="1" ht="14.25" x14ac:dyDescent="0.2">
      <c r="A555" s="391"/>
      <c r="B555" s="391"/>
      <c r="C555" s="391"/>
      <c r="D555" s="391"/>
      <c r="E555" s="391"/>
      <c r="F555" s="389"/>
      <c r="G555" s="389"/>
      <c r="H555" s="389"/>
      <c r="I555" s="389"/>
      <c r="J555" s="389"/>
    </row>
    <row r="556" spans="1:10" s="385" customFormat="1" ht="14.25" x14ac:dyDescent="0.2">
      <c r="A556" s="391"/>
      <c r="B556" s="391"/>
      <c r="C556" s="391"/>
      <c r="D556" s="391"/>
      <c r="E556" s="391"/>
      <c r="F556" s="392"/>
      <c r="G556" s="392"/>
      <c r="H556" s="392"/>
      <c r="I556" s="392"/>
      <c r="J556" s="392"/>
    </row>
    <row r="557" spans="1:10" s="385" customFormat="1" ht="14.25" x14ac:dyDescent="0.2">
      <c r="A557" s="391"/>
      <c r="B557" s="391"/>
      <c r="C557" s="391"/>
      <c r="D557" s="391"/>
      <c r="E557" s="391"/>
      <c r="F557" s="387"/>
      <c r="G557" s="387"/>
      <c r="H557" s="387"/>
      <c r="I557" s="387"/>
      <c r="J557" s="387"/>
    </row>
    <row r="558" spans="1:10" s="385" customFormat="1" ht="14.25" x14ac:dyDescent="0.2">
      <c r="A558" s="391"/>
      <c r="B558" s="391"/>
      <c r="C558" s="391"/>
      <c r="D558" s="391"/>
      <c r="E558" s="391"/>
      <c r="F558" s="392"/>
      <c r="G558" s="392"/>
      <c r="H558" s="392"/>
      <c r="I558" s="392"/>
      <c r="J558" s="392"/>
    </row>
    <row r="559" spans="1:10" s="385" customFormat="1" ht="14.25" x14ac:dyDescent="0.2">
      <c r="A559" s="391"/>
      <c r="B559" s="391"/>
      <c r="C559" s="391"/>
      <c r="D559" s="391"/>
      <c r="E559" s="391"/>
      <c r="F559" s="392"/>
      <c r="G559" s="392"/>
      <c r="H559" s="392"/>
      <c r="I559" s="392"/>
      <c r="J559" s="392"/>
    </row>
    <row r="560" spans="1:10" s="385" customFormat="1" ht="14.25" x14ac:dyDescent="0.2">
      <c r="A560" s="391"/>
      <c r="B560" s="391"/>
      <c r="C560" s="391"/>
      <c r="D560" s="391"/>
      <c r="E560" s="391"/>
      <c r="F560" s="387"/>
      <c r="G560" s="387"/>
      <c r="H560" s="387"/>
      <c r="I560" s="387"/>
      <c r="J560" s="387"/>
    </row>
    <row r="561" spans="1:10" s="385" customFormat="1" ht="14.25" x14ac:dyDescent="0.2">
      <c r="A561" s="391"/>
      <c r="B561" s="391"/>
      <c r="C561" s="391"/>
      <c r="D561" s="391"/>
      <c r="E561" s="391"/>
      <c r="F561" s="387"/>
      <c r="G561" s="387"/>
      <c r="H561" s="387"/>
      <c r="I561" s="387"/>
      <c r="J561" s="387"/>
    </row>
    <row r="562" spans="1:10" s="385" customFormat="1" ht="14.25" x14ac:dyDescent="0.2">
      <c r="A562" s="391"/>
      <c r="B562" s="391"/>
      <c r="C562" s="391"/>
      <c r="D562" s="391"/>
      <c r="E562" s="391"/>
      <c r="F562" s="387"/>
      <c r="G562" s="387"/>
      <c r="H562" s="387"/>
      <c r="I562" s="387"/>
      <c r="J562" s="387"/>
    </row>
    <row r="563" spans="1:10" s="385" customFormat="1" ht="14.25" x14ac:dyDescent="0.2">
      <c r="A563" s="391"/>
      <c r="B563" s="391"/>
      <c r="C563" s="391"/>
      <c r="D563" s="391"/>
      <c r="E563" s="391"/>
      <c r="F563" s="387"/>
      <c r="G563" s="387"/>
      <c r="H563" s="387"/>
      <c r="I563" s="387"/>
      <c r="J563" s="387"/>
    </row>
    <row r="564" spans="1:10" s="385" customFormat="1" ht="14.25" x14ac:dyDescent="0.2">
      <c r="A564" s="391"/>
      <c r="B564" s="391"/>
      <c r="C564" s="391"/>
      <c r="D564" s="391"/>
      <c r="E564" s="391"/>
      <c r="F564" s="387"/>
      <c r="G564" s="387"/>
      <c r="H564" s="387"/>
      <c r="I564" s="387"/>
      <c r="J564" s="387"/>
    </row>
    <row r="565" spans="1:10" s="385" customFormat="1" ht="14.25" x14ac:dyDescent="0.2">
      <c r="A565" s="391"/>
      <c r="B565" s="391"/>
      <c r="C565" s="391"/>
      <c r="D565" s="391"/>
      <c r="E565" s="391"/>
      <c r="F565" s="387"/>
      <c r="G565" s="387"/>
      <c r="H565" s="387"/>
      <c r="I565" s="387"/>
      <c r="J565" s="387"/>
    </row>
    <row r="566" spans="1:10" s="385" customFormat="1" ht="14.25" x14ac:dyDescent="0.2">
      <c r="A566" s="391"/>
      <c r="B566" s="391"/>
      <c r="C566" s="391"/>
      <c r="D566" s="391"/>
      <c r="E566" s="391"/>
      <c r="F566" s="387"/>
      <c r="G566" s="387"/>
      <c r="H566" s="387"/>
      <c r="I566" s="387"/>
      <c r="J566" s="387"/>
    </row>
    <row r="567" spans="1:10" s="385" customFormat="1" ht="14.25" x14ac:dyDescent="0.2">
      <c r="A567" s="391"/>
      <c r="B567" s="391"/>
      <c r="C567" s="391"/>
      <c r="D567" s="391"/>
      <c r="E567" s="391"/>
      <c r="F567" s="392"/>
      <c r="G567" s="392"/>
      <c r="H567" s="392"/>
      <c r="I567" s="392"/>
      <c r="J567" s="392"/>
    </row>
    <row r="568" spans="1:10" s="385" customFormat="1" ht="14.25" x14ac:dyDescent="0.2">
      <c r="A568" s="391"/>
      <c r="B568" s="391"/>
      <c r="C568" s="391"/>
      <c r="D568" s="391"/>
      <c r="E568" s="391"/>
      <c r="F568" s="392"/>
      <c r="G568" s="392"/>
      <c r="H568" s="392"/>
      <c r="I568" s="392"/>
      <c r="J568" s="392"/>
    </row>
    <row r="569" spans="1:10" s="385" customFormat="1" ht="14.25" x14ac:dyDescent="0.2">
      <c r="A569" s="391"/>
      <c r="B569" s="391"/>
      <c r="C569" s="391"/>
      <c r="D569" s="391"/>
      <c r="E569" s="391"/>
      <c r="F569" s="387"/>
      <c r="G569" s="387"/>
      <c r="H569" s="387"/>
      <c r="I569" s="387"/>
      <c r="J569" s="387"/>
    </row>
    <row r="570" spans="1:10" s="385" customFormat="1" ht="14.25" x14ac:dyDescent="0.2">
      <c r="A570" s="391"/>
      <c r="B570" s="391"/>
      <c r="C570" s="391"/>
      <c r="D570" s="391"/>
      <c r="E570" s="391"/>
      <c r="F570" s="387"/>
      <c r="G570" s="387"/>
      <c r="H570" s="387"/>
      <c r="I570" s="387"/>
      <c r="J570" s="387"/>
    </row>
    <row r="571" spans="1:10" s="385" customFormat="1" ht="14.25" x14ac:dyDescent="0.2">
      <c r="A571" s="391"/>
      <c r="B571" s="391"/>
      <c r="C571" s="391"/>
      <c r="D571" s="391"/>
      <c r="E571" s="391"/>
      <c r="F571" s="387"/>
      <c r="G571" s="387"/>
      <c r="H571" s="387"/>
      <c r="I571" s="387"/>
      <c r="J571" s="387"/>
    </row>
    <row r="572" spans="1:10" s="385" customFormat="1" ht="14.25" x14ac:dyDescent="0.2">
      <c r="A572" s="391"/>
      <c r="B572" s="391"/>
      <c r="C572" s="391"/>
      <c r="D572" s="391"/>
      <c r="E572" s="391"/>
      <c r="F572" s="387"/>
      <c r="G572" s="387"/>
      <c r="H572" s="387"/>
      <c r="I572" s="387"/>
      <c r="J572" s="387"/>
    </row>
    <row r="573" spans="1:10" s="385" customFormat="1" ht="14.25" x14ac:dyDescent="0.2">
      <c r="A573" s="391"/>
      <c r="B573" s="391"/>
      <c r="C573" s="391"/>
      <c r="D573" s="391"/>
      <c r="E573" s="391"/>
      <c r="F573" s="387"/>
      <c r="G573" s="387"/>
      <c r="H573" s="387"/>
      <c r="I573" s="387"/>
      <c r="J573" s="387"/>
    </row>
    <row r="574" spans="1:10" s="385" customFormat="1" ht="14.25" x14ac:dyDescent="0.2">
      <c r="A574" s="391"/>
      <c r="B574" s="391"/>
      <c r="C574" s="391"/>
      <c r="D574" s="391"/>
      <c r="E574" s="391"/>
      <c r="F574" s="387"/>
      <c r="G574" s="387"/>
      <c r="H574" s="387"/>
      <c r="I574" s="387"/>
      <c r="J574" s="387"/>
    </row>
    <row r="575" spans="1:10" s="385" customFormat="1" ht="14.25" x14ac:dyDescent="0.2">
      <c r="A575" s="391"/>
      <c r="B575" s="391"/>
      <c r="C575" s="391"/>
      <c r="D575" s="391"/>
      <c r="E575" s="391"/>
      <c r="F575" s="387"/>
      <c r="G575" s="387"/>
      <c r="H575" s="387"/>
      <c r="I575" s="387"/>
      <c r="J575" s="387"/>
    </row>
    <row r="576" spans="1:10" s="385" customFormat="1" ht="14.25" x14ac:dyDescent="0.2">
      <c r="A576" s="391"/>
      <c r="B576" s="391"/>
      <c r="C576" s="391"/>
      <c r="D576" s="391"/>
      <c r="E576" s="391"/>
      <c r="F576" s="387"/>
      <c r="G576" s="387"/>
      <c r="H576" s="387"/>
      <c r="I576" s="387"/>
      <c r="J576" s="387"/>
    </row>
    <row r="577" spans="1:10" s="385" customFormat="1" ht="14.25" x14ac:dyDescent="0.2">
      <c r="A577" s="391"/>
      <c r="B577" s="391"/>
      <c r="C577" s="391"/>
      <c r="D577" s="391"/>
      <c r="E577" s="391"/>
      <c r="F577" s="387"/>
      <c r="G577" s="387"/>
      <c r="H577" s="387"/>
      <c r="I577" s="387"/>
      <c r="J577" s="387"/>
    </row>
    <row r="578" spans="1:10" s="385" customFormat="1" ht="14.25" x14ac:dyDescent="0.2">
      <c r="A578" s="391"/>
      <c r="B578" s="391"/>
      <c r="C578" s="391"/>
      <c r="D578" s="391"/>
      <c r="E578" s="391"/>
      <c r="F578" s="387"/>
      <c r="G578" s="387"/>
      <c r="H578" s="387"/>
      <c r="I578" s="387"/>
      <c r="J578" s="387"/>
    </row>
    <row r="579" spans="1:10" s="385" customFormat="1" ht="14.25" x14ac:dyDescent="0.2">
      <c r="A579" s="391"/>
      <c r="B579" s="391"/>
      <c r="C579" s="391"/>
      <c r="D579" s="391"/>
      <c r="E579" s="391"/>
      <c r="F579" s="387"/>
      <c r="G579" s="387"/>
      <c r="H579" s="387"/>
      <c r="I579" s="387"/>
      <c r="J579" s="387"/>
    </row>
    <row r="580" spans="1:10" s="385" customFormat="1" ht="14.25" x14ac:dyDescent="0.2">
      <c r="A580" s="391"/>
      <c r="B580" s="391"/>
      <c r="C580" s="391"/>
      <c r="D580" s="391"/>
      <c r="E580" s="391"/>
      <c r="F580" s="387"/>
      <c r="G580" s="387"/>
      <c r="H580" s="387"/>
      <c r="I580" s="387"/>
      <c r="J580" s="387"/>
    </row>
    <row r="581" spans="1:10" s="385" customFormat="1" ht="14.25" x14ac:dyDescent="0.2">
      <c r="A581" s="391"/>
      <c r="B581" s="391"/>
      <c r="C581" s="391"/>
      <c r="D581" s="391"/>
      <c r="E581" s="391"/>
      <c r="F581" s="387"/>
      <c r="G581" s="387"/>
      <c r="H581" s="387"/>
      <c r="I581" s="387"/>
      <c r="J581" s="387"/>
    </row>
    <row r="582" spans="1:10" s="385" customFormat="1" ht="14.25" x14ac:dyDescent="0.2">
      <c r="A582" s="391"/>
      <c r="B582" s="391"/>
      <c r="C582" s="391"/>
      <c r="D582" s="391"/>
      <c r="E582" s="391"/>
      <c r="F582" s="387"/>
      <c r="G582" s="387"/>
      <c r="H582" s="387"/>
      <c r="I582" s="387"/>
      <c r="J582" s="387"/>
    </row>
    <row r="583" spans="1:10" s="385" customFormat="1" ht="14.25" x14ac:dyDescent="0.2">
      <c r="A583" s="391"/>
      <c r="B583" s="391"/>
      <c r="C583" s="391"/>
      <c r="D583" s="391"/>
      <c r="E583" s="391"/>
      <c r="F583" s="387"/>
      <c r="G583" s="387"/>
      <c r="H583" s="387"/>
      <c r="I583" s="387"/>
      <c r="J583" s="387"/>
    </row>
    <row r="584" spans="1:10" s="385" customFormat="1" ht="14.25" x14ac:dyDescent="0.2">
      <c r="A584" s="391"/>
      <c r="B584" s="391"/>
      <c r="C584" s="391"/>
      <c r="D584" s="391"/>
      <c r="E584" s="391"/>
      <c r="F584" s="387"/>
      <c r="G584" s="387"/>
      <c r="H584" s="387"/>
      <c r="I584" s="387"/>
      <c r="J584" s="387"/>
    </row>
    <row r="585" spans="1:10" s="385" customFormat="1" ht="14.25" x14ac:dyDescent="0.2">
      <c r="A585" s="391"/>
      <c r="B585" s="391"/>
      <c r="C585" s="391"/>
      <c r="D585" s="391"/>
      <c r="E585" s="391"/>
      <c r="F585" s="387"/>
      <c r="G585" s="387"/>
      <c r="H585" s="387"/>
      <c r="I585" s="387"/>
      <c r="J585" s="387"/>
    </row>
    <row r="586" spans="1:10" s="385" customFormat="1" ht="14.25" x14ac:dyDescent="0.2">
      <c r="A586" s="391"/>
      <c r="B586" s="391"/>
      <c r="C586" s="391"/>
      <c r="D586" s="391"/>
      <c r="E586" s="391"/>
      <c r="F586" s="387"/>
      <c r="G586" s="387"/>
      <c r="H586" s="387"/>
      <c r="I586" s="387"/>
      <c r="J586" s="387"/>
    </row>
    <row r="587" spans="1:10" s="385" customFormat="1" ht="14.25" x14ac:dyDescent="0.2">
      <c r="A587" s="391"/>
      <c r="B587" s="391"/>
      <c r="C587" s="391"/>
      <c r="D587" s="391"/>
      <c r="E587" s="391"/>
      <c r="F587" s="387"/>
      <c r="G587" s="387"/>
      <c r="H587" s="387"/>
      <c r="I587" s="387"/>
      <c r="J587" s="387"/>
    </row>
    <row r="588" spans="1:10" s="385" customFormat="1" ht="14.25" x14ac:dyDescent="0.2">
      <c r="A588" s="391"/>
      <c r="B588" s="391"/>
      <c r="C588" s="391"/>
      <c r="D588" s="391"/>
      <c r="E588" s="391"/>
      <c r="F588" s="387"/>
      <c r="G588" s="387"/>
      <c r="H588" s="387"/>
      <c r="I588" s="387"/>
      <c r="J588" s="387"/>
    </row>
    <row r="589" spans="1:10" s="385" customFormat="1" ht="14.25" x14ac:dyDescent="0.2">
      <c r="A589" s="391"/>
      <c r="B589" s="391"/>
      <c r="C589" s="391"/>
      <c r="D589" s="391"/>
      <c r="E589" s="391"/>
      <c r="F589" s="387"/>
      <c r="G589" s="387"/>
      <c r="H589" s="387"/>
      <c r="I589" s="387"/>
      <c r="J589" s="387"/>
    </row>
    <row r="590" spans="1:10" s="385" customFormat="1" ht="14.25" x14ac:dyDescent="0.2">
      <c r="A590" s="391"/>
      <c r="B590" s="391"/>
      <c r="C590" s="391"/>
      <c r="D590" s="391"/>
      <c r="E590" s="391"/>
      <c r="F590" s="387"/>
      <c r="G590" s="387"/>
      <c r="H590" s="387"/>
      <c r="I590" s="387"/>
      <c r="J590" s="387"/>
    </row>
    <row r="591" spans="1:10" s="385" customFormat="1" ht="14.25" x14ac:dyDescent="0.2">
      <c r="A591" s="391"/>
      <c r="B591" s="391"/>
      <c r="C591" s="391"/>
      <c r="D591" s="391"/>
      <c r="E591" s="391"/>
      <c r="F591" s="387"/>
      <c r="G591" s="387"/>
      <c r="H591" s="387"/>
      <c r="I591" s="387"/>
      <c r="J591" s="387"/>
    </row>
    <row r="592" spans="1:10" s="385" customFormat="1" ht="14.25" x14ac:dyDescent="0.2">
      <c r="A592" s="391"/>
      <c r="B592" s="391"/>
      <c r="C592" s="391"/>
      <c r="D592" s="391"/>
      <c r="E592" s="391"/>
      <c r="F592" s="387"/>
      <c r="G592" s="387"/>
      <c r="H592" s="387"/>
      <c r="I592" s="387"/>
      <c r="J592" s="387"/>
    </row>
    <row r="593" spans="1:10" s="385" customFormat="1" ht="14.25" x14ac:dyDescent="0.2">
      <c r="A593" s="391"/>
      <c r="B593" s="391"/>
      <c r="C593" s="391"/>
      <c r="D593" s="391"/>
      <c r="E593" s="391"/>
      <c r="F593" s="387"/>
      <c r="G593" s="387"/>
      <c r="H593" s="387"/>
      <c r="I593" s="387"/>
      <c r="J593" s="387"/>
    </row>
    <row r="594" spans="1:10" s="385" customFormat="1" ht="14.25" x14ac:dyDescent="0.2">
      <c r="A594" s="391"/>
      <c r="B594" s="391"/>
      <c r="C594" s="391"/>
      <c r="D594" s="391"/>
      <c r="E594" s="391"/>
      <c r="F594" s="387"/>
      <c r="G594" s="387"/>
      <c r="H594" s="387"/>
      <c r="I594" s="387"/>
      <c r="J594" s="387"/>
    </row>
    <row r="595" spans="1:10" s="385" customFormat="1" ht="14.25" x14ac:dyDescent="0.2">
      <c r="A595" s="391"/>
      <c r="B595" s="391"/>
      <c r="C595" s="391"/>
      <c r="D595" s="391"/>
      <c r="E595" s="391"/>
      <c r="F595" s="387"/>
      <c r="G595" s="387"/>
      <c r="H595" s="387"/>
      <c r="I595" s="387"/>
      <c r="J595" s="387"/>
    </row>
    <row r="596" spans="1:10" s="385" customFormat="1" ht="14.25" x14ac:dyDescent="0.2">
      <c r="A596" s="391"/>
      <c r="B596" s="391"/>
      <c r="C596" s="391"/>
      <c r="D596" s="391"/>
      <c r="E596" s="391"/>
      <c r="F596" s="386"/>
      <c r="G596" s="386"/>
      <c r="H596" s="386"/>
      <c r="I596" s="386"/>
      <c r="J596" s="386"/>
    </row>
    <row r="597" spans="1:10" s="385" customFormat="1" ht="14.25" x14ac:dyDescent="0.2">
      <c r="A597" s="391"/>
      <c r="B597" s="391"/>
      <c r="C597" s="391"/>
      <c r="D597" s="391"/>
      <c r="E597" s="391"/>
      <c r="F597" s="386"/>
      <c r="G597" s="386"/>
      <c r="H597" s="386"/>
      <c r="I597" s="386"/>
      <c r="J597" s="386"/>
    </row>
    <row r="598" spans="1:10" s="385" customFormat="1" ht="14.25" x14ac:dyDescent="0.2">
      <c r="A598" s="391"/>
      <c r="B598" s="391"/>
      <c r="C598" s="391"/>
      <c r="D598" s="391"/>
      <c r="E598" s="391"/>
      <c r="F598" s="386"/>
      <c r="G598" s="386"/>
      <c r="H598" s="386"/>
      <c r="I598" s="386"/>
      <c r="J598" s="386"/>
    </row>
    <row r="599" spans="1:10" s="385" customFormat="1" ht="14.25" x14ac:dyDescent="0.2">
      <c r="A599" s="391"/>
      <c r="B599" s="391"/>
      <c r="C599" s="391"/>
      <c r="D599" s="391"/>
      <c r="E599" s="391"/>
      <c r="F599" s="387"/>
      <c r="G599" s="387"/>
      <c r="H599" s="387"/>
      <c r="I599" s="387"/>
      <c r="J599" s="387"/>
    </row>
    <row r="600" spans="1:10" s="385" customFormat="1" ht="14.25" x14ac:dyDescent="0.2">
      <c r="A600" s="391"/>
      <c r="B600" s="391"/>
      <c r="C600" s="391"/>
      <c r="D600" s="391"/>
      <c r="E600" s="391"/>
      <c r="F600" s="387"/>
      <c r="G600" s="387"/>
      <c r="H600" s="387"/>
      <c r="I600" s="387"/>
      <c r="J600" s="387"/>
    </row>
    <row r="601" spans="1:10" s="385" customFormat="1" ht="14.25" x14ac:dyDescent="0.2">
      <c r="A601" s="391"/>
      <c r="B601" s="391"/>
      <c r="C601" s="391"/>
      <c r="D601" s="391"/>
      <c r="E601" s="391"/>
      <c r="F601" s="386"/>
      <c r="G601" s="386"/>
      <c r="H601" s="386"/>
      <c r="I601" s="386"/>
      <c r="J601" s="386"/>
    </row>
    <row r="602" spans="1:10" s="385" customFormat="1" ht="14.25" x14ac:dyDescent="0.2">
      <c r="A602" s="391"/>
      <c r="B602" s="391"/>
      <c r="C602" s="391"/>
      <c r="D602" s="391"/>
      <c r="E602" s="391"/>
      <c r="F602" s="386"/>
      <c r="G602" s="386"/>
      <c r="H602" s="386"/>
      <c r="I602" s="386"/>
      <c r="J602" s="386"/>
    </row>
    <row r="603" spans="1:10" s="385" customFormat="1" ht="14.25" x14ac:dyDescent="0.2">
      <c r="A603" s="391"/>
      <c r="B603" s="391"/>
      <c r="C603" s="391"/>
      <c r="D603" s="391"/>
      <c r="E603" s="391"/>
      <c r="F603" s="386"/>
      <c r="G603" s="386"/>
      <c r="H603" s="386"/>
      <c r="I603" s="386"/>
      <c r="J603" s="386"/>
    </row>
    <row r="604" spans="1:10" s="385" customFormat="1" ht="14.25" x14ac:dyDescent="0.2">
      <c r="A604" s="391"/>
      <c r="B604" s="391"/>
      <c r="C604" s="391"/>
      <c r="D604" s="391"/>
      <c r="E604" s="391"/>
      <c r="F604" s="387"/>
      <c r="G604" s="387"/>
      <c r="H604" s="387"/>
      <c r="I604" s="387"/>
      <c r="J604" s="387"/>
    </row>
    <row r="605" spans="1:10" s="385" customFormat="1" ht="14.25" x14ac:dyDescent="0.2">
      <c r="A605" s="391"/>
      <c r="B605" s="391"/>
      <c r="C605" s="391"/>
      <c r="D605" s="391"/>
      <c r="E605" s="391"/>
      <c r="F605" s="387"/>
      <c r="G605" s="387"/>
      <c r="H605" s="387"/>
      <c r="I605" s="387"/>
      <c r="J605" s="387"/>
    </row>
    <row r="606" spans="1:10" s="385" customFormat="1" ht="14.25" x14ac:dyDescent="0.2">
      <c r="A606" s="391"/>
      <c r="B606" s="391"/>
      <c r="C606" s="391"/>
      <c r="D606" s="391"/>
      <c r="E606" s="391"/>
      <c r="F606" s="387"/>
      <c r="G606" s="387"/>
      <c r="H606" s="387"/>
      <c r="I606" s="387"/>
      <c r="J606" s="387"/>
    </row>
    <row r="607" spans="1:10" s="385" customFormat="1" ht="14.25" x14ac:dyDescent="0.2">
      <c r="A607" s="391"/>
      <c r="B607" s="391"/>
      <c r="C607" s="391"/>
      <c r="D607" s="391"/>
      <c r="E607" s="391"/>
      <c r="F607" s="388"/>
      <c r="G607" s="388"/>
      <c r="H607" s="388"/>
      <c r="I607" s="388"/>
      <c r="J607" s="388"/>
    </row>
    <row r="608" spans="1:10" s="385" customFormat="1" ht="14.25" x14ac:dyDescent="0.2">
      <c r="A608" s="391"/>
      <c r="B608" s="391"/>
      <c r="C608" s="391"/>
      <c r="D608" s="391"/>
      <c r="E608" s="391"/>
      <c r="F608" s="388"/>
      <c r="G608" s="388"/>
      <c r="H608" s="388"/>
      <c r="I608" s="388"/>
      <c r="J608" s="388"/>
    </row>
    <row r="609" spans="1:12" s="385" customFormat="1" ht="14.25" x14ac:dyDescent="0.2">
      <c r="A609" s="391"/>
      <c r="B609" s="391"/>
      <c r="C609" s="391"/>
      <c r="D609" s="391"/>
      <c r="E609" s="391"/>
      <c r="F609" s="388"/>
      <c r="G609" s="388"/>
      <c r="H609" s="388"/>
      <c r="I609" s="388"/>
      <c r="J609" s="388"/>
    </row>
    <row r="610" spans="1:12" s="385" customFormat="1" ht="14.25" x14ac:dyDescent="0.2">
      <c r="A610" s="391"/>
      <c r="B610" s="391"/>
      <c r="C610" s="391"/>
      <c r="D610" s="391"/>
      <c r="E610" s="391"/>
      <c r="F610" s="388"/>
      <c r="G610" s="388"/>
      <c r="H610" s="388"/>
      <c r="I610" s="388"/>
      <c r="J610" s="388"/>
    </row>
    <row r="611" spans="1:12" s="385" customFormat="1" ht="14.25" x14ac:dyDescent="0.2">
      <c r="A611" s="391"/>
      <c r="B611" s="391"/>
      <c r="C611" s="391"/>
      <c r="D611" s="391"/>
      <c r="E611" s="391"/>
      <c r="F611" s="388"/>
      <c r="G611" s="388"/>
      <c r="H611" s="388"/>
      <c r="I611" s="388"/>
      <c r="J611" s="388"/>
    </row>
    <row r="612" spans="1:12" s="385" customFormat="1" ht="14.25" x14ac:dyDescent="0.2">
      <c r="A612" s="391"/>
      <c r="B612" s="391"/>
      <c r="C612" s="391"/>
      <c r="D612" s="391"/>
      <c r="E612" s="391"/>
      <c r="F612" s="388"/>
      <c r="G612" s="388"/>
      <c r="H612" s="388"/>
      <c r="I612" s="388"/>
      <c r="J612" s="388"/>
    </row>
    <row r="613" spans="1:12" s="385" customFormat="1" ht="14.25" x14ac:dyDescent="0.2">
      <c r="A613" s="391"/>
      <c r="B613" s="391"/>
      <c r="C613" s="391"/>
      <c r="D613" s="391"/>
      <c r="E613" s="391"/>
      <c r="F613" s="388"/>
      <c r="G613" s="388"/>
      <c r="H613" s="388"/>
      <c r="I613" s="388"/>
      <c r="J613" s="388"/>
    </row>
    <row r="614" spans="1:12" s="385" customFormat="1" x14ac:dyDescent="0.2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</row>
    <row r="615" spans="1:12" s="385" customFormat="1" x14ac:dyDescent="0.2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</row>
    <row r="616" spans="1:12" s="385" customFormat="1" x14ac:dyDescent="0.2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</row>
    <row r="617" spans="1:12" s="385" customFormat="1" x14ac:dyDescent="0.2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</row>
    <row r="618" spans="1:12" s="385" customFormat="1" x14ac:dyDescent="0.2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</row>
    <row r="619" spans="1:12" s="385" customFormat="1" x14ac:dyDescent="0.2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</row>
  </sheetData>
  <mergeCells count="90">
    <mergeCell ref="A73:B73"/>
    <mergeCell ref="D73:F73"/>
    <mergeCell ref="H73:J73"/>
    <mergeCell ref="K73:L73"/>
    <mergeCell ref="A74:B74"/>
    <mergeCell ref="D74:F74"/>
    <mergeCell ref="H74:J74"/>
    <mergeCell ref="J64:K64"/>
    <mergeCell ref="B65:C66"/>
    <mergeCell ref="D65:E66"/>
    <mergeCell ref="F65:G66"/>
    <mergeCell ref="H65:I66"/>
    <mergeCell ref="J65:K66"/>
    <mergeCell ref="A60:F60"/>
    <mergeCell ref="H60:I60"/>
    <mergeCell ref="B64:C64"/>
    <mergeCell ref="D64:E64"/>
    <mergeCell ref="F64:G64"/>
    <mergeCell ref="H64:I64"/>
    <mergeCell ref="H59:I59"/>
    <mergeCell ref="A51:F51"/>
    <mergeCell ref="H51:L51"/>
    <mergeCell ref="H52:J52"/>
    <mergeCell ref="K52:L52"/>
    <mergeCell ref="A53:F53"/>
    <mergeCell ref="H53:I53"/>
    <mergeCell ref="H54:I54"/>
    <mergeCell ref="H55:I55"/>
    <mergeCell ref="H56:I56"/>
    <mergeCell ref="H57:I57"/>
    <mergeCell ref="H58:I58"/>
    <mergeCell ref="A46:F46"/>
    <mergeCell ref="B39:F39"/>
    <mergeCell ref="G39:H39"/>
    <mergeCell ref="B40:F40"/>
    <mergeCell ref="G40:H40"/>
    <mergeCell ref="B41:F41"/>
    <mergeCell ref="G41:H41"/>
    <mergeCell ref="B42:F42"/>
    <mergeCell ref="G42:I42"/>
    <mergeCell ref="A44:F44"/>
    <mergeCell ref="H44:L44"/>
    <mergeCell ref="A45:F45"/>
    <mergeCell ref="B36:F36"/>
    <mergeCell ref="G36:H36"/>
    <mergeCell ref="B37:F37"/>
    <mergeCell ref="G37:H37"/>
    <mergeCell ref="B38:F38"/>
    <mergeCell ref="G38:H38"/>
    <mergeCell ref="B35:F35"/>
    <mergeCell ref="G35:H35"/>
    <mergeCell ref="G24:I24"/>
    <mergeCell ref="G25:I25"/>
    <mergeCell ref="G26:I26"/>
    <mergeCell ref="G27:I27"/>
    <mergeCell ref="G28:I28"/>
    <mergeCell ref="G29:I29"/>
    <mergeCell ref="G30:I30"/>
    <mergeCell ref="G31:I31"/>
    <mergeCell ref="B32:F32"/>
    <mergeCell ref="G32:I32"/>
    <mergeCell ref="B33:F33"/>
    <mergeCell ref="G23:I23"/>
    <mergeCell ref="G12:I12"/>
    <mergeCell ref="G13:I13"/>
    <mergeCell ref="G14:I14"/>
    <mergeCell ref="G15:I15"/>
    <mergeCell ref="G16:I16"/>
    <mergeCell ref="G18:I18"/>
    <mergeCell ref="G19:I19"/>
    <mergeCell ref="G20:I20"/>
    <mergeCell ref="G21:I21"/>
    <mergeCell ref="G22:I22"/>
    <mergeCell ref="B17:F17"/>
    <mergeCell ref="G17:I17"/>
    <mergeCell ref="B7:H7"/>
    <mergeCell ref="K7:L7"/>
    <mergeCell ref="K9:L9"/>
    <mergeCell ref="A10:A11"/>
    <mergeCell ref="B10:F11"/>
    <mergeCell ref="G10:I11"/>
    <mergeCell ref="J10:K10"/>
    <mergeCell ref="L10:L11"/>
    <mergeCell ref="B6:H6"/>
    <mergeCell ref="K6:L6"/>
    <mergeCell ref="B3:H3"/>
    <mergeCell ref="K3:L3"/>
    <mergeCell ref="A4:A5"/>
    <mergeCell ref="B4:H5"/>
    <mergeCell ref="K4:L4"/>
  </mergeCells>
  <printOptions horizontalCentered="1"/>
  <pageMargins left="0.19685039370078741" right="0.19685039370078741" top="0.19685039370078741" bottom="0.19685039370078741" header="0.31496062992125984" footer="0.31496062992125984"/>
  <pageSetup paperSize="14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25</vt:i4>
      </vt:variant>
    </vt:vector>
  </HeadingPairs>
  <TitlesOfParts>
    <vt:vector size="51" baseType="lpstr">
      <vt:lpstr>SWA (July 6-9)</vt:lpstr>
      <vt:lpstr>STEWA (July 6-9)</vt:lpstr>
      <vt:lpstr>SWA (July 13-17)</vt:lpstr>
      <vt:lpstr>STEWA (July 13-17)</vt:lpstr>
      <vt:lpstr>SWA (July 20-24)</vt:lpstr>
      <vt:lpstr>STEWA (July 20-24)</vt:lpstr>
      <vt:lpstr>SWA (July 27-30)</vt:lpstr>
      <vt:lpstr>STEWA (July 27-30)</vt:lpstr>
      <vt:lpstr>SWA (August 3-7)</vt:lpstr>
      <vt:lpstr>STEWA (August 3-7)</vt:lpstr>
      <vt:lpstr>SWA (August 10-14)</vt:lpstr>
      <vt:lpstr>STEWA (August 10-14)</vt:lpstr>
      <vt:lpstr>SWA (August 17-21)</vt:lpstr>
      <vt:lpstr>STEWA (August 17-21)</vt:lpstr>
      <vt:lpstr>SWA (August 24-28)</vt:lpstr>
      <vt:lpstr>STEWA (August 24-28)</vt:lpstr>
      <vt:lpstr>SWA (FINAL)</vt:lpstr>
      <vt:lpstr>STEWA (FINAL)</vt:lpstr>
      <vt:lpstr>IAR RCBC JuLY 1-3)</vt:lpstr>
      <vt:lpstr>IAR RCBC JuLY 6-17)</vt:lpstr>
      <vt:lpstr>IAR RCBC JuLY 20-24)</vt:lpstr>
      <vt:lpstr>IAR RCBC JuLY 27-30)</vt:lpstr>
      <vt:lpstr>IAR RCBC Aug 3-7)</vt:lpstr>
      <vt:lpstr>IAR RCBC Aug 10-14)</vt:lpstr>
      <vt:lpstr>IAR RCBC Aug 17-21)</vt:lpstr>
      <vt:lpstr>IAR RCBC Aug 24-31)</vt:lpstr>
      <vt:lpstr>IAR RCBC Aug 10-14)!Print_Area</vt:lpstr>
      <vt:lpstr>IAR RCBC Aug 17-21)!Print_Area</vt:lpstr>
      <vt:lpstr>IAR RCBC Aug 24-31)!Print_Area</vt:lpstr>
      <vt:lpstr>IAR RCBC Aug 3-7)!Print_Area</vt:lpstr>
      <vt:lpstr>IAR RCBC JuLY 1-3)!Print_Area</vt:lpstr>
      <vt:lpstr>IAR RCBC JuLY 20-24)!Print_Area</vt:lpstr>
      <vt:lpstr>IAR RCBC JuLY 27-30)!Print_Area</vt:lpstr>
      <vt:lpstr>IAR RCBC JuLY 6-17)!Print_Area</vt:lpstr>
      <vt:lpstr>STEWA (August 10-14)!Print_Area</vt:lpstr>
      <vt:lpstr>STEWA (August 24-28)!Print_Area</vt:lpstr>
      <vt:lpstr>STEWA (August 3-7)!Print_Area</vt:lpstr>
      <vt:lpstr>STEWA (FINAL)!Print_Area</vt:lpstr>
      <vt:lpstr>STEWA (July 13-17)!Print_Area</vt:lpstr>
      <vt:lpstr>STEWA (July 20-24)!Print_Area</vt:lpstr>
      <vt:lpstr>STEWA (July 27-30)!Print_Area</vt:lpstr>
      <vt:lpstr>STEWA (July 6-9)!Print_Area</vt:lpstr>
      <vt:lpstr>SWA (August 10-14)!Print_Area</vt:lpstr>
      <vt:lpstr>SWA (August 17-21)!Print_Area</vt:lpstr>
      <vt:lpstr>SWA (August 24-28)!Print_Area</vt:lpstr>
      <vt:lpstr>SWA (August 3-7)!Print_Area</vt:lpstr>
      <vt:lpstr>SWA (FINAL)!Print_Area</vt:lpstr>
      <vt:lpstr>SWA (July 13-17)!Print_Area</vt:lpstr>
      <vt:lpstr>SWA (July 20-24)!Print_Area</vt:lpstr>
      <vt:lpstr>SWA (July 27-30)!Print_Area</vt:lpstr>
      <vt:lpstr>SWA (July 6-9)!Print_Area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Construction Division - Provincial Engineer's Office</cp:lastModifiedBy>
  <dcterms:created xsi:type="dcterms:W3CDTF">2026-01-26T00:16:55Z</dcterms:created>
  <dcterms:modified xsi:type="dcterms:W3CDTF">2026-09-01T13:49:11Z</dcterms:modified>
</cp:coreProperties>
</file>