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t\Documents\"/>
    </mc:Choice>
  </mc:AlternateContent>
  <xr:revisionPtr revIDLastSave="0" documentId="13_ncr:1_{E9087278-A534-45B4-BAEB-72CB706D27F5}" xr6:coauthVersionLast="47" xr6:coauthVersionMax="47" xr10:uidLastSave="{00000000-0000-0000-0000-000000000000}"/>
  <bookViews>
    <workbookView xWindow="-120" yWindow="-120" windowWidth="29040" windowHeight="17520" xr2:uid="{4E25A140-D5F1-4A77-8471-868C9BDF6201}"/>
  </bookViews>
  <sheets>
    <sheet name="SWA(02-20-26)" sheetId="2" r:id="rId1"/>
  </sheets>
  <externalReferences>
    <externalReference r:id="rId2"/>
    <externalReference r:id="rId3"/>
    <externalReference r:id="rId4"/>
  </externalReferences>
  <definedNames>
    <definedName name="AggPlant100.T" localSheetId="0">'[3]BACOLOD RENTAL RATES'!#REF!</definedName>
    <definedName name="AshDist3000.T" localSheetId="0">'[3]BACOLOD RENTAL RATES'!#REF!</definedName>
    <definedName name="AshPaver88.T" localSheetId="0">'[3]BACOLOD RENTAL RATES'!#REF!</definedName>
    <definedName name="AshPlant100.T" localSheetId="0">'[3]BACOLOD RENTAL RATES'!#REF!</definedName>
    <definedName name="AshPlant30.T" localSheetId="0">'[3]BACOLOD RENTAL RATES'!#REF!</definedName>
    <definedName name="AshPlant60.T" localSheetId="0">'[3]BACOLOD RENTAL RATES'!#REF!</definedName>
    <definedName name="Backhoe.63m3.T" localSheetId="0">'[3]BACOLOD RENTAL RATES'!#REF!</definedName>
    <definedName name="Backhoe.76m3.T" localSheetId="0">'[3]BACOLOD RENTAL RATES'!#REF!</definedName>
    <definedName name="Backhoe1.18m3.T" localSheetId="0">'[3]BACOLOD RENTAL RATES'!#REF!</definedName>
    <definedName name="Backhoe1.98m3.T" localSheetId="0">'[3]BACOLOD RENTAL RATES'!#REF!</definedName>
    <definedName name="Bender50.T" localSheetId="0">'[3]BACOLOD RENTAL RATES'!#REF!</definedName>
    <definedName name="Breaker5hp.T" localSheetId="0">'[3]BACOLOD RENTAL RATES'!#REF!</definedName>
    <definedName name="ChainSaw.T" localSheetId="0">'[3]BACOLOD RENTAL RATES'!#REF!</definedName>
    <definedName name="Comp150.T" localSheetId="0">'[3]BACOLOD RENTAL RATES'!#REF!</definedName>
    <definedName name="Comp350.T" localSheetId="0">'[3]BACOLOD RENTAL RATES'!#REF!</definedName>
    <definedName name="Comp500.T" localSheetId="0">'[3]BACOLOD RENTAL RATES'!#REF!</definedName>
    <definedName name="Compactor12hp.T" localSheetId="0">'[3]BACOLOD RENTAL RATES'!#REF!</definedName>
    <definedName name="ConcCtr30.T" localSheetId="0">'[3]BACOLOD RENTAL RATES'!#REF!</definedName>
    <definedName name="ConcPaver120hp.T" localSheetId="0">'[3]BACOLOD RENTAL RATES'!#REF!</definedName>
    <definedName name="ConcPlant30.T" localSheetId="0">'[3]BACOLOD RENTAL RATES'!#REF!</definedName>
    <definedName name="ConcPlant40.T" localSheetId="0">'[3]BACOLOD RENTAL RATES'!#REF!</definedName>
    <definedName name="ConcPlant60.T" localSheetId="0">'[3]BACOLOD RENTAL RATES'!#REF!</definedName>
    <definedName name="ConcPump40.T" localSheetId="0">'[3]BACOLOD RENTAL RATES'!#REF!</definedName>
    <definedName name="ConcPump45.T" localSheetId="0">'[3]BACOLOD RENTAL RATES'!#REF!</definedName>
    <definedName name="Crane10t.T" localSheetId="0">'[3]BACOLOD RENTAL RATES'!#REF!</definedName>
    <definedName name="Crane120t.T" localSheetId="0">'[3]BACOLOD RENTAL RATES'!#REF!</definedName>
    <definedName name="Crane15t.T" localSheetId="0">'[3]BACOLOD RENTAL RATES'!#REF!</definedName>
    <definedName name="Crane20t.T" localSheetId="0">'[3]BACOLOD RENTAL RATES'!#REF!</definedName>
    <definedName name="Crane25t.T" localSheetId="0">'[3]BACOLOD RENTAL RATES'!#REF!</definedName>
    <definedName name="Crane2t.T" localSheetId="0">'[3]BACOLOD RENTAL RATES'!#REF!</definedName>
    <definedName name="Crane40t.T" localSheetId="0">'[3]BACOLOD RENTAL RATES'!#REF!</definedName>
    <definedName name="Crane5t.T" localSheetId="0">'[3]BACOLOD RENTAL RATES'!#REF!</definedName>
    <definedName name="Crane60t.T" localSheetId="0">'[3]BACOLOD RENTAL RATES'!#REF!</definedName>
    <definedName name="Cutter50.T" localSheetId="0">'[3]BACOLOD RENTAL RATES'!#REF!</definedName>
    <definedName name="Drill115.T" localSheetId="0">'[3]BACOLOD RENTAL RATES'!#REF!</definedName>
    <definedName name="DT10m3.T" localSheetId="0">'[3]BACOLOD RENTAL RATES'!#REF!</definedName>
    <definedName name="DT5m3.T" localSheetId="0">'[3]BACOLOD RENTAL RATES'!#REF!</definedName>
    <definedName name="DT8m3.T" localSheetId="0">'[3]BACOLOD RENTAL RATES'!#REF!</definedName>
    <definedName name="Gen300kw.T" localSheetId="0">'[3]BACOLOD RENTAL RATES'!#REF!</definedName>
    <definedName name="Gen600kw.T" localSheetId="0">'[3]BACOLOD RENTAL RATES'!#REF!</definedName>
    <definedName name="Gen75kw.T" localSheetId="0">'[3]BACOLOD RENTAL RATES'!#REF!</definedName>
    <definedName name="Grader125hp.T" localSheetId="0">'[3]BACOLOD RENTAL RATES'!#REF!</definedName>
    <definedName name="Grader135hp.T" localSheetId="0">'[3]BACOLOD RENTAL RATES'!#REF!</definedName>
    <definedName name="Hammer3700kg.T" localSheetId="0">'[3]BACOLOD RENTAL RATES'!#REF!</definedName>
    <definedName name="Hammer7500kg.T" localSheetId="0">'[3]BACOLOD RENTAL RATES'!#REF!</definedName>
    <definedName name="JkHammer15kg.T" localSheetId="0">'[3]BACOLOD RENTAL RATES'!#REF!</definedName>
    <definedName name="Loader.76m3.T" localSheetId="0">'[3]BACOLOD RENTAL RATES'!#REF!</definedName>
    <definedName name="Loader.83m3.T" localSheetId="0">'[3]BACOLOD RENTAL RATES'!#REF!</definedName>
    <definedName name="Loader.99m3.T" localSheetId="0">'[3]BACOLOD RENTAL RATES'!#REF!</definedName>
    <definedName name="Loader1.3m3.T" localSheetId="0">'[3]BACOLOD RENTAL RATES'!#REF!</definedName>
    <definedName name="Loader1.53m3.T" localSheetId="0">'[3]BACOLOD RENTAL RATES'!#REF!</definedName>
    <definedName name="Loader1.76m3.T" localSheetId="0">'[3]BACOLOD RENTAL RATES'!#REF!</definedName>
    <definedName name="Loader2.29m3.T" localSheetId="0">'[3]BACOLOD RENTAL RATES'!#REF!</definedName>
    <definedName name="Marker1.2ltr.T" localSheetId="0">'[3]BACOLOD RENTAL RATES'!#REF!</definedName>
    <definedName name="Mixer1.T" localSheetId="0">'[3]BACOLOD RENTAL RATES'!#REF!</definedName>
    <definedName name="Mixer2.T" localSheetId="0">'[3]BACOLOD RENTAL RATES'!#REF!</definedName>
    <definedName name="Mixer3.T" localSheetId="0">'[3]BACOLOD RENTAL RATES'!#REF!</definedName>
    <definedName name="Mixer5m3.T" localSheetId="0">'[3]BACOLOD RENTAL RATES'!#REF!</definedName>
    <definedName name="_xlnm.Print_Area" localSheetId="0">'SWA(02-20-26)'!$A$1:$M$34</definedName>
    <definedName name="Pump1750gpm.T" localSheetId="0">'[3]BACOLOD RENTAL RATES'!#REF!</definedName>
    <definedName name="Pump250gpm.T" localSheetId="0">'[3]BACOLOD RENTAL RATES'!#REF!</definedName>
    <definedName name="Pump650gpm.T" localSheetId="0">'[3]BACOLOD RENTAL RATES'!#REF!</definedName>
    <definedName name="Roller10t.T" localSheetId="0">'[3]BACOLOD RENTAL RATES'!#REF!</definedName>
    <definedName name="Roller25t.T" localSheetId="0">'[3]BACOLOD RENTAL RATES'!#REF!</definedName>
    <definedName name="sadfsadf" localSheetId="0">#REF!</definedName>
    <definedName name="Scraper21m3.T" localSheetId="0">'[3]BACOLOD RENTAL RATES'!#REF!</definedName>
    <definedName name="Sealer10hp.T" localSheetId="0">'[3]BACOLOD RENTAL RATES'!#REF!</definedName>
    <definedName name="Shovel1250hp.T" localSheetId="0">'[3]BACOLOD RENTAL RATES'!#REF!</definedName>
    <definedName name="StripMach10hp.T" localSheetId="0">'[3]BACOLOD RENTAL RATES'!#REF!</definedName>
    <definedName name="Sweeper30hp.T" localSheetId="0">'[3]BACOLOD RENTAL RATES'!#REF!</definedName>
    <definedName name="Tractor140hp.T" localSheetId="0">'[3]BACOLOD RENTAL RATES'!#REF!</definedName>
    <definedName name="Tractor215hp.T" localSheetId="0">'[3]BACOLOD RENTAL RATES'!#REF!</definedName>
    <definedName name="Tractor335hp.T" localSheetId="0">'[3]BACOLOD RENTAL RATES'!#REF!</definedName>
    <definedName name="Tractor95hp.T" localSheetId="0">'[3]BACOLOD RENTAL RATES'!#REF!</definedName>
    <definedName name="TrailerHigh25t.T" localSheetId="0">'[3]BACOLOD RENTAL RATES'!#REF!</definedName>
    <definedName name="TrailerLow25t.T" localSheetId="0">'[3]BACOLOD RENTAL RATES'!#REF!</definedName>
    <definedName name="Truck10t.T" localSheetId="0">'[3]BACOLOD RENTAL RATES'!#REF!</definedName>
    <definedName name="Truck5t.T" localSheetId="0">'[3]BACOLOD RENTAL RATES'!#REF!</definedName>
    <definedName name="TruckCrane10t.T" localSheetId="0">'[3]BACOLOD RENTAL RATES'!#REF!</definedName>
    <definedName name="Vib75.T" localSheetId="0">'[3]BACOLOD RENTAL RATES'!#REF!</definedName>
    <definedName name="VibRoll12t.T" localSheetId="0">'[3]BACOLOD RENTAL RATES'!#REF!</definedName>
    <definedName name="VibRoll2t.T" localSheetId="0">'[3]BACOLOD RENTAL RATES'!#REF!</definedName>
    <definedName name="VibRollS10t.T" localSheetId="0">'[3]BACOLOD RENTAL RATES'!#REF!</definedName>
    <definedName name="VibRollT10t.T" localSheetId="0">'[3]BACOLOD RENTAL RATES'!#REF!</definedName>
    <definedName name="WeldMach1.T" localSheetId="0">'[3]BACOLOD RENTAL RATES'!#REF!</definedName>
    <definedName name="WeldMach2.T" localSheetId="0">'[3]BACOLOD RENTAL RATES'!#REF!</definedName>
    <definedName name="WtrTrck3000gal.T" localSheetId="0">'[3]BACOLOD RENTAL RATES'!#REF!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7" i="2" l="1"/>
  <c r="O53" i="2"/>
  <c r="K52" i="2"/>
  <c r="J52" i="2"/>
  <c r="I59" i="2" s="1"/>
  <c r="I52" i="2"/>
  <c r="Q51" i="2"/>
  <c r="O51" i="2"/>
  <c r="K51" i="2"/>
  <c r="G51" i="2"/>
  <c r="E51" i="2"/>
  <c r="B51" i="2"/>
  <c r="A51" i="2"/>
  <c r="Q50" i="2"/>
  <c r="R50" i="2" s="1"/>
  <c r="P50" i="2"/>
  <c r="O50" i="2"/>
  <c r="K50" i="2"/>
  <c r="G50" i="2"/>
  <c r="E50" i="2"/>
  <c r="B50" i="2"/>
  <c r="A50" i="2"/>
  <c r="Q49" i="2"/>
  <c r="P49" i="2"/>
  <c r="O49" i="2"/>
  <c r="K49" i="2"/>
  <c r="G49" i="2"/>
  <c r="E49" i="2"/>
  <c r="B49" i="2"/>
  <c r="A49" i="2"/>
  <c r="P48" i="2"/>
  <c r="K48" i="2"/>
  <c r="G48" i="2"/>
  <c r="E48" i="2"/>
  <c r="Q48" i="2" s="1"/>
  <c r="B48" i="2"/>
  <c r="A48" i="2"/>
  <c r="P47" i="2"/>
  <c r="O47" i="2"/>
  <c r="K47" i="2"/>
  <c r="G47" i="2"/>
  <c r="E47" i="2"/>
  <c r="Q47" i="2" s="1"/>
  <c r="B47" i="2"/>
  <c r="A47" i="2"/>
  <c r="K46" i="2"/>
  <c r="G46" i="2"/>
  <c r="E46" i="2"/>
  <c r="Q46" i="2" s="1"/>
  <c r="B46" i="2"/>
  <c r="A46" i="2"/>
  <c r="K45" i="2"/>
  <c r="L45" i="2" s="1"/>
  <c r="L52" i="2" s="1"/>
  <c r="I55" i="2" s="1"/>
  <c r="G45" i="2"/>
  <c r="G52" i="2" s="1"/>
  <c r="I56" i="2" s="1"/>
  <c r="F45" i="2"/>
  <c r="E45" i="2"/>
  <c r="Q45" i="2" s="1"/>
  <c r="B45" i="2"/>
  <c r="A45" i="2"/>
  <c r="B40" i="2"/>
  <c r="B39" i="2"/>
  <c r="B36" i="2"/>
  <c r="G19" i="2"/>
  <c r="J19" i="2" s="1"/>
  <c r="J18" i="2"/>
  <c r="K18" i="2" s="1"/>
  <c r="G18" i="2"/>
  <c r="G17" i="2"/>
  <c r="G16" i="2"/>
  <c r="G15" i="2"/>
  <c r="J15" i="2" s="1"/>
  <c r="G14" i="2"/>
  <c r="J14" i="2" s="1"/>
  <c r="AA12" i="2"/>
  <c r="Z12" i="2"/>
  <c r="G12" i="2"/>
  <c r="J12" i="2" s="1"/>
  <c r="E11" i="2"/>
  <c r="G11" i="2" s="1"/>
  <c r="G10" i="2"/>
  <c r="J10" i="2" s="1"/>
  <c r="N8" i="2"/>
  <c r="B5" i="2"/>
  <c r="B4" i="2"/>
  <c r="L49" i="2" l="1"/>
  <c r="R48" i="2"/>
  <c r="S48" i="2" s="1"/>
  <c r="L51" i="2"/>
  <c r="L46" i="2"/>
  <c r="H51" i="2"/>
  <c r="O19" i="2"/>
  <c r="K19" i="2"/>
  <c r="R46" i="2"/>
  <c r="S46" i="2" s="1"/>
  <c r="K10" i="2"/>
  <c r="O10" i="2"/>
  <c r="H46" i="2"/>
  <c r="H48" i="2"/>
  <c r="G20" i="2"/>
  <c r="I24" i="2" s="1"/>
  <c r="J11" i="2"/>
  <c r="L48" i="2"/>
  <c r="O12" i="2"/>
  <c r="K12" i="2"/>
  <c r="H50" i="2"/>
  <c r="L50" i="2"/>
  <c r="R47" i="2"/>
  <c r="S47" i="2"/>
  <c r="O14" i="2"/>
  <c r="K14" i="2"/>
  <c r="Q52" i="2"/>
  <c r="R45" i="2"/>
  <c r="H47" i="2"/>
  <c r="O15" i="2"/>
  <c r="K15" i="2"/>
  <c r="L47" i="2"/>
  <c r="H49" i="2"/>
  <c r="L18" i="2"/>
  <c r="O18" i="2"/>
  <c r="J17" i="2"/>
  <c r="R51" i="2"/>
  <c r="S51" i="2" s="1"/>
  <c r="R49" i="2"/>
  <c r="S49" i="2" s="1"/>
  <c r="S50" i="2"/>
  <c r="J16" i="2"/>
  <c r="H45" i="2"/>
  <c r="H12" i="2" l="1"/>
  <c r="H18" i="2"/>
  <c r="H19" i="2"/>
  <c r="H16" i="2"/>
  <c r="L15" i="2"/>
  <c r="O11" i="2"/>
  <c r="L11" i="2"/>
  <c r="K11" i="2"/>
  <c r="K20" i="2" s="1"/>
  <c r="M18" i="2"/>
  <c r="L14" i="2"/>
  <c r="M14" i="2" s="1"/>
  <c r="H15" i="2"/>
  <c r="H11" i="2"/>
  <c r="H52" i="2"/>
  <c r="K16" i="2"/>
  <c r="O16" i="2"/>
  <c r="L16" i="2"/>
  <c r="M16" i="2" s="1"/>
  <c r="J20" i="2"/>
  <c r="I25" i="2" s="1"/>
  <c r="H14" i="2"/>
  <c r="L10" i="2"/>
  <c r="H10" i="2"/>
  <c r="R52" i="2"/>
  <c r="L12" i="2"/>
  <c r="M12" i="2" s="1"/>
  <c r="Q54" i="2"/>
  <c r="Q53" i="2"/>
  <c r="H17" i="2"/>
  <c r="K17" i="2"/>
  <c r="O17" i="2"/>
  <c r="L17" i="2"/>
  <c r="M17" i="2" s="1"/>
  <c r="S45" i="2"/>
  <c r="S52" i="2" s="1"/>
  <c r="L19" i="2"/>
  <c r="M19" i="2" s="1"/>
  <c r="I26" i="2" l="1"/>
  <c r="I27" i="2" s="1"/>
  <c r="M10" i="2"/>
  <c r="L20" i="2"/>
  <c r="I23" i="2" s="1"/>
  <c r="H20" i="2"/>
  <c r="M11" i="2"/>
  <c r="M15" i="2"/>
</calcChain>
</file>

<file path=xl/sharedStrings.xml><?xml version="1.0" encoding="utf-8"?>
<sst xmlns="http://schemas.openxmlformats.org/spreadsheetml/2006/main" count="136" uniqueCount="90">
  <si>
    <t>Q</t>
  </si>
  <si>
    <t>As of February 27, 2026</t>
  </si>
  <si>
    <t>Project Title:</t>
  </si>
  <si>
    <t>Location:</t>
  </si>
  <si>
    <t>ITEM</t>
  </si>
  <si>
    <t>DESCRIPTION OF WORK</t>
  </si>
  <si>
    <t>UNIT</t>
  </si>
  <si>
    <t xml:space="preserve">UNIT </t>
  </si>
  <si>
    <t>PROGRAMMED</t>
  </si>
  <si>
    <t xml:space="preserve">CONTRACT </t>
  </si>
  <si>
    <t>WEIGHT</t>
  </si>
  <si>
    <t>ACCOMPLISHMENT</t>
  </si>
  <si>
    <t>REMARKS/</t>
  </si>
  <si>
    <t>Excavation</t>
  </si>
  <si>
    <t>NO.</t>
  </si>
  <si>
    <t>PRICE</t>
  </si>
  <si>
    <t>QUANTITY</t>
  </si>
  <si>
    <t>AMOUNT</t>
  </si>
  <si>
    <t>%</t>
  </si>
  <si>
    <t>PREVIOUS</t>
  </si>
  <si>
    <t>THIS PERIOD</t>
  </si>
  <si>
    <t>TO DATE</t>
  </si>
  <si>
    <t>STATUS</t>
  </si>
  <si>
    <t>Length</t>
  </si>
  <si>
    <t>Width</t>
  </si>
  <si>
    <t>Height</t>
  </si>
  <si>
    <t>Qty</t>
  </si>
  <si>
    <t>Volume</t>
  </si>
  <si>
    <t>Unit</t>
  </si>
  <si>
    <t>I</t>
  </si>
  <si>
    <t>OTHER GENERAL REQUIREMENTS</t>
  </si>
  <si>
    <t xml:space="preserve">B.5 </t>
  </si>
  <si>
    <t>Project Billboard</t>
  </si>
  <si>
    <t>each</t>
  </si>
  <si>
    <t>804(b)</t>
  </si>
  <si>
    <t>Gravel Bedding</t>
  </si>
  <si>
    <t>B.7</t>
  </si>
  <si>
    <t>Construction Safety and Health Program</t>
  </si>
  <si>
    <t>l.s</t>
  </si>
  <si>
    <t>Thickness</t>
  </si>
  <si>
    <t>B.9</t>
  </si>
  <si>
    <t>Mobilization/ Demobilization</t>
  </si>
  <si>
    <t>II</t>
  </si>
  <si>
    <t>WORK ITEMS</t>
  </si>
  <si>
    <t>801(3)a</t>
  </si>
  <si>
    <t>Removal of Actual Structures and Obstructions</t>
  </si>
  <si>
    <t>sq.m</t>
  </si>
  <si>
    <t>900 (a)</t>
  </si>
  <si>
    <t>Reinforced Concrete Column Footing</t>
  </si>
  <si>
    <t>405(1)</t>
  </si>
  <si>
    <t>Structural Concrete</t>
  </si>
  <si>
    <t>cu.m</t>
  </si>
  <si>
    <t>Painting works</t>
  </si>
  <si>
    <t>Metal Structure</t>
  </si>
  <si>
    <t>kg</t>
  </si>
  <si>
    <t>Pre-Painted Metal Sheets</t>
  </si>
  <si>
    <t>Electrical Works</t>
  </si>
  <si>
    <t>units</t>
  </si>
  <si>
    <t xml:space="preserve">                                                 T  O  T  A  L  S</t>
  </si>
  <si>
    <t>COMPLETED</t>
  </si>
  <si>
    <t>% THIS ACCOMPLISHMENT</t>
  </si>
  <si>
    <t>TOTAL PROJECT COST</t>
  </si>
  <si>
    <t xml:space="preserve"> </t>
  </si>
  <si>
    <t>TOTAL THIS  ACCOMPLISHMENT</t>
  </si>
  <si>
    <t>LESS ADVANCED PAYMENT</t>
  </si>
  <si>
    <t>TOTAL THIS VOUCHER</t>
  </si>
  <si>
    <t>Prepared by:</t>
  </si>
  <si>
    <t>Checked by:</t>
  </si>
  <si>
    <t xml:space="preserve">Recommending Approval: </t>
  </si>
  <si>
    <t>Approved:</t>
  </si>
  <si>
    <t>DIXIE R. CABRERA</t>
  </si>
  <si>
    <t>KATHLEEN MEI P. BAGASIN</t>
  </si>
  <si>
    <t>KINGSTON JAMES S. DELA CRUZ</t>
  </si>
  <si>
    <t>GEN. EDGAR B. AGLIPAY (RET.)</t>
  </si>
  <si>
    <t>Engineer II</t>
  </si>
  <si>
    <t>Chief of Construction Division</t>
  </si>
  <si>
    <t>Provincial Engineer</t>
  </si>
  <si>
    <t>Governor</t>
  </si>
  <si>
    <t>As of  _____________________, 2020</t>
  </si>
  <si>
    <t>A.</t>
  </si>
  <si>
    <t>ORIGINAL</t>
  </si>
  <si>
    <t>on-going</t>
  </si>
  <si>
    <t>MOBILIZATION</t>
  </si>
  <si>
    <t>Requested by:</t>
  </si>
  <si>
    <t>EV INTERIOR CONSTRUCTION</t>
  </si>
  <si>
    <t>MARISSA A. MACADANGDANG</t>
  </si>
  <si>
    <t>MA. VICTORIA E. REYES</t>
  </si>
  <si>
    <t>MANUEL N. MAMBA, M.D.</t>
  </si>
  <si>
    <t>Contractor</t>
  </si>
  <si>
    <t>Engineering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</si>
</sst>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* #,##0.000_-;\-* #,##0.000_-;_-* &quot;-&quot;???_-;_-@_-"/>
    <numFmt numFmtId="165" formatCode="_(* #,##0.00_);_(* \(#,##0.00\);_(* &quot;-&quot;??_);_(@_)"/>
    <numFmt numFmtId="166" formatCode="_(* #,##0.000_);_(* \(#,##0.000\);_(* &quot;-&quot;??_);_(@_)"/>
    <numFmt numFmtId="167" formatCode="_(&quot;P&quot;* #,##0.00_);_(&quot;P&quot;* \(#,##0.00\);_(&quot;P&quot;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b/>
      <sz val="9"/>
      <color theme="1"/>
      <name val="Aptos Narrow"/>
      <family val="2"/>
      <scheme val="minor"/>
    </font>
    <font>
      <b/>
      <sz val="9"/>
      <color rgb="FFFF0000"/>
      <name val="Arial"/>
      <family val="2"/>
    </font>
    <font>
      <sz val="9"/>
      <name val="Arial Narrow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43" fontId="4" fillId="0" borderId="0" xfId="1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4" fontId="6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/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64" fontId="0" fillId="0" borderId="18" xfId="0" applyNumberFormat="1" applyBorder="1"/>
    <xf numFmtId="43" fontId="4" fillId="0" borderId="0" xfId="1" applyFont="1" applyBorder="1"/>
    <xf numFmtId="43" fontId="4" fillId="0" borderId="18" xfId="1" applyFont="1" applyBorder="1"/>
    <xf numFmtId="0" fontId="4" fillId="0" borderId="18" xfId="0" applyFont="1" applyBorder="1"/>
    <xf numFmtId="1" fontId="9" fillId="2" borderId="19" xfId="0" applyNumberFormat="1" applyFont="1" applyFill="1" applyBorder="1" applyAlignment="1">
      <alignment horizontal="center" vertical="center"/>
    </xf>
    <xf numFmtId="0" fontId="9" fillId="2" borderId="20" xfId="0" applyFont="1" applyFill="1" applyBorder="1"/>
    <xf numFmtId="0" fontId="7" fillId="2" borderId="21" xfId="0" applyFont="1" applyFill="1" applyBorder="1"/>
    <xf numFmtId="0" fontId="7" fillId="2" borderId="22" xfId="0" applyFont="1" applyFill="1" applyBorder="1" applyAlignment="1">
      <alignment horizontal="center"/>
    </xf>
    <xf numFmtId="4" fontId="7" fillId="2" borderId="20" xfId="1" applyNumberFormat="1" applyFont="1" applyFill="1" applyBorder="1" applyAlignment="1">
      <alignment vertical="center"/>
    </xf>
    <xf numFmtId="165" fontId="7" fillId="2" borderId="23" xfId="1" applyNumberFormat="1" applyFont="1" applyFill="1" applyBorder="1" applyAlignment="1"/>
    <xf numFmtId="43" fontId="7" fillId="2" borderId="24" xfId="1" applyFont="1" applyFill="1" applyBorder="1" applyAlignment="1">
      <alignment horizontal="center"/>
    </xf>
    <xf numFmtId="10" fontId="7" fillId="2" borderId="25" xfId="3" applyNumberFormat="1" applyFont="1" applyFill="1" applyBorder="1" applyAlignment="1">
      <alignment horizontal="center"/>
    </xf>
    <xf numFmtId="43" fontId="7" fillId="2" borderId="26" xfId="1" applyFont="1" applyFill="1" applyBorder="1" applyAlignment="1"/>
    <xf numFmtId="43" fontId="7" fillId="2" borderId="24" xfId="1" applyFont="1" applyFill="1" applyBorder="1"/>
    <xf numFmtId="10" fontId="7" fillId="2" borderId="24" xfId="3" applyNumberFormat="1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9" fontId="0" fillId="2" borderId="28" xfId="3" applyFont="1" applyFill="1" applyBorder="1"/>
    <xf numFmtId="43" fontId="4" fillId="2" borderId="26" xfId="1" applyFont="1" applyFill="1" applyBorder="1"/>
    <xf numFmtId="43" fontId="4" fillId="2" borderId="0" xfId="1" applyFont="1" applyFill="1"/>
    <xf numFmtId="0" fontId="4" fillId="2" borderId="0" xfId="0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0" fontId="4" fillId="2" borderId="0" xfId="0" applyFont="1" applyFill="1"/>
    <xf numFmtId="1" fontId="7" fillId="0" borderId="19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5" fontId="8" fillId="0" borderId="21" xfId="4" applyFont="1" applyFill="1" applyBorder="1" applyAlignment="1">
      <alignment horizontal="center" vertical="center"/>
    </xf>
    <xf numFmtId="165" fontId="7" fillId="0" borderId="26" xfId="4" applyFont="1" applyBorder="1" applyAlignment="1"/>
    <xf numFmtId="165" fontId="7" fillId="0" borderId="23" xfId="1" applyNumberFormat="1" applyFont="1" applyBorder="1" applyAlignment="1"/>
    <xf numFmtId="43" fontId="7" fillId="0" borderId="24" xfId="1" applyFont="1" applyFill="1" applyBorder="1" applyAlignment="1">
      <alignment horizontal="center"/>
    </xf>
    <xf numFmtId="10" fontId="7" fillId="0" borderId="25" xfId="3" applyNumberFormat="1" applyFont="1" applyFill="1" applyBorder="1" applyAlignment="1">
      <alignment horizontal="center"/>
    </xf>
    <xf numFmtId="43" fontId="10" fillId="0" borderId="26" xfId="1" applyFont="1" applyFill="1" applyBorder="1" applyAlignment="1"/>
    <xf numFmtId="43" fontId="7" fillId="0" borderId="24" xfId="1" applyFont="1" applyFill="1" applyBorder="1"/>
    <xf numFmtId="43" fontId="7" fillId="0" borderId="26" xfId="1" applyFont="1" applyFill="1" applyBorder="1" applyAlignment="1"/>
    <xf numFmtId="10" fontId="7" fillId="0" borderId="24" xfId="3" applyNumberFormat="1" applyFont="1" applyFill="1" applyBorder="1" applyAlignment="1">
      <alignment horizontal="center"/>
    </xf>
    <xf numFmtId="0" fontId="7" fillId="0" borderId="27" xfId="0" applyFont="1" applyBorder="1" applyAlignment="1">
      <alignment horizontal="center"/>
    </xf>
    <xf numFmtId="9" fontId="0" fillId="0" borderId="28" xfId="3" applyFont="1" applyFill="1" applyBorder="1"/>
    <xf numFmtId="43" fontId="4" fillId="0" borderId="26" xfId="1" applyFont="1" applyBorder="1"/>
    <xf numFmtId="1" fontId="7" fillId="0" borderId="9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7" fillId="0" borderId="26" xfId="4" applyFont="1" applyBorder="1" applyAlignment="1">
      <alignment vertical="center"/>
    </xf>
    <xf numFmtId="9" fontId="0" fillId="0" borderId="30" xfId="3" applyFont="1" applyFill="1" applyBorder="1"/>
    <xf numFmtId="2" fontId="4" fillId="0" borderId="0" xfId="0" applyNumberFormat="1" applyFont="1" applyAlignment="1">
      <alignment horizontal="center"/>
    </xf>
    <xf numFmtId="165" fontId="11" fillId="0" borderId="0" xfId="0" applyNumberFormat="1" applyFont="1"/>
    <xf numFmtId="0" fontId="9" fillId="2" borderId="21" xfId="0" applyFont="1" applyFill="1" applyBorder="1"/>
    <xf numFmtId="0" fontId="9" fillId="2" borderId="22" xfId="0" applyFont="1" applyFill="1" applyBorder="1" applyAlignment="1">
      <alignment horizontal="center"/>
    </xf>
    <xf numFmtId="43" fontId="10" fillId="2" borderId="24" xfId="1" applyFont="1" applyFill="1" applyBorder="1" applyAlignment="1"/>
    <xf numFmtId="0" fontId="10" fillId="2" borderId="20" xfId="0" applyFont="1" applyFill="1" applyBorder="1" applyAlignment="1">
      <alignment horizontal="center"/>
    </xf>
    <xf numFmtId="0" fontId="7" fillId="0" borderId="31" xfId="0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6" fontId="7" fillId="0" borderId="26" xfId="4" applyNumberFormat="1" applyFont="1" applyBorder="1" applyAlignment="1">
      <alignment vertical="center"/>
    </xf>
    <xf numFmtId="9" fontId="0" fillId="0" borderId="32" xfId="3" applyFont="1" applyFill="1" applyBorder="1"/>
    <xf numFmtId="0" fontId="8" fillId="0" borderId="33" xfId="0" applyFont="1" applyBorder="1"/>
    <xf numFmtId="9" fontId="4" fillId="0" borderId="34" xfId="0" applyNumberFormat="1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7" fillId="0" borderId="19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8" fillId="0" borderId="0" xfId="0" applyFont="1"/>
    <xf numFmtId="9" fontId="4" fillId="0" borderId="0" xfId="0" applyNumberFormat="1" applyFont="1" applyAlignment="1">
      <alignment horizontal="center"/>
    </xf>
    <xf numFmtId="0" fontId="9" fillId="0" borderId="28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165" fontId="7" fillId="0" borderId="34" xfId="0" applyNumberFormat="1" applyFont="1" applyBorder="1" applyAlignment="1">
      <alignment vertical="center"/>
    </xf>
    <xf numFmtId="165" fontId="9" fillId="0" borderId="35" xfId="0" applyNumberFormat="1" applyFont="1" applyBorder="1" applyAlignment="1">
      <alignment vertical="center"/>
    </xf>
    <xf numFmtId="10" fontId="9" fillId="0" borderId="35" xfId="3" applyNumberFormat="1" applyFont="1" applyBorder="1" applyAlignment="1">
      <alignment vertical="center"/>
    </xf>
    <xf numFmtId="165" fontId="12" fillId="0" borderId="35" xfId="0" applyNumberFormat="1" applyFont="1" applyBorder="1" applyAlignment="1">
      <alignment vertical="center"/>
    </xf>
    <xf numFmtId="10" fontId="9" fillId="0" borderId="35" xfId="3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43" fontId="4" fillId="0" borderId="0" xfId="1" applyFont="1" applyAlignment="1">
      <alignment vertical="center"/>
    </xf>
    <xf numFmtId="165" fontId="4" fillId="0" borderId="0" xfId="0" applyNumberFormat="1" applyFont="1"/>
    <xf numFmtId="0" fontId="9" fillId="0" borderId="0" xfId="0" applyFont="1" applyAlignment="1">
      <alignment horizontal="left"/>
    </xf>
    <xf numFmtId="4" fontId="9" fillId="0" borderId="0" xfId="0" applyNumberFormat="1" applyFont="1" applyAlignment="1">
      <alignment horizontal="left"/>
    </xf>
    <xf numFmtId="165" fontId="7" fillId="0" borderId="0" xfId="0" applyNumberFormat="1" applyFont="1"/>
    <xf numFmtId="166" fontId="7" fillId="0" borderId="0" xfId="0" applyNumberFormat="1" applyFont="1"/>
    <xf numFmtId="0" fontId="7" fillId="0" borderId="0" xfId="0" applyFont="1"/>
    <xf numFmtId="4" fontId="7" fillId="0" borderId="0" xfId="0" applyNumberFormat="1" applyFont="1"/>
    <xf numFmtId="4" fontId="4" fillId="0" borderId="0" xfId="0" applyNumberFormat="1" applyFont="1"/>
    <xf numFmtId="10" fontId="7" fillId="0" borderId="0" xfId="3" applyNumberFormat="1" applyFont="1" applyBorder="1" applyAlignment="1">
      <alignment horizontal="right"/>
    </xf>
    <xf numFmtId="0" fontId="13" fillId="0" borderId="0" xfId="0" applyFont="1"/>
    <xf numFmtId="43" fontId="7" fillId="0" borderId="0" xfId="1" applyFont="1" applyBorder="1"/>
    <xf numFmtId="167" fontId="7" fillId="0" borderId="0" xfId="2" applyNumberFormat="1" applyFont="1" applyBorder="1" applyAlignment="1">
      <alignment horizontal="center"/>
    </xf>
    <xf numFmtId="0" fontId="7" fillId="0" borderId="0" xfId="0" applyFont="1" applyAlignment="1">
      <alignment horizontal="right"/>
    </xf>
    <xf numFmtId="167" fontId="7" fillId="0" borderId="0" xfId="2" applyNumberFormat="1" applyFont="1" applyBorder="1" applyAlignment="1">
      <alignment horizontal="right"/>
    </xf>
    <xf numFmtId="167" fontId="7" fillId="0" borderId="36" xfId="2" applyNumberFormat="1" applyFont="1" applyFill="1" applyBorder="1" applyAlignment="1">
      <alignment horizontal="center"/>
    </xf>
    <xf numFmtId="167" fontId="9" fillId="0" borderId="37" xfId="2" applyNumberFormat="1" applyFont="1" applyBorder="1" applyAlignment="1">
      <alignment horizontal="center"/>
    </xf>
    <xf numFmtId="4" fontId="7" fillId="0" borderId="0" xfId="1" applyNumberFormat="1" applyFont="1" applyBorder="1"/>
    <xf numFmtId="167" fontId="9" fillId="0" borderId="0" xfId="2" applyNumberFormat="1" applyFont="1" applyBorder="1" applyAlignment="1">
      <alignment horizontal="center"/>
    </xf>
    <xf numFmtId="4" fontId="0" fillId="0" borderId="0" xfId="0" applyNumberFormat="1"/>
    <xf numFmtId="0" fontId="5" fillId="0" borderId="0" xfId="0" applyFont="1" applyAlignment="1">
      <alignment horizontal="left"/>
    </xf>
    <xf numFmtId="43" fontId="7" fillId="0" borderId="0" xfId="1" applyFont="1"/>
    <xf numFmtId="0" fontId="6" fillId="0" borderId="0" xfId="0" applyFont="1" applyAlignment="1">
      <alignment horizontal="left"/>
    </xf>
    <xf numFmtId="0" fontId="7" fillId="0" borderId="3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3" borderId="19" xfId="0" applyFont="1" applyFill="1" applyBorder="1" applyAlignment="1">
      <alignment horizontal="left"/>
    </xf>
    <xf numFmtId="0" fontId="9" fillId="3" borderId="20" xfId="0" applyFont="1" applyFill="1" applyBorder="1"/>
    <xf numFmtId="0" fontId="9" fillId="3" borderId="21" xfId="0" applyFont="1" applyFill="1" applyBorder="1"/>
    <xf numFmtId="0" fontId="9" fillId="3" borderId="22" xfId="0" applyFont="1" applyFill="1" applyBorder="1"/>
    <xf numFmtId="43" fontId="6" fillId="3" borderId="20" xfId="1" applyFont="1" applyFill="1" applyBorder="1" applyAlignment="1">
      <alignment horizontal="center"/>
    </xf>
    <xf numFmtId="43" fontId="6" fillId="3" borderId="22" xfId="1" applyFont="1" applyFill="1" applyBorder="1" applyAlignment="1">
      <alignment horizontal="center"/>
    </xf>
    <xf numFmtId="43" fontId="6" fillId="3" borderId="21" xfId="1" applyFont="1" applyFill="1" applyBorder="1" applyAlignment="1">
      <alignment horizontal="center"/>
    </xf>
    <xf numFmtId="43" fontId="9" fillId="3" borderId="22" xfId="1" applyFont="1" applyFill="1" applyBorder="1" applyAlignment="1">
      <alignment horizontal="center"/>
    </xf>
    <xf numFmtId="43" fontId="7" fillId="3" borderId="26" xfId="1" applyFont="1" applyFill="1" applyBorder="1"/>
    <xf numFmtId="165" fontId="7" fillId="3" borderId="20" xfId="0" applyNumberFormat="1" applyFont="1" applyFill="1" applyBorder="1" applyAlignment="1">
      <alignment horizontal="center"/>
    </xf>
    <xf numFmtId="165" fontId="7" fillId="3" borderId="24" xfId="0" applyNumberFormat="1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9" fontId="0" fillId="0" borderId="0" xfId="0" applyNumberFormat="1"/>
    <xf numFmtId="0" fontId="7" fillId="0" borderId="26" xfId="0" applyFont="1" applyBorder="1" applyAlignment="1">
      <alignment horizontal="center" wrapText="1"/>
    </xf>
    <xf numFmtId="0" fontId="14" fillId="0" borderId="20" xfId="0" applyFont="1" applyBorder="1"/>
    <xf numFmtId="4" fontId="7" fillId="0" borderId="26" xfId="1" applyNumberFormat="1" applyFont="1" applyBorder="1"/>
    <xf numFmtId="166" fontId="7" fillId="0" borderId="23" xfId="1" applyNumberFormat="1" applyFont="1" applyBorder="1" applyAlignment="1"/>
    <xf numFmtId="2" fontId="7" fillId="0" borderId="24" xfId="0" applyNumberFormat="1" applyFont="1" applyBorder="1" applyAlignment="1">
      <alignment horizontal="center"/>
    </xf>
    <xf numFmtId="43" fontId="7" fillId="0" borderId="24" xfId="1" applyFont="1" applyBorder="1" applyAlignment="1"/>
    <xf numFmtId="10" fontId="7" fillId="0" borderId="24" xfId="3" applyNumberFormat="1" applyFont="1" applyBorder="1" applyAlignment="1">
      <alignment horizontal="center"/>
    </xf>
    <xf numFmtId="165" fontId="7" fillId="0" borderId="26" xfId="1" applyNumberFormat="1" applyFont="1" applyBorder="1"/>
    <xf numFmtId="0" fontId="7" fillId="0" borderId="10" xfId="0" applyFont="1" applyBorder="1" applyAlignment="1">
      <alignment vertical="center"/>
    </xf>
    <xf numFmtId="165" fontId="7" fillId="0" borderId="0" xfId="2" applyNumberFormat="1" applyFont="1" applyBorder="1" applyAlignment="1">
      <alignment horizontal="center"/>
    </xf>
    <xf numFmtId="4" fontId="5" fillId="0" borderId="0" xfId="0" applyNumberFormat="1" applyFont="1"/>
    <xf numFmtId="0" fontId="6" fillId="0" borderId="0" xfId="0" applyFont="1" applyAlignment="1">
      <alignment horizontal="center"/>
    </xf>
  </cellXfs>
  <cellStyles count="5">
    <cellStyle name="Comma" xfId="1" builtinId="3"/>
    <cellStyle name="Comma 2" xfId="4" xr:uid="{9B2960F5-0C68-473F-BA6D-84FFEA81A1F7}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TEWA.xlsx" TargetMode="External"/><Relationship Id="rId2" Type="http://schemas.openxmlformats.org/officeDocument/2006/relationships/externalLinkPath" Target="file:///C:\Users\bert\Downloads\STEWA.xlsx" TargetMode="External"/><Relationship Id="rId1" Type="http://schemas.openxmlformats.org/officeDocument/2006/relationships/externalLinkPath" Target="/Users/bert/Downloads/STEW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ver/Desktop/PEO_DENVER/&#160;/nblb/NCL/swa_NCLBUILDERS.xlsx" TargetMode="External"/><Relationship Id="rId1" Type="http://schemas.openxmlformats.org/officeDocument/2006/relationships/externalLinkPath" Target="/Users/Denver/Desktop/PEO_DENVER/&#160;/nblb/NCL/swa_NCLBUILDER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esktop/Users/Ernie/AppData/Local/Temp/Equipment/Plant%20and%20Equipment%20Rates%20Hire%20ACEL.xls" TargetMode="External"/><Relationship Id="rId1" Type="http://schemas.openxmlformats.org/officeDocument/2006/relationships/externalLinkPath" Target="/Users/user/Desktop/Users/Ernie/AppData/Local/Temp/Equipment/Plant%20and%20Equipment%20Rates%20Hire%20A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me elapse"/>
      <sheetName val="time elapse (2)"/>
      <sheetName val="stewa(EXPIRY)"/>
      <sheetName val="SWA"/>
      <sheetName val="STEWA (02-20-26)"/>
      <sheetName val="STEWA (July 26, 2024)"/>
      <sheetName val="STEWA (August 16, 2024)"/>
      <sheetName val="SWA (August 23, 2024)"/>
      <sheetName val="STEWA (August 23, 2024)"/>
      <sheetName val="SWA (August 30, 2024)"/>
      <sheetName val="STEWA (August 30, 2024)"/>
      <sheetName val="swa_BC"/>
      <sheetName val="500(1)a3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I12" t="str">
            <v>REPAIR OF VICENTE TRINIDAD NATIONAL HIGH SCHOOL GYMNASIUM, IGUIG, CAGAYAN</v>
          </cell>
        </row>
        <row r="13">
          <cell r="D13" t="str">
            <v>Iguig, Cagayan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WA(abd)"/>
      <sheetName val="SWA_C"/>
      <sheetName val="vo1_c"/>
      <sheetName val="vo1_A"/>
      <sheetName val="summary"/>
      <sheetName val="gani"/>
    </sheetNames>
    <sheetDataSet>
      <sheetData sheetId="0" refreshError="1">
        <row r="12">
          <cell r="B12" t="str">
            <v>CONCRETING OF FARM TO MARKET ROAD ZIMINILA</v>
          </cell>
        </row>
        <row r="13">
          <cell r="B13" t="str">
            <v>CAMALANIUGAN, CAGAYAN</v>
          </cell>
        </row>
        <row r="17">
          <cell r="A17" t="str">
            <v>105(1)</v>
          </cell>
          <cell r="B17" t="str">
            <v>Sub Grade Preparation</v>
          </cell>
          <cell r="C17">
            <v>0</v>
          </cell>
          <cell r="D17">
            <v>1075.8</v>
          </cell>
          <cell r="F17">
            <v>102.17</v>
          </cell>
          <cell r="G17">
            <v>109364.91</v>
          </cell>
        </row>
        <row r="18">
          <cell r="A18" t="str">
            <v>200(1)</v>
          </cell>
          <cell r="B18" t="str">
            <v>Aggregate Sub Base Coarse</v>
          </cell>
          <cell r="C18">
            <v>0</v>
          </cell>
          <cell r="D18">
            <v>173.25</v>
          </cell>
          <cell r="G18">
            <v>223636.89</v>
          </cell>
        </row>
        <row r="19">
          <cell r="A19" t="str">
            <v>311(1)C</v>
          </cell>
          <cell r="B19" t="str">
            <v>PCCP</v>
          </cell>
          <cell r="C19">
            <v>0</v>
          </cell>
          <cell r="D19">
            <v>660</v>
          </cell>
          <cell r="G19">
            <v>672973.03</v>
          </cell>
        </row>
        <row r="20">
          <cell r="A20" t="str">
            <v>B.9</v>
          </cell>
          <cell r="B20" t="str">
            <v>Mobilization/ Demobilization</v>
          </cell>
          <cell r="C20">
            <v>0</v>
          </cell>
          <cell r="D20">
            <v>1</v>
          </cell>
          <cell r="G20">
            <v>25951.88</v>
          </cell>
        </row>
        <row r="21">
          <cell r="A21" t="str">
            <v>B.5</v>
          </cell>
          <cell r="B21" t="str">
            <v>Billboards and Signages</v>
          </cell>
          <cell r="C21">
            <v>0</v>
          </cell>
          <cell r="D21">
            <v>2</v>
          </cell>
          <cell r="G21">
            <v>10196.76</v>
          </cell>
        </row>
        <row r="22">
          <cell r="A22" t="str">
            <v>B.7</v>
          </cell>
          <cell r="B22" t="str">
            <v>Occupational Health and Safety</v>
          </cell>
          <cell r="C22">
            <v>0</v>
          </cell>
          <cell r="D22">
            <v>1</v>
          </cell>
          <cell r="G22">
            <v>28041.09</v>
          </cell>
        </row>
        <row r="23">
          <cell r="A23" t="str">
            <v>A.1.1(8a)</v>
          </cell>
          <cell r="B23" t="str">
            <v>Provisions of Field Office for the Engineer</v>
          </cell>
          <cell r="C23">
            <v>0</v>
          </cell>
          <cell r="D23">
            <v>1.83</v>
          </cell>
          <cell r="G23">
            <v>20992.58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COLOD RENTAL RATES"/>
      <sheetName val="Equipment Rental ACEL"/>
      <sheetName val="ACEL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AB9D-16F3-4048-BE0F-4795FB820898}">
  <sheetPr>
    <pageSetUpPr fitToPage="1"/>
  </sheetPr>
  <dimension ref="A1:AA66"/>
  <sheetViews>
    <sheetView tabSelected="1" view="pageBreakPreview" topLeftCell="A4" zoomScale="90" zoomScaleNormal="100" zoomScaleSheetLayoutView="90" workbookViewId="0">
      <pane xSplit="3" topLeftCell="D1" activePane="topRight" state="frozen"/>
      <selection activeCell="A4" sqref="A4"/>
      <selection pane="topRight" sqref="A1:M34"/>
    </sheetView>
  </sheetViews>
  <sheetFormatPr defaultRowHeight="15" x14ac:dyDescent="0.25"/>
  <cols>
    <col min="1" max="1" width="13.28515625" customWidth="1"/>
    <col min="2" max="2" width="24.42578125" customWidth="1"/>
    <col min="3" max="3" width="22.5703125" customWidth="1"/>
    <col min="4" max="4" width="9.5703125" customWidth="1"/>
    <col min="5" max="5" width="11.5703125" style="125" customWidth="1"/>
    <col min="6" max="6" width="12.42578125" customWidth="1"/>
    <col min="7" max="7" width="16.140625" customWidth="1"/>
    <col min="8" max="8" width="9.85546875" customWidth="1"/>
    <col min="9" max="9" width="13.7109375" customWidth="1"/>
    <col min="10" max="11" width="15.42578125" customWidth="1"/>
    <col min="12" max="12" width="11" customWidth="1"/>
    <col min="13" max="13" width="14" customWidth="1"/>
    <col min="14" max="14" width="15.140625" bestFit="1" customWidth="1"/>
    <col min="15" max="15" width="8.7109375" style="3" customWidth="1"/>
    <col min="16" max="16" width="10.28515625" style="3" customWidth="1"/>
    <col min="17" max="17" width="11.7109375" customWidth="1"/>
    <col min="18" max="18" width="11" bestFit="1" customWidth="1"/>
    <col min="19" max="19" width="11.7109375" bestFit="1" customWidth="1"/>
    <col min="20" max="20" width="12.85546875" bestFit="1" customWidth="1"/>
  </cols>
  <sheetData>
    <row r="1" spans="1:27" ht="21" customHeigh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7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27" x14ac:dyDescent="0.25">
      <c r="A3" s="5"/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</row>
    <row r="4" spans="1:27" s="11" customFormat="1" ht="13.15" customHeight="1" x14ac:dyDescent="0.25">
      <c r="A4" s="8" t="s">
        <v>2</v>
      </c>
      <c r="B4" s="9" t="str">
        <f>'[1]STEWA (02-20-26)'!I12</f>
        <v>REPAIR OF VICENTE TRINIDAD NATIONAL HIGH SCHOOL GYMNASIUM, IGUIG, CAGAYAN</v>
      </c>
      <c r="C4" s="9"/>
      <c r="D4" s="9"/>
      <c r="E4" s="10"/>
      <c r="F4" s="9"/>
      <c r="G4" s="9"/>
      <c r="H4" s="9"/>
      <c r="I4" s="9"/>
      <c r="J4" s="9"/>
      <c r="K4" s="9"/>
      <c r="L4" s="9"/>
      <c r="M4" s="9"/>
      <c r="N4"/>
      <c r="O4" s="3"/>
      <c r="P4" s="3"/>
      <c r="Q4" s="3"/>
      <c r="R4" s="3"/>
      <c r="S4" s="3"/>
      <c r="T4" s="3"/>
      <c r="U4" s="3"/>
      <c r="V4" s="3"/>
      <c r="W4"/>
    </row>
    <row r="5" spans="1:27" s="11" customFormat="1" ht="13.15" customHeight="1" x14ac:dyDescent="0.25">
      <c r="A5" s="12" t="s">
        <v>3</v>
      </c>
      <c r="B5" s="13" t="str">
        <f>'[1]STEWA (02-20-26)'!D13</f>
        <v>Iguig, Cagayan</v>
      </c>
      <c r="C5" s="13"/>
      <c r="D5" s="13"/>
      <c r="E5" s="14"/>
      <c r="F5" s="13"/>
      <c r="G5" s="13"/>
      <c r="H5" s="13"/>
      <c r="I5" s="13"/>
      <c r="J5" s="13"/>
      <c r="K5" s="13"/>
      <c r="L5" s="13"/>
      <c r="M5" s="13"/>
      <c r="N5"/>
      <c r="O5" s="3"/>
      <c r="P5" s="3"/>
      <c r="Q5" s="3"/>
      <c r="R5" s="3"/>
      <c r="S5" s="3"/>
      <c r="T5" s="3"/>
      <c r="U5" s="3"/>
      <c r="V5" s="3"/>
      <c r="W5"/>
    </row>
    <row r="6" spans="1:27" s="11" customFormat="1" ht="13.15" customHeight="1" thickBot="1" x14ac:dyDescent="0.3">
      <c r="A6" s="5"/>
      <c r="B6" s="6"/>
      <c r="C6" s="6"/>
      <c r="D6" s="6"/>
      <c r="E6" s="7"/>
      <c r="F6" s="6"/>
      <c r="G6" s="6"/>
      <c r="H6" s="6"/>
      <c r="I6" s="6"/>
      <c r="J6" s="6"/>
      <c r="K6" s="6"/>
      <c r="L6" s="6"/>
      <c r="M6" s="6"/>
      <c r="N6"/>
      <c r="O6" s="3"/>
      <c r="P6" s="3"/>
      <c r="Q6" s="3"/>
      <c r="R6" s="3"/>
      <c r="S6" s="3"/>
      <c r="T6" s="3"/>
      <c r="U6" s="3"/>
      <c r="V6" s="3"/>
    </row>
    <row r="7" spans="1:27" s="11" customFormat="1" ht="13.15" customHeight="1" thickBot="1" x14ac:dyDescent="0.3">
      <c r="A7" s="15" t="s">
        <v>4</v>
      </c>
      <c r="B7" s="16" t="s">
        <v>5</v>
      </c>
      <c r="C7" s="17"/>
      <c r="D7" s="18" t="s">
        <v>6</v>
      </c>
      <c r="E7" s="19" t="s">
        <v>7</v>
      </c>
      <c r="F7" s="19" t="s">
        <v>8</v>
      </c>
      <c r="G7" s="19" t="s">
        <v>9</v>
      </c>
      <c r="H7" s="20" t="s">
        <v>10</v>
      </c>
      <c r="I7" s="21" t="s">
        <v>11</v>
      </c>
      <c r="J7" s="22"/>
      <c r="K7" s="23"/>
      <c r="L7" s="19" t="s">
        <v>10</v>
      </c>
      <c r="M7" s="24" t="s">
        <v>12</v>
      </c>
      <c r="N7"/>
      <c r="O7" s="3"/>
      <c r="P7" s="3"/>
      <c r="Q7" s="3"/>
      <c r="R7" s="3"/>
      <c r="S7" s="3"/>
      <c r="T7" s="3"/>
      <c r="U7" s="3"/>
      <c r="V7" s="25">
        <v>802</v>
      </c>
      <c r="W7" s="26" t="s">
        <v>13</v>
      </c>
    </row>
    <row r="8" spans="1:27" s="39" customFormat="1" ht="13.15" customHeight="1" thickBot="1" x14ac:dyDescent="0.3">
      <c r="A8" s="27" t="s">
        <v>14</v>
      </c>
      <c r="B8" s="28"/>
      <c r="C8" s="29"/>
      <c r="D8" s="30"/>
      <c r="E8" s="31" t="s">
        <v>15</v>
      </c>
      <c r="F8" s="31" t="s">
        <v>16</v>
      </c>
      <c r="G8" s="31" t="s">
        <v>17</v>
      </c>
      <c r="H8" s="32" t="s">
        <v>18</v>
      </c>
      <c r="I8" s="33" t="s">
        <v>19</v>
      </c>
      <c r="J8" s="34" t="s">
        <v>20</v>
      </c>
      <c r="K8" s="34" t="s">
        <v>21</v>
      </c>
      <c r="L8" s="31" t="s">
        <v>18</v>
      </c>
      <c r="M8" s="35" t="s">
        <v>22</v>
      </c>
      <c r="N8" s="36" t="e">
        <f>#REF!/6.1</f>
        <v>#REF!</v>
      </c>
      <c r="O8" s="37"/>
      <c r="P8" s="38"/>
      <c r="Q8" s="38"/>
      <c r="R8" s="38"/>
      <c r="S8" s="38"/>
      <c r="T8" s="38"/>
      <c r="U8" s="38"/>
      <c r="V8" s="38" t="s">
        <v>23</v>
      </c>
      <c r="W8" s="39" t="s">
        <v>24</v>
      </c>
      <c r="X8" s="39" t="s">
        <v>25</v>
      </c>
      <c r="Y8" s="39" t="s">
        <v>26</v>
      </c>
      <c r="Z8" s="39" t="s">
        <v>27</v>
      </c>
      <c r="AA8" s="39" t="s">
        <v>28</v>
      </c>
    </row>
    <row r="9" spans="1:27" s="57" customFormat="1" ht="13.15" customHeight="1" thickBot="1" x14ac:dyDescent="0.3">
      <c r="A9" s="40" t="s">
        <v>29</v>
      </c>
      <c r="B9" s="41" t="s">
        <v>30</v>
      </c>
      <c r="C9" s="42"/>
      <c r="D9" s="43"/>
      <c r="E9" s="44"/>
      <c r="F9" s="45"/>
      <c r="G9" s="46"/>
      <c r="H9" s="47"/>
      <c r="I9" s="48"/>
      <c r="J9" s="49"/>
      <c r="K9" s="48"/>
      <c r="L9" s="50"/>
      <c r="M9" s="51"/>
      <c r="N9" s="52"/>
      <c r="O9" s="53"/>
      <c r="P9" s="54"/>
      <c r="Q9" s="54"/>
      <c r="R9" s="54"/>
      <c r="S9" s="54"/>
      <c r="T9" s="54"/>
      <c r="U9" s="54"/>
      <c r="V9" s="54"/>
      <c r="W9" s="55"/>
      <c r="X9" s="56"/>
      <c r="Y9" s="55"/>
    </row>
    <row r="10" spans="1:27" s="11" customFormat="1" ht="13.15" customHeight="1" thickBot="1" x14ac:dyDescent="0.3">
      <c r="A10" s="58" t="s">
        <v>31</v>
      </c>
      <c r="B10" s="59" t="s">
        <v>32</v>
      </c>
      <c r="C10" s="60"/>
      <c r="D10" s="61" t="s">
        <v>33</v>
      </c>
      <c r="E10" s="62">
        <v>12431.85</v>
      </c>
      <c r="F10" s="63">
        <v>1</v>
      </c>
      <c r="G10" s="64">
        <f t="shared" ref="G10:G19" si="0">E10*F10</f>
        <v>12431.85</v>
      </c>
      <c r="H10" s="65">
        <f>G10/G20</f>
        <v>5.188125221964361E-3</v>
      </c>
      <c r="I10" s="66"/>
      <c r="J10" s="67">
        <f>N10*G10</f>
        <v>12431.85</v>
      </c>
      <c r="K10" s="68">
        <f>J10-I10</f>
        <v>12431.85</v>
      </c>
      <c r="L10" s="69">
        <f>J10/G20</f>
        <v>5.188125221964361E-3</v>
      </c>
      <c r="M10" s="70" t="str">
        <f>IF(L10=H10,"COMPLETED",IF(L10=0,"Not Yet Started","On going"))</f>
        <v>COMPLETED</v>
      </c>
      <c r="N10" s="71">
        <v>1</v>
      </c>
      <c r="O10" s="72">
        <f>J10/E10</f>
        <v>1</v>
      </c>
      <c r="P10" s="3"/>
      <c r="Q10" s="3"/>
      <c r="R10" s="3"/>
      <c r="S10" s="3"/>
      <c r="T10" s="3"/>
      <c r="U10" s="3"/>
      <c r="V10" s="73" t="s">
        <v>34</v>
      </c>
      <c r="W10" s="26" t="s">
        <v>35</v>
      </c>
      <c r="X10" s="74"/>
      <c r="Y10" s="75"/>
    </row>
    <row r="11" spans="1:27" s="11" customFormat="1" ht="13.15" customHeight="1" thickBot="1" x14ac:dyDescent="0.3">
      <c r="A11" s="58" t="s">
        <v>36</v>
      </c>
      <c r="B11" s="59" t="s">
        <v>37</v>
      </c>
      <c r="C11" s="60"/>
      <c r="D11" s="61" t="s">
        <v>38</v>
      </c>
      <c r="E11" s="76">
        <f>40072.38+0.01</f>
        <v>40072.39</v>
      </c>
      <c r="F11" s="63">
        <v>1</v>
      </c>
      <c r="G11" s="64">
        <f>(E11*F11)</f>
        <v>40072.39</v>
      </c>
      <c r="H11" s="65">
        <f>G11/G20</f>
        <v>1.6723221182960896E-2</v>
      </c>
      <c r="I11" s="66"/>
      <c r="J11" s="67">
        <f t="shared" ref="J11:J19" si="1">N11*G11</f>
        <v>40072.39</v>
      </c>
      <c r="K11" s="68">
        <f t="shared" ref="K11:K19" si="2">J11-I11</f>
        <v>40072.39</v>
      </c>
      <c r="L11" s="69">
        <f>J11/G20</f>
        <v>1.6723221182960896E-2</v>
      </c>
      <c r="M11" s="70" t="str">
        <f>IF(L11=H11,"COMPLETED",IF(L11=0,"Not Yet Started","On going"))</f>
        <v>COMPLETED</v>
      </c>
      <c r="N11" s="71">
        <v>1</v>
      </c>
      <c r="O11" s="72">
        <f t="shared" ref="O11:O19" si="3">J11/E11</f>
        <v>1</v>
      </c>
      <c r="P11" s="3"/>
      <c r="Q11" s="3"/>
      <c r="R11" s="3"/>
      <c r="S11" s="3"/>
      <c r="T11" s="3"/>
      <c r="U11" s="3"/>
      <c r="V11" s="3" t="s">
        <v>23</v>
      </c>
      <c r="W11" s="11" t="s">
        <v>24</v>
      </c>
      <c r="X11" s="11" t="s">
        <v>39</v>
      </c>
      <c r="Y11" s="11" t="s">
        <v>26</v>
      </c>
      <c r="Z11" s="11" t="s">
        <v>27</v>
      </c>
      <c r="AA11" s="11" t="s">
        <v>28</v>
      </c>
    </row>
    <row r="12" spans="1:27" s="11" customFormat="1" ht="13.9" customHeight="1" thickBot="1" x14ac:dyDescent="0.3">
      <c r="A12" s="58" t="s">
        <v>40</v>
      </c>
      <c r="B12" s="59" t="s">
        <v>41</v>
      </c>
      <c r="C12" s="60"/>
      <c r="D12" s="61" t="s">
        <v>38</v>
      </c>
      <c r="E12" s="76">
        <v>17850</v>
      </c>
      <c r="F12" s="63">
        <v>1</v>
      </c>
      <c r="G12" s="64">
        <f t="shared" si="0"/>
        <v>17850</v>
      </c>
      <c r="H12" s="65">
        <f>G12/G20</f>
        <v>7.4492561615579203E-3</v>
      </c>
      <c r="I12" s="66"/>
      <c r="J12" s="67">
        <f t="shared" si="1"/>
        <v>17850</v>
      </c>
      <c r="K12" s="68">
        <f t="shared" si="2"/>
        <v>17850</v>
      </c>
      <c r="L12" s="69">
        <f>J12/G20</f>
        <v>7.4492561615579203E-3</v>
      </c>
      <c r="M12" s="70" t="str">
        <f>IF(L12=H12,"COMPLETED",IF(L12=0,"Not Yet Started","On going"))</f>
        <v>COMPLETED</v>
      </c>
      <c r="N12" s="77">
        <v>1</v>
      </c>
      <c r="O12" s="72">
        <f t="shared" si="3"/>
        <v>1</v>
      </c>
      <c r="P12" s="3"/>
      <c r="Q12" s="3"/>
      <c r="R12" s="3"/>
      <c r="S12" s="3"/>
      <c r="T12" s="3"/>
      <c r="U12" s="3"/>
      <c r="V12" s="3">
        <v>1.5</v>
      </c>
      <c r="W12" s="78">
        <v>1.5</v>
      </c>
      <c r="X12" s="78">
        <v>0.1</v>
      </c>
      <c r="Y12" s="75"/>
      <c r="Z12" s="79">
        <f>V12*W12*X12*Y12</f>
        <v>0</v>
      </c>
      <c r="AA12" s="11" t="e">
        <f>#REF!</f>
        <v>#REF!</v>
      </c>
    </row>
    <row r="13" spans="1:27" s="57" customFormat="1" ht="13.15" customHeight="1" thickBot="1" x14ac:dyDescent="0.3">
      <c r="A13" s="40" t="s">
        <v>42</v>
      </c>
      <c r="B13" s="41" t="s">
        <v>43</v>
      </c>
      <c r="C13" s="80"/>
      <c r="D13" s="81"/>
      <c r="E13" s="44"/>
      <c r="F13" s="45"/>
      <c r="G13" s="46"/>
      <c r="H13" s="47"/>
      <c r="I13" s="82"/>
      <c r="J13" s="49"/>
      <c r="K13" s="48"/>
      <c r="L13" s="50"/>
      <c r="M13" s="83"/>
      <c r="N13" s="52"/>
      <c r="O13" s="72"/>
      <c r="P13" s="54"/>
      <c r="Q13" s="54"/>
      <c r="R13" s="54"/>
      <c r="S13" s="54"/>
      <c r="T13" s="54"/>
      <c r="U13" s="54"/>
      <c r="V13" s="54"/>
      <c r="W13" s="55"/>
      <c r="X13" s="56"/>
      <c r="Y13" s="55"/>
    </row>
    <row r="14" spans="1:27" s="11" customFormat="1" ht="14.45" customHeight="1" thickBot="1" x14ac:dyDescent="0.3">
      <c r="A14" s="84" t="s">
        <v>44</v>
      </c>
      <c r="B14" s="85" t="s">
        <v>45</v>
      </c>
      <c r="C14" s="86"/>
      <c r="D14" s="61" t="s">
        <v>46</v>
      </c>
      <c r="E14" s="76">
        <v>5866.86</v>
      </c>
      <c r="F14" s="87">
        <v>9.6</v>
      </c>
      <c r="G14" s="64">
        <f t="shared" si="0"/>
        <v>56321.855999999992</v>
      </c>
      <c r="H14" s="65">
        <f>G14/G20</f>
        <v>2.3504534052570188E-2</v>
      </c>
      <c r="I14" s="66"/>
      <c r="J14" s="67">
        <f t="shared" si="1"/>
        <v>56321.855999999992</v>
      </c>
      <c r="K14" s="68">
        <f t="shared" si="2"/>
        <v>56321.855999999992</v>
      </c>
      <c r="L14" s="69">
        <f>J14/G20</f>
        <v>2.3504534052570188E-2</v>
      </c>
      <c r="M14" s="70" t="str">
        <f t="shared" ref="M14:M19" si="4">IF(L14=H14,"COMPLETED",IF(L14=0,"Not Yet Started","On going"))</f>
        <v>COMPLETED</v>
      </c>
      <c r="N14" s="88">
        <v>1</v>
      </c>
      <c r="O14" s="72">
        <f t="shared" si="3"/>
        <v>9.6</v>
      </c>
      <c r="P14" s="3"/>
      <c r="Q14" s="3"/>
      <c r="R14" s="3"/>
      <c r="S14" s="3"/>
      <c r="T14" s="3"/>
      <c r="U14" s="3"/>
      <c r="V14" s="73" t="s">
        <v>47</v>
      </c>
      <c r="W14" s="89" t="s">
        <v>48</v>
      </c>
      <c r="X14" s="90"/>
      <c r="Y14" s="91"/>
    </row>
    <row r="15" spans="1:27" s="11" customFormat="1" ht="13.15" customHeight="1" thickBot="1" x14ac:dyDescent="0.3">
      <c r="A15" s="92" t="s">
        <v>49</v>
      </c>
      <c r="B15" s="85" t="s">
        <v>50</v>
      </c>
      <c r="C15" s="86"/>
      <c r="D15" s="61" t="s">
        <v>51</v>
      </c>
      <c r="E15" s="76">
        <v>20566.580000000002</v>
      </c>
      <c r="F15" s="87">
        <v>2.4</v>
      </c>
      <c r="G15" s="64">
        <f t="shared" si="0"/>
        <v>49359.792000000001</v>
      </c>
      <c r="H15" s="65">
        <f>G15/G20</f>
        <v>2.0599088778107417E-2</v>
      </c>
      <c r="I15" s="66"/>
      <c r="J15" s="67">
        <f t="shared" si="1"/>
        <v>49359.792000000001</v>
      </c>
      <c r="K15" s="68">
        <f t="shared" si="2"/>
        <v>49359.792000000001</v>
      </c>
      <c r="L15" s="69">
        <f>J15/G20</f>
        <v>2.0599088778107417E-2</v>
      </c>
      <c r="M15" s="70" t="str">
        <f t="shared" si="4"/>
        <v>COMPLETED</v>
      </c>
      <c r="N15" s="88">
        <v>1</v>
      </c>
      <c r="O15" s="72">
        <f t="shared" si="3"/>
        <v>2.4</v>
      </c>
      <c r="P15" s="3"/>
      <c r="Q15" s="3"/>
      <c r="R15" s="3"/>
      <c r="S15" s="3"/>
      <c r="T15" s="3"/>
      <c r="U15" s="3"/>
      <c r="V15" s="93"/>
      <c r="W15" s="94"/>
      <c r="X15" s="95"/>
      <c r="Y15" s="75"/>
    </row>
    <row r="16" spans="1:27" s="11" customFormat="1" ht="13.9" customHeight="1" thickBot="1" x14ac:dyDescent="0.3">
      <c r="A16" s="92">
        <v>1032</v>
      </c>
      <c r="B16" s="85" t="s">
        <v>52</v>
      </c>
      <c r="C16" s="86"/>
      <c r="D16" s="61" t="s">
        <v>46</v>
      </c>
      <c r="E16" s="76">
        <v>484.1</v>
      </c>
      <c r="F16" s="87">
        <v>165.6</v>
      </c>
      <c r="G16" s="64">
        <f t="shared" si="0"/>
        <v>80166.960000000006</v>
      </c>
      <c r="H16" s="65">
        <f>G16/G20</f>
        <v>3.3455698640524785E-2</v>
      </c>
      <c r="I16" s="66"/>
      <c r="J16" s="67">
        <f t="shared" si="1"/>
        <v>80166.960000000006</v>
      </c>
      <c r="K16" s="68">
        <f t="shared" si="2"/>
        <v>80166.960000000006</v>
      </c>
      <c r="L16" s="69">
        <f>J16/G20</f>
        <v>3.3455698640524785E-2</v>
      </c>
      <c r="M16" s="70" t="str">
        <f t="shared" si="4"/>
        <v>COMPLETED</v>
      </c>
      <c r="N16" s="88">
        <v>1</v>
      </c>
      <c r="O16" s="72">
        <f t="shared" si="3"/>
        <v>165.6</v>
      </c>
      <c r="P16" s="3"/>
      <c r="Q16" s="3"/>
      <c r="R16" s="3"/>
      <c r="S16" s="3"/>
      <c r="T16" s="3"/>
      <c r="U16" s="3"/>
      <c r="V16" s="93"/>
      <c r="W16" s="94"/>
      <c r="X16" s="95"/>
      <c r="Y16" s="75"/>
    </row>
    <row r="17" spans="1:26" s="11" customFormat="1" ht="13.15" customHeight="1" thickBot="1" x14ac:dyDescent="0.3">
      <c r="A17" s="92">
        <v>1047</v>
      </c>
      <c r="B17" s="85" t="s">
        <v>53</v>
      </c>
      <c r="C17" s="86"/>
      <c r="D17" s="61" t="s">
        <v>54</v>
      </c>
      <c r="E17" s="76">
        <v>111.35</v>
      </c>
      <c r="F17" s="87">
        <v>13421.88</v>
      </c>
      <c r="G17" s="64">
        <f t="shared" si="0"/>
        <v>1494526.3379999998</v>
      </c>
      <c r="H17" s="65">
        <f>G17/G20</f>
        <v>0.62370361523569151</v>
      </c>
      <c r="I17" s="66"/>
      <c r="J17" s="67">
        <f t="shared" si="1"/>
        <v>1494526.3379999998</v>
      </c>
      <c r="K17" s="68">
        <f t="shared" si="2"/>
        <v>1494526.3379999998</v>
      </c>
      <c r="L17" s="69">
        <f>J17/G20</f>
        <v>0.62370361523569151</v>
      </c>
      <c r="M17" s="70" t="str">
        <f t="shared" si="4"/>
        <v>COMPLETED</v>
      </c>
      <c r="N17" s="88">
        <v>1</v>
      </c>
      <c r="O17" s="72">
        <f t="shared" si="3"/>
        <v>13421.88</v>
      </c>
      <c r="P17" s="3"/>
      <c r="Q17" s="3"/>
      <c r="R17" s="3"/>
      <c r="S17" s="3"/>
      <c r="T17" s="3"/>
      <c r="U17" s="3"/>
      <c r="V17" s="93"/>
      <c r="W17" s="94"/>
      <c r="X17" s="95"/>
      <c r="Y17" s="75"/>
    </row>
    <row r="18" spans="1:26" s="11" customFormat="1" ht="13.15" customHeight="1" thickBot="1" x14ac:dyDescent="0.3">
      <c r="A18" s="92">
        <v>1014</v>
      </c>
      <c r="B18" s="59" t="s">
        <v>55</v>
      </c>
      <c r="C18" s="60"/>
      <c r="D18" s="61" t="s">
        <v>46</v>
      </c>
      <c r="E18" s="76">
        <v>952.6</v>
      </c>
      <c r="F18" s="87">
        <v>574.55999999999995</v>
      </c>
      <c r="G18" s="64">
        <f t="shared" si="0"/>
        <v>547325.85599999991</v>
      </c>
      <c r="H18" s="65">
        <f>G18/G20</f>
        <v>0.22841291345590828</v>
      </c>
      <c r="I18" s="66"/>
      <c r="J18" s="67">
        <f t="shared" si="1"/>
        <v>547325.85599999991</v>
      </c>
      <c r="K18" s="68">
        <f t="shared" si="2"/>
        <v>547325.85599999991</v>
      </c>
      <c r="L18" s="69">
        <f>J18/G20</f>
        <v>0.22841291345590828</v>
      </c>
      <c r="M18" s="70" t="str">
        <f t="shared" si="4"/>
        <v>COMPLETED</v>
      </c>
      <c r="N18" s="88">
        <v>1</v>
      </c>
      <c r="O18" s="72">
        <f t="shared" si="3"/>
        <v>574.55999999999995</v>
      </c>
      <c r="P18" s="3"/>
      <c r="Q18" s="3"/>
      <c r="R18" s="3"/>
      <c r="S18" s="3"/>
      <c r="T18" s="3"/>
      <c r="U18" s="3"/>
      <c r="V18" s="93"/>
      <c r="W18" s="94"/>
      <c r="X18" s="95"/>
      <c r="Y18" s="75"/>
    </row>
    <row r="19" spans="1:26" s="11" customFormat="1" ht="13.15" customHeight="1" thickBot="1" x14ac:dyDescent="0.3">
      <c r="A19" s="92">
        <v>1103</v>
      </c>
      <c r="B19" s="85" t="s">
        <v>56</v>
      </c>
      <c r="C19" s="86"/>
      <c r="D19" s="61" t="s">
        <v>57</v>
      </c>
      <c r="E19" s="76">
        <v>8179.78</v>
      </c>
      <c r="F19" s="87">
        <v>12</v>
      </c>
      <c r="G19" s="64">
        <f t="shared" si="0"/>
        <v>98157.36</v>
      </c>
      <c r="H19" s="65">
        <f>G19/G20</f>
        <v>4.0963547270714787E-2</v>
      </c>
      <c r="I19" s="66"/>
      <c r="J19" s="67">
        <f t="shared" si="1"/>
        <v>98157.36</v>
      </c>
      <c r="K19" s="68">
        <f t="shared" si="2"/>
        <v>98157.36</v>
      </c>
      <c r="L19" s="69">
        <f>J19/G20</f>
        <v>4.0963547270714787E-2</v>
      </c>
      <c r="M19" s="70" t="str">
        <f t="shared" si="4"/>
        <v>COMPLETED</v>
      </c>
      <c r="N19" s="88">
        <v>1</v>
      </c>
      <c r="O19" s="72">
        <f t="shared" si="3"/>
        <v>12</v>
      </c>
      <c r="P19" s="3"/>
      <c r="Q19" s="3"/>
      <c r="R19" s="3"/>
      <c r="S19" s="3"/>
      <c r="T19" s="3"/>
      <c r="U19" s="3"/>
      <c r="V19" s="93"/>
      <c r="W19" s="94"/>
      <c r="X19" s="95"/>
      <c r="Y19" s="75"/>
    </row>
    <row r="20" spans="1:26" s="11" customFormat="1" ht="13.15" customHeight="1" thickBot="1" x14ac:dyDescent="0.25">
      <c r="A20" s="96" t="s">
        <v>58</v>
      </c>
      <c r="B20" s="97"/>
      <c r="C20" s="97"/>
      <c r="D20" s="97"/>
      <c r="E20" s="97"/>
      <c r="F20" s="98"/>
      <c r="G20" s="99">
        <f>SUM(G9:G19)</f>
        <v>2396212.4019999993</v>
      </c>
      <c r="H20" s="100">
        <f>SUM(H10:H19)</f>
        <v>1.0000000000000002</v>
      </c>
      <c r="I20" s="101"/>
      <c r="J20" s="99">
        <f>SUM(J9:J19)</f>
        <v>2396212.4019999993</v>
      </c>
      <c r="K20" s="99">
        <f>SUM(K9:K19)</f>
        <v>2396212.4019999993</v>
      </c>
      <c r="L20" s="102">
        <f>SUM(L9:L19)</f>
        <v>1.0000000000000002</v>
      </c>
      <c r="M20" s="103" t="s">
        <v>59</v>
      </c>
      <c r="N20" s="104"/>
      <c r="O20" s="3"/>
      <c r="P20" s="3"/>
      <c r="Q20" s="3"/>
      <c r="R20" s="3"/>
      <c r="S20" s="3"/>
      <c r="T20" s="3"/>
      <c r="U20" s="3"/>
      <c r="V20" s="3"/>
      <c r="W20" s="105"/>
      <c r="X20" s="106"/>
      <c r="Y20" s="107"/>
      <c r="Z20" s="107"/>
    </row>
    <row r="21" spans="1:26" s="11" customFormat="1" ht="13.15" customHeight="1" x14ac:dyDescent="0.2">
      <c r="A21" s="108"/>
      <c r="B21" s="108"/>
      <c r="C21" s="108"/>
      <c r="D21" s="108"/>
      <c r="E21" s="109"/>
      <c r="F21" s="110"/>
      <c r="G21" s="110"/>
      <c r="H21" s="111"/>
      <c r="I21" s="110"/>
      <c r="J21" s="110"/>
      <c r="K21" s="110"/>
      <c r="L21" s="110"/>
      <c r="M21" s="112"/>
      <c r="O21" s="3"/>
      <c r="P21" s="3"/>
      <c r="Q21" s="107"/>
    </row>
    <row r="22" spans="1:26" s="11" customFormat="1" ht="13.15" customHeight="1" x14ac:dyDescent="0.2">
      <c r="A22" s="112"/>
      <c r="B22" s="112"/>
      <c r="C22" s="112"/>
      <c r="D22" s="112"/>
      <c r="E22" s="113"/>
      <c r="F22" s="110"/>
      <c r="G22" s="110"/>
      <c r="H22" s="110"/>
      <c r="I22" s="112"/>
      <c r="J22" s="112"/>
      <c r="K22" s="112"/>
      <c r="L22" s="112"/>
      <c r="M22" s="112"/>
      <c r="O22" s="3"/>
      <c r="P22" s="3"/>
      <c r="Q22" s="107"/>
    </row>
    <row r="23" spans="1:26" s="11" customFormat="1" ht="13.15" customHeight="1" x14ac:dyDescent="0.25">
      <c r="A23" s="112"/>
      <c r="B23" s="112"/>
      <c r="C23" s="112"/>
      <c r="D23" s="112"/>
      <c r="E23" s="114"/>
      <c r="F23" s="112" t="s">
        <v>60</v>
      </c>
      <c r="I23" s="115">
        <f>L20</f>
        <v>1.0000000000000002</v>
      </c>
      <c r="J23" s="115"/>
      <c r="K23" s="116"/>
      <c r="L23" s="112"/>
      <c r="M23" s="112"/>
      <c r="O23" s="3"/>
      <c r="P23" s="3"/>
      <c r="Q23" s="107"/>
    </row>
    <row r="24" spans="1:26" s="11" customFormat="1" ht="13.15" customHeight="1" x14ac:dyDescent="0.2">
      <c r="A24" s="112"/>
      <c r="B24" s="112"/>
      <c r="C24" s="112"/>
      <c r="D24" s="112"/>
      <c r="E24" s="114"/>
      <c r="F24" s="117" t="s">
        <v>61</v>
      </c>
      <c r="I24" s="118">
        <f>G20</f>
        <v>2396212.4019999993</v>
      </c>
      <c r="J24" s="118"/>
      <c r="K24" s="112"/>
      <c r="L24" s="112" t="s">
        <v>62</v>
      </c>
      <c r="M24" s="110"/>
      <c r="O24" s="3"/>
      <c r="P24" s="3"/>
    </row>
    <row r="25" spans="1:26" s="11" customFormat="1" ht="13.15" customHeight="1" x14ac:dyDescent="0.2">
      <c r="A25" s="112"/>
      <c r="B25" s="119"/>
      <c r="C25" s="119"/>
      <c r="D25" s="119"/>
      <c r="E25" s="114"/>
      <c r="F25" s="117" t="s">
        <v>63</v>
      </c>
      <c r="I25" s="120">
        <f>J20</f>
        <v>2396212.4019999993</v>
      </c>
      <c r="J25" s="120"/>
      <c r="K25" s="110"/>
      <c r="L25" s="112"/>
      <c r="M25" s="112"/>
      <c r="O25" s="3"/>
      <c r="P25" s="3"/>
    </row>
    <row r="26" spans="1:26" s="11" customFormat="1" ht="13.15" customHeight="1" thickBot="1" x14ac:dyDescent="0.25">
      <c r="A26" s="112"/>
      <c r="E26" s="114"/>
      <c r="F26" s="117" t="s">
        <v>64</v>
      </c>
      <c r="I26" s="121">
        <f>K20*0.15</f>
        <v>359431.86029999988</v>
      </c>
      <c r="J26" s="121"/>
      <c r="K26" s="110"/>
      <c r="L26" s="112"/>
      <c r="M26" s="112"/>
      <c r="O26" s="3"/>
      <c r="P26" s="3"/>
    </row>
    <row r="27" spans="1:26" s="11" customFormat="1" ht="13.15" customHeight="1" x14ac:dyDescent="0.2">
      <c r="A27" s="112"/>
      <c r="B27" s="112"/>
      <c r="C27" s="112"/>
      <c r="D27" s="112"/>
      <c r="E27" s="114"/>
      <c r="F27" s="117" t="s">
        <v>65</v>
      </c>
      <c r="I27" s="122">
        <f>SUM(K20-I26)</f>
        <v>2036780.5416999995</v>
      </c>
      <c r="J27" s="122"/>
      <c r="K27" s="110"/>
      <c r="L27" s="112"/>
      <c r="M27" s="112"/>
      <c r="O27" s="3"/>
      <c r="P27" s="3"/>
    </row>
    <row r="28" spans="1:26" s="11" customFormat="1" ht="13.15" customHeight="1" x14ac:dyDescent="0.2">
      <c r="A28" s="112"/>
      <c r="E28" s="123"/>
      <c r="G28" s="124"/>
      <c r="H28" s="124"/>
      <c r="I28" s="110"/>
      <c r="J28" s="112"/>
      <c r="K28" s="112"/>
      <c r="L28" s="112"/>
      <c r="M28" s="112"/>
      <c r="O28" s="3"/>
      <c r="P28" s="3"/>
    </row>
    <row r="29" spans="1:26" ht="12.6" customHeight="1" x14ac:dyDescent="0.25">
      <c r="A29" s="5" t="s">
        <v>66</v>
      </c>
      <c r="C29" s="5" t="s">
        <v>67</v>
      </c>
      <c r="D29" s="5"/>
      <c r="G29" s="126" t="s">
        <v>68</v>
      </c>
      <c r="H29" s="126"/>
      <c r="K29" s="126" t="s">
        <v>69</v>
      </c>
      <c r="L29" s="126"/>
      <c r="S29" s="5"/>
    </row>
    <row r="30" spans="1:26" ht="12.6" customHeight="1" x14ac:dyDescent="0.25">
      <c r="A30" s="5"/>
      <c r="B30" s="5"/>
      <c r="C30" s="5"/>
      <c r="D30" s="5"/>
      <c r="G30" s="126"/>
      <c r="H30" s="126"/>
      <c r="I30" s="5"/>
      <c r="K30" s="126"/>
      <c r="L30" s="126"/>
      <c r="O30" s="127"/>
      <c r="P30" s="127"/>
      <c r="Q30" s="5"/>
      <c r="S30" s="5"/>
    </row>
    <row r="31" spans="1:26" ht="12.6" customHeight="1" x14ac:dyDescent="0.25">
      <c r="A31" s="5"/>
      <c r="B31" s="5"/>
      <c r="C31" s="5"/>
      <c r="D31" s="5"/>
      <c r="G31" s="126"/>
      <c r="H31" s="126"/>
      <c r="I31" s="5"/>
      <c r="K31" s="126"/>
      <c r="L31" s="126"/>
      <c r="O31" s="127"/>
      <c r="P31" s="127"/>
      <c r="Q31" s="5"/>
      <c r="S31" s="5"/>
    </row>
    <row r="32" spans="1:26" ht="12.6" customHeight="1" x14ac:dyDescent="0.25">
      <c r="A32" s="5"/>
      <c r="B32" s="5"/>
      <c r="C32" s="5"/>
      <c r="D32" s="5"/>
      <c r="G32" s="126"/>
      <c r="H32" s="126"/>
      <c r="I32" s="5"/>
      <c r="K32" s="126"/>
      <c r="L32" s="126"/>
      <c r="O32" s="127"/>
      <c r="P32" s="127"/>
      <c r="Q32" s="5"/>
      <c r="S32" s="5"/>
    </row>
    <row r="33" spans="1:19" ht="12.6" customHeight="1" x14ac:dyDescent="0.25">
      <c r="A33" s="9" t="s">
        <v>70</v>
      </c>
      <c r="B33" s="9"/>
      <c r="C33" s="9" t="s">
        <v>71</v>
      </c>
      <c r="D33" s="9"/>
      <c r="F33" s="9"/>
      <c r="G33" s="128" t="s">
        <v>72</v>
      </c>
      <c r="H33" s="128"/>
      <c r="I33" s="9"/>
      <c r="K33" s="128" t="s">
        <v>73</v>
      </c>
      <c r="L33" s="128"/>
      <c r="N33" s="9"/>
    </row>
    <row r="34" spans="1:19" ht="12.6" customHeight="1" x14ac:dyDescent="0.25">
      <c r="A34" s="5" t="s">
        <v>74</v>
      </c>
      <c r="B34" s="5"/>
      <c r="C34" s="5" t="s">
        <v>75</v>
      </c>
      <c r="D34" s="5"/>
      <c r="F34" s="5"/>
      <c r="G34" s="126" t="s">
        <v>76</v>
      </c>
      <c r="H34" s="126"/>
      <c r="I34" s="5"/>
      <c r="K34" s="126" t="s">
        <v>77</v>
      </c>
      <c r="L34" s="126"/>
      <c r="N34" s="5"/>
    </row>
    <row r="35" spans="1:19" ht="12.6" customHeight="1" x14ac:dyDescent="0.25">
      <c r="A35" s="6"/>
      <c r="B35" s="6"/>
      <c r="E35" s="7"/>
      <c r="F35" s="6"/>
      <c r="G35" s="6"/>
      <c r="H35" s="6"/>
      <c r="I35" s="6"/>
      <c r="J35" s="6"/>
      <c r="K35" s="6"/>
      <c r="L35" s="6"/>
      <c r="M35" s="6"/>
      <c r="N35" s="5"/>
    </row>
    <row r="36" spans="1:19" ht="21" customHeight="1" x14ac:dyDescent="0.25">
      <c r="A36" s="1"/>
      <c r="B36" s="2" t="str">
        <f>B1</f>
        <v>Q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9" x14ac:dyDescent="0.25">
      <c r="A37" s="5"/>
      <c r="B37" s="4" t="s">
        <v>78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9" x14ac:dyDescent="0.25">
      <c r="A38" s="5"/>
      <c r="B38" s="6"/>
      <c r="C38" s="6"/>
      <c r="D38" s="6"/>
      <c r="E38" s="7"/>
      <c r="F38" s="6"/>
      <c r="G38" s="6"/>
      <c r="H38" s="6"/>
      <c r="I38" s="6"/>
      <c r="J38" s="6"/>
      <c r="K38" s="6"/>
      <c r="L38" s="6"/>
      <c r="M38" s="6"/>
    </row>
    <row r="39" spans="1:19" x14ac:dyDescent="0.25">
      <c r="A39" s="8" t="s">
        <v>79</v>
      </c>
      <c r="B39" s="9" t="str">
        <f>'[2]SWA(abd)'!B12</f>
        <v>CONCRETING OF FARM TO MARKET ROAD ZIMINILA</v>
      </c>
      <c r="C39" s="9"/>
      <c r="D39" s="9"/>
      <c r="E39" s="10"/>
      <c r="F39" s="9"/>
      <c r="G39" s="9"/>
      <c r="H39" s="9"/>
      <c r="I39" s="9"/>
      <c r="J39" s="9"/>
      <c r="K39" s="9"/>
      <c r="L39" s="9"/>
      <c r="M39" s="9"/>
    </row>
    <row r="40" spans="1:19" x14ac:dyDescent="0.25">
      <c r="A40" s="5"/>
      <c r="B40" s="13" t="str">
        <f>'[2]SWA(abd)'!B13</f>
        <v>CAMALANIUGAN, CAGAYAN</v>
      </c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3"/>
    </row>
    <row r="41" spans="1:19" ht="15.75" thickBot="1" x14ac:dyDescent="0.3">
      <c r="A41" s="5"/>
      <c r="B41" s="6"/>
      <c r="C41" s="6"/>
      <c r="D41" s="6"/>
      <c r="E41" s="7"/>
      <c r="F41" s="6"/>
      <c r="G41" s="6"/>
      <c r="H41" s="6"/>
      <c r="I41" s="6"/>
      <c r="J41" s="6"/>
      <c r="K41" s="6"/>
      <c r="L41" s="6"/>
      <c r="M41" s="6"/>
    </row>
    <row r="42" spans="1:19" x14ac:dyDescent="0.25">
      <c r="A42" s="15" t="s">
        <v>4</v>
      </c>
      <c r="B42" s="16" t="s">
        <v>5</v>
      </c>
      <c r="C42" s="17"/>
      <c r="D42" s="129"/>
      <c r="E42" s="19" t="s">
        <v>8</v>
      </c>
      <c r="F42" s="19" t="s">
        <v>6</v>
      </c>
      <c r="G42" s="19" t="s">
        <v>9</v>
      </c>
      <c r="H42" s="20" t="s">
        <v>10</v>
      </c>
      <c r="I42" s="21" t="s">
        <v>11</v>
      </c>
      <c r="J42" s="22"/>
      <c r="K42" s="23"/>
      <c r="L42" s="19" t="s">
        <v>10</v>
      </c>
      <c r="M42" s="24" t="s">
        <v>12</v>
      </c>
    </row>
    <row r="43" spans="1:19" x14ac:dyDescent="0.25">
      <c r="A43" s="130" t="s">
        <v>14</v>
      </c>
      <c r="B43" s="131"/>
      <c r="C43" s="132"/>
      <c r="D43" s="133"/>
      <c r="E43" s="134" t="s">
        <v>16</v>
      </c>
      <c r="F43" s="134" t="s">
        <v>15</v>
      </c>
      <c r="G43" s="134" t="s">
        <v>17</v>
      </c>
      <c r="H43" s="135" t="s">
        <v>18</v>
      </c>
      <c r="I43" s="136" t="s">
        <v>19</v>
      </c>
      <c r="J43" s="137" t="s">
        <v>20</v>
      </c>
      <c r="K43" s="138" t="s">
        <v>21</v>
      </c>
      <c r="L43" s="134" t="s">
        <v>18</v>
      </c>
      <c r="M43" s="139" t="s">
        <v>22</v>
      </c>
    </row>
    <row r="44" spans="1:19" ht="13.15" customHeight="1" x14ac:dyDescent="0.25">
      <c r="A44" s="140"/>
      <c r="B44" s="141"/>
      <c r="C44" s="142"/>
      <c r="D44" s="143"/>
      <c r="E44" s="144" t="s">
        <v>80</v>
      </c>
      <c r="F44" s="145"/>
      <c r="G44" s="146"/>
      <c r="H44" s="147"/>
      <c r="I44" s="148"/>
      <c r="J44" s="148"/>
      <c r="K44" s="149"/>
      <c r="L44" s="150"/>
      <c r="M44" s="151"/>
      <c r="R44" s="152">
        <v>0.16</v>
      </c>
    </row>
    <row r="45" spans="1:19" ht="13.15" customHeight="1" x14ac:dyDescent="0.25">
      <c r="A45" s="153" t="str">
        <f>'[2]SWA(abd)'!A17</f>
        <v>105(1)</v>
      </c>
      <c r="B45" s="154" t="str">
        <f>'[2]SWA(abd)'!B17:C17</f>
        <v>Sub Grade Preparation</v>
      </c>
      <c r="C45" s="60"/>
      <c r="D45" s="60"/>
      <c r="E45" s="155">
        <f>'[2]SWA(abd)'!D17</f>
        <v>1075.8</v>
      </c>
      <c r="F45" s="156">
        <f>'[2]SWA(abd)'!F17</f>
        <v>102.17</v>
      </c>
      <c r="G45" s="63">
        <f>'[2]SWA(abd)'!G17</f>
        <v>109364.91</v>
      </c>
      <c r="H45" s="157">
        <f t="shared" ref="H45:H51" si="5">(G45/$G$52)*100</f>
        <v>10.022837773851711</v>
      </c>
      <c r="I45" s="68"/>
      <c r="J45" s="158"/>
      <c r="K45" s="68">
        <f t="shared" ref="K45:K51" si="6">I45+J45</f>
        <v>0</v>
      </c>
      <c r="L45" s="159" t="e">
        <f>ROUND(K45/#REF!,4)</f>
        <v>#REF!</v>
      </c>
      <c r="M45" s="70" t="s">
        <v>81</v>
      </c>
      <c r="Q45" s="107">
        <f t="shared" ref="Q45:Q51" si="7">E45*F45</f>
        <v>109914.486</v>
      </c>
      <c r="R45" s="107">
        <f>Q45*$R$44</f>
        <v>17586.317760000002</v>
      </c>
      <c r="S45" s="107">
        <f>Q45-R45</f>
        <v>92328.168239999999</v>
      </c>
    </row>
    <row r="46" spans="1:19" ht="13.15" customHeight="1" x14ac:dyDescent="0.25">
      <c r="A46" s="153" t="str">
        <f>'[2]SWA(abd)'!A18</f>
        <v>200(1)</v>
      </c>
      <c r="B46" s="154" t="str">
        <f>'[2]SWA(abd)'!B18:C18</f>
        <v>Aggregate Sub Base Coarse</v>
      </c>
      <c r="C46" s="60"/>
      <c r="D46" s="60"/>
      <c r="E46" s="155">
        <f>'[2]SWA(abd)'!D18</f>
        <v>173.25</v>
      </c>
      <c r="F46" s="63">
        <v>804.58</v>
      </c>
      <c r="G46" s="63">
        <f>'[2]SWA(abd)'!G18</f>
        <v>223636.89</v>
      </c>
      <c r="H46" s="157">
        <f t="shared" si="5"/>
        <v>20.495388042825802</v>
      </c>
      <c r="I46" s="68"/>
      <c r="J46" s="158"/>
      <c r="K46" s="68">
        <f t="shared" si="6"/>
        <v>0</v>
      </c>
      <c r="L46" s="159">
        <f t="shared" ref="L46:L51" si="8">ROUND(K46/$G$52,4)</f>
        <v>0</v>
      </c>
      <c r="M46" s="70" t="s">
        <v>81</v>
      </c>
      <c r="Q46" s="107">
        <f t="shared" si="7"/>
        <v>139393.48500000002</v>
      </c>
      <c r="R46" s="107">
        <f t="shared" ref="R46:R51" si="9">Q46*$R$44</f>
        <v>22302.957600000002</v>
      </c>
      <c r="S46" s="107">
        <f t="shared" ref="S46:S51" si="10">Q46-R46</f>
        <v>117090.52740000002</v>
      </c>
    </row>
    <row r="47" spans="1:19" ht="13.15" customHeight="1" x14ac:dyDescent="0.25">
      <c r="A47" s="153" t="str">
        <f>'[2]SWA(abd)'!A19</f>
        <v>311(1)C</v>
      </c>
      <c r="B47" s="154" t="str">
        <f>'[2]SWA(abd)'!B19:C19</f>
        <v>PCCP</v>
      </c>
      <c r="C47" s="60"/>
      <c r="D47" s="60"/>
      <c r="E47" s="155">
        <f>'[2]SWA(abd)'!D19</f>
        <v>660</v>
      </c>
      <c r="F47" s="63">
        <v>72.959999999999994</v>
      </c>
      <c r="G47" s="63">
        <f>'[2]SWA(abd)'!G19</f>
        <v>672973.03</v>
      </c>
      <c r="H47" s="157">
        <f t="shared" si="5"/>
        <v>61.675170819117767</v>
      </c>
      <c r="I47" s="68"/>
      <c r="J47" s="158"/>
      <c r="K47" s="68">
        <f t="shared" si="6"/>
        <v>0</v>
      </c>
      <c r="L47" s="159">
        <f t="shared" si="8"/>
        <v>0</v>
      </c>
      <c r="M47" s="70" t="s">
        <v>81</v>
      </c>
      <c r="O47" s="3" t="e">
        <f>0.2*#REF!</f>
        <v>#REF!</v>
      </c>
      <c r="P47" s="3" t="e">
        <f>0.95*#REF!</f>
        <v>#REF!</v>
      </c>
      <c r="Q47" s="107">
        <f t="shared" si="7"/>
        <v>48153.599999999999</v>
      </c>
      <c r="R47" s="107">
        <f t="shared" si="9"/>
        <v>7704.576</v>
      </c>
      <c r="S47" s="107">
        <f t="shared" si="10"/>
        <v>40449.023999999998</v>
      </c>
    </row>
    <row r="48" spans="1:19" ht="13.15" customHeight="1" x14ac:dyDescent="0.25">
      <c r="A48" s="153" t="str">
        <f>'[2]SWA(abd)'!A20</f>
        <v>B.9</v>
      </c>
      <c r="B48" s="154" t="str">
        <f>'[2]SWA(abd)'!B20:C20</f>
        <v>Mobilization/ Demobilization</v>
      </c>
      <c r="C48" s="60"/>
      <c r="D48" s="60"/>
      <c r="E48" s="155">
        <f>'[2]SWA(abd)'!D20</f>
        <v>1</v>
      </c>
      <c r="F48" s="160">
        <v>128.93</v>
      </c>
      <c r="G48" s="63">
        <f>'[2]SWA(abd)'!G20</f>
        <v>25951.88</v>
      </c>
      <c r="H48" s="157">
        <f t="shared" si="5"/>
        <v>2.3783815409025322</v>
      </c>
      <c r="I48" s="68"/>
      <c r="J48" s="158"/>
      <c r="K48" s="68">
        <f t="shared" si="6"/>
        <v>0</v>
      </c>
      <c r="L48" s="159">
        <f t="shared" si="8"/>
        <v>0</v>
      </c>
      <c r="M48" s="70" t="s">
        <v>81</v>
      </c>
      <c r="O48" s="3">
        <v>604.87</v>
      </c>
      <c r="P48" s="3" t="e">
        <f>0.95*#REF!</f>
        <v>#REF!</v>
      </c>
      <c r="Q48" s="107">
        <f t="shared" si="7"/>
        <v>128.93</v>
      </c>
      <c r="R48" s="107">
        <f t="shared" si="9"/>
        <v>20.628800000000002</v>
      </c>
      <c r="S48" s="107">
        <f t="shared" si="10"/>
        <v>108.30120000000001</v>
      </c>
    </row>
    <row r="49" spans="1:19" ht="13.15" customHeight="1" x14ac:dyDescent="0.25">
      <c r="A49" s="153" t="str">
        <f>'[2]SWA(abd)'!A21</f>
        <v>B.5</v>
      </c>
      <c r="B49" s="154" t="str">
        <f>'[2]SWA(abd)'!B21:C21</f>
        <v>Billboards and Signages</v>
      </c>
      <c r="C49" s="60"/>
      <c r="D49" s="60"/>
      <c r="E49" s="155">
        <f>'[2]SWA(abd)'!D21</f>
        <v>2</v>
      </c>
      <c r="F49" s="160">
        <v>18.37</v>
      </c>
      <c r="G49" s="63">
        <f>'[2]SWA(abd)'!G21</f>
        <v>10196.76</v>
      </c>
      <c r="H49" s="157">
        <f t="shared" si="5"/>
        <v>0.93449051710370512</v>
      </c>
      <c r="I49" s="68"/>
      <c r="J49" s="158"/>
      <c r="K49" s="68">
        <f t="shared" si="6"/>
        <v>0</v>
      </c>
      <c r="L49" s="159">
        <f t="shared" si="8"/>
        <v>0</v>
      </c>
      <c r="M49" s="70" t="s">
        <v>81</v>
      </c>
      <c r="O49" s="3" t="e">
        <f>0.2*#REF!</f>
        <v>#REF!</v>
      </c>
      <c r="P49" s="3" t="e">
        <f>0.95*#REF!</f>
        <v>#REF!</v>
      </c>
      <c r="Q49" s="107">
        <f t="shared" si="7"/>
        <v>36.74</v>
      </c>
      <c r="R49" s="107">
        <f t="shared" si="9"/>
        <v>5.8784000000000001</v>
      </c>
      <c r="S49" s="107">
        <f t="shared" si="10"/>
        <v>30.861600000000003</v>
      </c>
    </row>
    <row r="50" spans="1:19" ht="13.15" customHeight="1" x14ac:dyDescent="0.25">
      <c r="A50" s="153" t="str">
        <f>'[2]SWA(abd)'!A22</f>
        <v>B.7</v>
      </c>
      <c r="B50" s="154" t="str">
        <f>'[2]SWA(abd)'!B22:C22</f>
        <v>Occupational Health and Safety</v>
      </c>
      <c r="C50" s="60"/>
      <c r="D50" s="60"/>
      <c r="E50" s="155">
        <f>'[2]SWA(abd)'!D22</f>
        <v>1</v>
      </c>
      <c r="F50" s="160">
        <v>1208.8900000000001</v>
      </c>
      <c r="G50" s="63">
        <f>'[2]SWA(abd)'!G22</f>
        <v>28041.09</v>
      </c>
      <c r="H50" s="157">
        <f t="shared" si="5"/>
        <v>2.5698489220351886</v>
      </c>
      <c r="I50" s="68"/>
      <c r="J50" s="158"/>
      <c r="K50" s="68">
        <f t="shared" si="6"/>
        <v>0</v>
      </c>
      <c r="L50" s="159">
        <f t="shared" si="8"/>
        <v>0</v>
      </c>
      <c r="M50" s="70" t="s">
        <v>81</v>
      </c>
      <c r="O50" s="3" t="e">
        <f>0.2*#REF!</f>
        <v>#REF!</v>
      </c>
      <c r="P50" s="3" t="e">
        <f>0.9*#REF!</f>
        <v>#REF!</v>
      </c>
      <c r="Q50" s="107">
        <f t="shared" si="7"/>
        <v>1208.8900000000001</v>
      </c>
      <c r="R50" s="107">
        <f t="shared" si="9"/>
        <v>193.42240000000001</v>
      </c>
      <c r="S50" s="107">
        <f t="shared" si="10"/>
        <v>1015.4676000000001</v>
      </c>
    </row>
    <row r="51" spans="1:19" ht="13.15" customHeight="1" thickBot="1" x14ac:dyDescent="0.3">
      <c r="A51" s="153" t="str">
        <f>'[2]SWA(abd)'!A23</f>
        <v>A.1.1(8a)</v>
      </c>
      <c r="B51" s="154" t="str">
        <f>'[2]SWA(abd)'!B23:C23</f>
        <v>Provisions of Field Office for the Engineer</v>
      </c>
      <c r="C51" s="60"/>
      <c r="D51" s="60"/>
      <c r="E51" s="155">
        <f>'[2]SWA(abd)'!D23</f>
        <v>1.83</v>
      </c>
      <c r="F51" s="63">
        <v>1291.19</v>
      </c>
      <c r="G51" s="63">
        <f>'[2]SWA(abd)'!G23</f>
        <v>20992.58</v>
      </c>
      <c r="H51" s="157">
        <f t="shared" si="5"/>
        <v>1.9238823841632928</v>
      </c>
      <c r="I51" s="68"/>
      <c r="J51" s="158"/>
      <c r="K51" s="68">
        <f t="shared" si="6"/>
        <v>0</v>
      </c>
      <c r="L51" s="159">
        <f t="shared" si="8"/>
        <v>0</v>
      </c>
      <c r="M51" s="70" t="s">
        <v>81</v>
      </c>
      <c r="O51" s="3">
        <f>350*3.05</f>
        <v>1067.5</v>
      </c>
      <c r="Q51" s="107">
        <f t="shared" si="7"/>
        <v>2362.8777</v>
      </c>
      <c r="R51" s="107">
        <f t="shared" si="9"/>
        <v>378.06043199999999</v>
      </c>
      <c r="S51" s="107">
        <f t="shared" si="10"/>
        <v>1984.817268</v>
      </c>
    </row>
    <row r="52" spans="1:19" s="104" customFormat="1" ht="13.15" customHeight="1" thickBot="1" x14ac:dyDescent="0.25">
      <c r="A52" s="96" t="s">
        <v>58</v>
      </c>
      <c r="B52" s="97"/>
      <c r="C52" s="97"/>
      <c r="D52" s="97"/>
      <c r="E52" s="97"/>
      <c r="F52" s="98"/>
      <c r="G52" s="99">
        <f t="shared" ref="G52:L52" si="11">SUM(G45:G51)</f>
        <v>1091157.1400000001</v>
      </c>
      <c r="H52" s="99">
        <f t="shared" si="11"/>
        <v>100.00000000000001</v>
      </c>
      <c r="I52" s="99">
        <f t="shared" si="11"/>
        <v>0</v>
      </c>
      <c r="J52" s="99">
        <f t="shared" si="11"/>
        <v>0</v>
      </c>
      <c r="K52" s="99">
        <f t="shared" si="11"/>
        <v>0</v>
      </c>
      <c r="L52" s="102" t="e">
        <f t="shared" si="11"/>
        <v>#REF!</v>
      </c>
      <c r="M52" s="161"/>
      <c r="O52" s="106"/>
      <c r="P52" s="106"/>
      <c r="Q52" s="105">
        <f>SUM(Q45:Q51)</f>
        <v>301199.00870000001</v>
      </c>
      <c r="R52" s="107">
        <f>SUM(R45:R51)</f>
        <v>48191.841392000002</v>
      </c>
      <c r="S52" s="106">
        <f>SUM(S45:S51)</f>
        <v>253007.16730800003</v>
      </c>
    </row>
    <row r="53" spans="1:19" s="11" customFormat="1" ht="13.15" customHeight="1" x14ac:dyDescent="0.2">
      <c r="A53" s="108"/>
      <c r="B53" s="108"/>
      <c r="C53" s="108"/>
      <c r="D53" s="108"/>
      <c r="E53" s="109"/>
      <c r="F53" s="110"/>
      <c r="G53" s="111"/>
      <c r="H53" s="111"/>
      <c r="I53" s="110"/>
      <c r="J53" s="110"/>
      <c r="K53" s="110"/>
      <c r="L53" s="110"/>
      <c r="M53" s="112"/>
      <c r="O53" s="3" t="e">
        <f>0.85*#REF!</f>
        <v>#REF!</v>
      </c>
      <c r="P53" s="3"/>
      <c r="Q53" s="107">
        <f>Q52*0.0065</f>
        <v>1957.7935565499999</v>
      </c>
    </row>
    <row r="54" spans="1:19" s="11" customFormat="1" ht="13.15" customHeight="1" x14ac:dyDescent="0.2">
      <c r="A54" s="112"/>
      <c r="B54" s="112"/>
      <c r="C54" s="112"/>
      <c r="D54" s="112"/>
      <c r="E54" s="113"/>
      <c r="F54" s="110"/>
      <c r="G54" s="110"/>
      <c r="H54" s="110"/>
      <c r="I54" s="112"/>
      <c r="J54" s="112"/>
      <c r="K54" s="112"/>
      <c r="L54" s="112"/>
      <c r="M54" s="112"/>
      <c r="O54" s="3"/>
      <c r="P54" s="3"/>
      <c r="Q54" s="107">
        <f>Q52-Q53</f>
        <v>299241.21514345001</v>
      </c>
    </row>
    <row r="55" spans="1:19" s="11" customFormat="1" ht="13.15" customHeight="1" x14ac:dyDescent="0.25">
      <c r="A55" s="112"/>
      <c r="B55" s="112"/>
      <c r="C55" s="112"/>
      <c r="D55" s="112"/>
      <c r="E55" s="114"/>
      <c r="F55" s="112" t="s">
        <v>60</v>
      </c>
      <c r="I55" s="162" t="e">
        <f>L52*100</f>
        <v>#REF!</v>
      </c>
      <c r="J55" s="162"/>
      <c r="K55" s="116" t="s">
        <v>18</v>
      </c>
      <c r="L55" s="112"/>
      <c r="M55" s="112"/>
      <c r="O55" s="3"/>
      <c r="P55" s="3"/>
    </row>
    <row r="56" spans="1:19" s="11" customFormat="1" ht="13.15" customHeight="1" x14ac:dyDescent="0.2">
      <c r="A56" s="112"/>
      <c r="B56" s="112"/>
      <c r="C56" s="112"/>
      <c r="D56" s="112"/>
      <c r="E56" s="114"/>
      <c r="F56" s="117" t="s">
        <v>61</v>
      </c>
      <c r="I56" s="118">
        <f>ROUND(G52,2)</f>
        <v>1091157.1399999999</v>
      </c>
      <c r="J56" s="118"/>
      <c r="K56" s="112"/>
      <c r="L56" s="112"/>
      <c r="M56" s="110"/>
      <c r="O56" s="3"/>
      <c r="P56" s="3"/>
    </row>
    <row r="57" spans="1:19" s="11" customFormat="1" ht="13.15" customHeight="1" x14ac:dyDescent="0.2">
      <c r="A57" s="112"/>
      <c r="B57" s="119"/>
      <c r="C57" s="119"/>
      <c r="D57" s="119"/>
      <c r="E57" s="114"/>
      <c r="F57" s="117" t="s">
        <v>63</v>
      </c>
      <c r="I57" s="118">
        <f>J52</f>
        <v>0</v>
      </c>
      <c r="J57" s="118"/>
      <c r="K57" s="110"/>
      <c r="L57" s="112"/>
      <c r="M57" s="112"/>
      <c r="O57" s="3"/>
      <c r="P57" s="3"/>
    </row>
    <row r="58" spans="1:19" s="11" customFormat="1" ht="13.15" customHeight="1" thickBot="1" x14ac:dyDescent="0.25">
      <c r="A58" s="112"/>
      <c r="E58" s="114"/>
      <c r="F58" s="117" t="s">
        <v>82</v>
      </c>
      <c r="I58" s="121"/>
      <c r="J58" s="121"/>
      <c r="K58" s="110"/>
      <c r="L58" s="112"/>
      <c r="M58" s="112"/>
      <c r="O58" s="3"/>
      <c r="P58" s="3"/>
    </row>
    <row r="59" spans="1:19" s="11" customFormat="1" ht="13.15" customHeight="1" x14ac:dyDescent="0.2">
      <c r="A59" s="112"/>
      <c r="B59" s="112"/>
      <c r="C59" s="112"/>
      <c r="D59" s="112"/>
      <c r="E59" s="114"/>
      <c r="F59" s="117" t="s">
        <v>65</v>
      </c>
      <c r="I59" s="122">
        <f>SUM(J52-I58)</f>
        <v>0</v>
      </c>
      <c r="J59" s="122"/>
      <c r="K59" s="110"/>
      <c r="L59" s="112"/>
      <c r="M59" s="112"/>
      <c r="O59" s="3"/>
      <c r="P59" s="3"/>
    </row>
    <row r="61" spans="1:19" ht="12.6" customHeight="1" x14ac:dyDescent="0.25">
      <c r="A61" s="126" t="s">
        <v>83</v>
      </c>
      <c r="B61" s="5"/>
      <c r="C61" s="5" t="s">
        <v>66</v>
      </c>
      <c r="D61" s="5"/>
      <c r="F61" s="5" t="s">
        <v>67</v>
      </c>
      <c r="G61" s="5"/>
      <c r="J61" s="6" t="s">
        <v>69</v>
      </c>
      <c r="S61" s="5"/>
    </row>
    <row r="62" spans="1:19" ht="12.6" customHeight="1" x14ac:dyDescent="0.25">
      <c r="A62" s="126"/>
      <c r="B62" s="5"/>
      <c r="C62" s="5"/>
      <c r="D62" s="5"/>
      <c r="E62" s="163"/>
      <c r="F62" s="5"/>
      <c r="G62" s="5"/>
      <c r="I62" s="5"/>
      <c r="J62" s="5"/>
      <c r="K62" s="5"/>
      <c r="L62" s="5"/>
      <c r="O62" s="127"/>
      <c r="P62" s="127"/>
      <c r="Q62" s="5"/>
      <c r="S62" s="5"/>
    </row>
    <row r="63" spans="1:19" ht="12.6" customHeight="1" x14ac:dyDescent="0.25">
      <c r="A63" s="5"/>
      <c r="B63" s="5"/>
      <c r="C63" s="5"/>
      <c r="D63" s="5"/>
      <c r="E63" s="163"/>
      <c r="F63" s="5"/>
      <c r="G63" s="5"/>
      <c r="I63" s="5"/>
      <c r="J63" s="5"/>
      <c r="K63" s="5"/>
      <c r="L63" s="5"/>
      <c r="O63" s="127"/>
      <c r="P63" s="127"/>
      <c r="Q63" s="5"/>
      <c r="S63" s="5"/>
    </row>
    <row r="64" spans="1:19" ht="12.6" customHeight="1" x14ac:dyDescent="0.25">
      <c r="A64" s="5"/>
      <c r="B64" s="5"/>
      <c r="C64" s="5"/>
      <c r="D64" s="5"/>
      <c r="E64" s="163"/>
      <c r="F64" s="5"/>
      <c r="G64" s="5"/>
      <c r="I64" s="5"/>
      <c r="J64" s="5"/>
      <c r="K64" s="5"/>
      <c r="L64" s="5"/>
      <c r="O64" s="127"/>
      <c r="P64" s="127"/>
      <c r="Q64" s="5"/>
      <c r="S64" s="5"/>
    </row>
    <row r="65" spans="1:14" ht="12.6" customHeight="1" x14ac:dyDescent="0.25">
      <c r="A65" s="164" t="s">
        <v>84</v>
      </c>
      <c r="B65" s="164"/>
      <c r="C65" s="164" t="s">
        <v>85</v>
      </c>
      <c r="D65" s="164"/>
      <c r="E65" s="164"/>
      <c r="F65" s="164" t="s">
        <v>86</v>
      </c>
      <c r="G65" s="164"/>
      <c r="H65" s="164"/>
      <c r="I65" s="9"/>
      <c r="J65" s="164" t="s">
        <v>87</v>
      </c>
      <c r="K65" s="164"/>
      <c r="L65" s="164"/>
      <c r="N65" s="9"/>
    </row>
    <row r="66" spans="1:14" ht="12.6" customHeight="1" x14ac:dyDescent="0.25">
      <c r="A66" s="4" t="s">
        <v>88</v>
      </c>
      <c r="B66" s="4"/>
      <c r="C66" s="4" t="s">
        <v>89</v>
      </c>
      <c r="D66" s="4"/>
      <c r="E66" s="4"/>
      <c r="F66" s="4" t="s">
        <v>74</v>
      </c>
      <c r="G66" s="4"/>
      <c r="H66" s="4"/>
      <c r="I66" s="5"/>
      <c r="J66" s="4" t="s">
        <v>77</v>
      </c>
      <c r="K66" s="4"/>
      <c r="L66" s="4"/>
      <c r="N66" s="5"/>
    </row>
  </sheetData>
  <mergeCells count="35">
    <mergeCell ref="A66:B66"/>
    <mergeCell ref="C66:E66"/>
    <mergeCell ref="F66:H66"/>
    <mergeCell ref="J66:L66"/>
    <mergeCell ref="I57:J57"/>
    <mergeCell ref="I58:J58"/>
    <mergeCell ref="I59:J59"/>
    <mergeCell ref="A65:B65"/>
    <mergeCell ref="C65:E65"/>
    <mergeCell ref="F65:H65"/>
    <mergeCell ref="J65:L65"/>
    <mergeCell ref="B42:C43"/>
    <mergeCell ref="I42:K42"/>
    <mergeCell ref="E44:G44"/>
    <mergeCell ref="A52:E52"/>
    <mergeCell ref="I55:J55"/>
    <mergeCell ref="I56:J56"/>
    <mergeCell ref="I24:J24"/>
    <mergeCell ref="I25:J25"/>
    <mergeCell ref="I26:J26"/>
    <mergeCell ref="I27:J27"/>
    <mergeCell ref="B36:M36"/>
    <mergeCell ref="B37:M37"/>
    <mergeCell ref="B15:C15"/>
    <mergeCell ref="B16:C16"/>
    <mergeCell ref="B17:C17"/>
    <mergeCell ref="B19:C19"/>
    <mergeCell ref="A20:E20"/>
    <mergeCell ref="I23:J23"/>
    <mergeCell ref="B1:M1"/>
    <mergeCell ref="A2:M2"/>
    <mergeCell ref="B7:C8"/>
    <mergeCell ref="D7:D8"/>
    <mergeCell ref="I7:K7"/>
    <mergeCell ref="B14:C14"/>
  </mergeCells>
  <printOptions horizontalCentered="1" verticalCentered="1"/>
  <pageMargins left="3.937007874015748E-2" right="3.937007874015748E-2" top="0.15748031496062992" bottom="0.15748031496062992" header="0.31496062992125984" footer="0.31496062992125984"/>
  <pageSetup paperSize="14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SWA(02-20-26)</vt:lpstr>
      <vt:lpstr>'SWA(02-20-26)'!Print_Area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Engelbert Ilac</dc:creator>
  <cp:lastModifiedBy>Engelbert Ilac</cp:lastModifiedBy>
  <dcterms:created xsi:type="dcterms:W3CDTF">2026-06-09T17:34:48Z</dcterms:created>
  <dcterms:modified xsi:type="dcterms:W3CDTF">2026-06-09T17:38:01Z</dcterms:modified>
</cp:coreProperties>
</file>