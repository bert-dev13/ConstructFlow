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rt\Downloads\"/>
    </mc:Choice>
  </mc:AlternateContent>
  <xr:revisionPtr revIDLastSave="0" documentId="8_{EA41D917-9CA1-4B31-A7F4-CEC3D5134BB7}" xr6:coauthVersionLast="47" xr6:coauthVersionMax="47" xr10:uidLastSave="{00000000-0000-0000-0000-000000000000}"/>
  <bookViews>
    <workbookView xWindow="-120" yWindow="-120" windowWidth="29040" windowHeight="17520" firstSheet="4" activeTab="4" xr2:uid="{00000000-000D-0000-FFFF-FFFF00000000}"/>
  </bookViews>
  <sheets>
    <sheet name="time elapse" sheetId="8" state="hidden" r:id="rId1"/>
    <sheet name="time elapse (2)" sheetId="23" state="hidden" r:id="rId2"/>
    <sheet name="stewa(EXPIRY)" sheetId="24" state="hidden" r:id="rId3"/>
    <sheet name="SWA" sheetId="18" state="hidden" r:id="rId4"/>
    <sheet name="STEWA (02-20-26)" sheetId="42" r:id="rId5"/>
    <sheet name="STEWA (July 26, 2024)" sheetId="38" state="hidden" r:id="rId6"/>
    <sheet name="STEWA (August 16, 2024)" sheetId="33" state="hidden" r:id="rId7"/>
    <sheet name="SWA (August 23, 2024)" sheetId="34" state="hidden" r:id="rId8"/>
    <sheet name="STEWA (August 23, 2024)" sheetId="35" state="hidden" r:id="rId9"/>
    <sheet name="SWA (August 30, 2024)" sheetId="36" state="hidden" r:id="rId10"/>
    <sheet name="STEWA (August 30, 2024)" sheetId="37" state="hidden" r:id="rId11"/>
    <sheet name="swa_BC" sheetId="10" state="hidden" r:id="rId12"/>
    <sheet name="500(1)a3 (2)" sheetId="21" state="hidden" r:id="rId13"/>
  </sheets>
  <externalReferences>
    <externalReference r:id="rId14"/>
    <externalReference r:id="rId15"/>
    <externalReference r:id="rId16"/>
  </externalReferences>
  <definedNames>
    <definedName name="AggPlant100.T" localSheetId="4">'[1]BACOLOD RENTAL RATES'!#REF!</definedName>
    <definedName name="AggPlant100.T" localSheetId="6">'[1]BACOLOD RENTAL RATES'!#REF!</definedName>
    <definedName name="AggPlant100.T" localSheetId="8">'[1]BACOLOD RENTAL RATES'!#REF!</definedName>
    <definedName name="AggPlant100.T" localSheetId="10">'[1]BACOLOD RENTAL RATES'!#REF!</definedName>
    <definedName name="AggPlant100.T" localSheetId="5">'[1]BACOLOD RENTAL RATES'!#REF!</definedName>
    <definedName name="AggPlant100.T" localSheetId="2">'[1]BACOLOD RENTAL RATES'!#REF!</definedName>
    <definedName name="AggPlant100.T" localSheetId="3">'[1]BACOLOD RENTAL RATES'!#REF!</definedName>
    <definedName name="AggPlant100.T" localSheetId="7">'[1]BACOLOD RENTAL RATES'!#REF!</definedName>
    <definedName name="AggPlant100.T" localSheetId="9">'[1]BACOLOD RENTAL RATES'!#REF!</definedName>
    <definedName name="AshDist3000.T" localSheetId="4">'[1]BACOLOD RENTAL RATES'!#REF!</definedName>
    <definedName name="AshDist3000.T" localSheetId="6">'[1]BACOLOD RENTAL RATES'!#REF!</definedName>
    <definedName name="AshDist3000.T" localSheetId="8">'[1]BACOLOD RENTAL RATES'!#REF!</definedName>
    <definedName name="AshDist3000.T" localSheetId="10">'[1]BACOLOD RENTAL RATES'!#REF!</definedName>
    <definedName name="AshDist3000.T" localSheetId="5">'[1]BACOLOD RENTAL RATES'!#REF!</definedName>
    <definedName name="AshDist3000.T" localSheetId="3">'[1]BACOLOD RENTAL RATES'!#REF!</definedName>
    <definedName name="AshDist3000.T" localSheetId="7">'[1]BACOLOD RENTAL RATES'!#REF!</definedName>
    <definedName name="AshDist3000.T" localSheetId="9">'[1]BACOLOD RENTAL RATES'!#REF!</definedName>
    <definedName name="AshPaver88.T" localSheetId="4">'[1]BACOLOD RENTAL RATES'!#REF!</definedName>
    <definedName name="AshPaver88.T" localSheetId="6">'[1]BACOLOD RENTAL RATES'!#REF!</definedName>
    <definedName name="AshPaver88.T" localSheetId="8">'[1]BACOLOD RENTAL RATES'!#REF!</definedName>
    <definedName name="AshPaver88.T" localSheetId="10">'[1]BACOLOD RENTAL RATES'!#REF!</definedName>
    <definedName name="AshPaver88.T" localSheetId="5">'[1]BACOLOD RENTAL RATES'!#REF!</definedName>
    <definedName name="AshPaver88.T" localSheetId="7">'[1]BACOLOD RENTAL RATES'!#REF!</definedName>
    <definedName name="AshPaver88.T" localSheetId="9">'[1]BACOLOD RENTAL RATES'!#REF!</definedName>
    <definedName name="AshPlant100.T" localSheetId="4">'[1]BACOLOD RENTAL RATES'!#REF!</definedName>
    <definedName name="AshPlant100.T" localSheetId="6">'[1]BACOLOD RENTAL RATES'!#REF!</definedName>
    <definedName name="AshPlant100.T" localSheetId="8">'[1]BACOLOD RENTAL RATES'!#REF!</definedName>
    <definedName name="AshPlant100.T" localSheetId="10">'[1]BACOLOD RENTAL RATES'!#REF!</definedName>
    <definedName name="AshPlant100.T" localSheetId="5">'[1]BACOLOD RENTAL RATES'!#REF!</definedName>
    <definedName name="AshPlant100.T" localSheetId="7">'[1]BACOLOD RENTAL RATES'!#REF!</definedName>
    <definedName name="AshPlant100.T" localSheetId="9">'[1]BACOLOD RENTAL RATES'!#REF!</definedName>
    <definedName name="AshPlant30.T" localSheetId="4">'[1]BACOLOD RENTAL RATES'!#REF!</definedName>
    <definedName name="AshPlant30.T" localSheetId="6">'[1]BACOLOD RENTAL RATES'!#REF!</definedName>
    <definedName name="AshPlant30.T" localSheetId="8">'[1]BACOLOD RENTAL RATES'!#REF!</definedName>
    <definedName name="AshPlant30.T" localSheetId="10">'[1]BACOLOD RENTAL RATES'!#REF!</definedName>
    <definedName name="AshPlant30.T" localSheetId="5">'[1]BACOLOD RENTAL RATES'!#REF!</definedName>
    <definedName name="AshPlant30.T" localSheetId="7">'[1]BACOLOD RENTAL RATES'!#REF!</definedName>
    <definedName name="AshPlant30.T" localSheetId="9">'[1]BACOLOD RENTAL RATES'!#REF!</definedName>
    <definedName name="AshPlant60.T" localSheetId="4">'[1]BACOLOD RENTAL RATES'!#REF!</definedName>
    <definedName name="AshPlant60.T" localSheetId="6">'[1]BACOLOD RENTAL RATES'!#REF!</definedName>
    <definedName name="AshPlant60.T" localSheetId="8">'[1]BACOLOD RENTAL RATES'!#REF!</definedName>
    <definedName name="AshPlant60.T" localSheetId="10">'[1]BACOLOD RENTAL RATES'!#REF!</definedName>
    <definedName name="AshPlant60.T" localSheetId="5">'[1]BACOLOD RENTAL RATES'!#REF!</definedName>
    <definedName name="AshPlant60.T" localSheetId="7">'[1]BACOLOD RENTAL RATES'!#REF!</definedName>
    <definedName name="AshPlant60.T" localSheetId="9">'[1]BACOLOD RENTAL RATES'!#REF!</definedName>
    <definedName name="Backhoe.63m3.T" localSheetId="4">'[1]BACOLOD RENTAL RATES'!#REF!</definedName>
    <definedName name="Backhoe.63m3.T" localSheetId="6">'[1]BACOLOD RENTAL RATES'!#REF!</definedName>
    <definedName name="Backhoe.63m3.T" localSheetId="8">'[1]BACOLOD RENTAL RATES'!#REF!</definedName>
    <definedName name="Backhoe.63m3.T" localSheetId="10">'[1]BACOLOD RENTAL RATES'!#REF!</definedName>
    <definedName name="Backhoe.63m3.T" localSheetId="5">'[1]BACOLOD RENTAL RATES'!#REF!</definedName>
    <definedName name="Backhoe.63m3.T" localSheetId="7">'[1]BACOLOD RENTAL RATES'!#REF!</definedName>
    <definedName name="Backhoe.63m3.T" localSheetId="9">'[1]BACOLOD RENTAL RATES'!#REF!</definedName>
    <definedName name="Backhoe.76m3.T" localSheetId="4">'[1]BACOLOD RENTAL RATES'!#REF!</definedName>
    <definedName name="Backhoe.76m3.T" localSheetId="6">'[1]BACOLOD RENTAL RATES'!#REF!</definedName>
    <definedName name="Backhoe.76m3.T" localSheetId="8">'[1]BACOLOD RENTAL RATES'!#REF!</definedName>
    <definedName name="Backhoe.76m3.T" localSheetId="10">'[1]BACOLOD RENTAL RATES'!#REF!</definedName>
    <definedName name="Backhoe.76m3.T" localSheetId="5">'[1]BACOLOD RENTAL RATES'!#REF!</definedName>
    <definedName name="Backhoe.76m3.T" localSheetId="7">'[1]BACOLOD RENTAL RATES'!#REF!</definedName>
    <definedName name="Backhoe.76m3.T" localSheetId="9">'[1]BACOLOD RENTAL RATES'!#REF!</definedName>
    <definedName name="Backhoe1.18m3.T" localSheetId="4">'[1]BACOLOD RENTAL RATES'!#REF!</definedName>
    <definedName name="Backhoe1.18m3.T" localSheetId="6">'[1]BACOLOD RENTAL RATES'!#REF!</definedName>
    <definedName name="Backhoe1.18m3.T" localSheetId="8">'[1]BACOLOD RENTAL RATES'!#REF!</definedName>
    <definedName name="Backhoe1.18m3.T" localSheetId="10">'[1]BACOLOD RENTAL RATES'!#REF!</definedName>
    <definedName name="Backhoe1.18m3.T" localSheetId="5">'[1]BACOLOD RENTAL RATES'!#REF!</definedName>
    <definedName name="Backhoe1.18m3.T" localSheetId="7">'[1]BACOLOD RENTAL RATES'!#REF!</definedName>
    <definedName name="Backhoe1.18m3.T" localSheetId="9">'[1]BACOLOD RENTAL RATES'!#REF!</definedName>
    <definedName name="Backhoe1.98m3.T" localSheetId="4">'[1]BACOLOD RENTAL RATES'!#REF!</definedName>
    <definedName name="Backhoe1.98m3.T" localSheetId="6">'[1]BACOLOD RENTAL RATES'!#REF!</definedName>
    <definedName name="Backhoe1.98m3.T" localSheetId="8">'[1]BACOLOD RENTAL RATES'!#REF!</definedName>
    <definedName name="Backhoe1.98m3.T" localSheetId="10">'[1]BACOLOD RENTAL RATES'!#REF!</definedName>
    <definedName name="Backhoe1.98m3.T" localSheetId="5">'[1]BACOLOD RENTAL RATES'!#REF!</definedName>
    <definedName name="Backhoe1.98m3.T" localSheetId="7">'[1]BACOLOD RENTAL RATES'!#REF!</definedName>
    <definedName name="Backhoe1.98m3.T" localSheetId="9">'[1]BACOLOD RENTAL RATES'!#REF!</definedName>
    <definedName name="Bender50.T" localSheetId="4">'[1]BACOLOD RENTAL RATES'!#REF!</definedName>
    <definedName name="Bender50.T" localSheetId="6">'[1]BACOLOD RENTAL RATES'!#REF!</definedName>
    <definedName name="Bender50.T" localSheetId="8">'[1]BACOLOD RENTAL RATES'!#REF!</definedName>
    <definedName name="Bender50.T" localSheetId="10">'[1]BACOLOD RENTAL RATES'!#REF!</definedName>
    <definedName name="Bender50.T" localSheetId="5">'[1]BACOLOD RENTAL RATES'!#REF!</definedName>
    <definedName name="Bender50.T" localSheetId="7">'[1]BACOLOD RENTAL RATES'!#REF!</definedName>
    <definedName name="Bender50.T" localSheetId="9">'[1]BACOLOD RENTAL RATES'!#REF!</definedName>
    <definedName name="Breaker5hp.T" localSheetId="4">'[1]BACOLOD RENTAL RATES'!#REF!</definedName>
    <definedName name="Breaker5hp.T" localSheetId="6">'[1]BACOLOD RENTAL RATES'!#REF!</definedName>
    <definedName name="Breaker5hp.T" localSheetId="8">'[1]BACOLOD RENTAL RATES'!#REF!</definedName>
    <definedName name="Breaker5hp.T" localSheetId="10">'[1]BACOLOD RENTAL RATES'!#REF!</definedName>
    <definedName name="Breaker5hp.T" localSheetId="5">'[1]BACOLOD RENTAL RATES'!#REF!</definedName>
    <definedName name="Breaker5hp.T" localSheetId="7">'[1]BACOLOD RENTAL RATES'!#REF!</definedName>
    <definedName name="Breaker5hp.T" localSheetId="9">'[1]BACOLOD RENTAL RATES'!#REF!</definedName>
    <definedName name="ChainSaw.T" localSheetId="4">'[1]BACOLOD RENTAL RATES'!#REF!</definedName>
    <definedName name="ChainSaw.T" localSheetId="6">'[1]BACOLOD RENTAL RATES'!#REF!</definedName>
    <definedName name="ChainSaw.T" localSheetId="8">'[1]BACOLOD RENTAL RATES'!#REF!</definedName>
    <definedName name="ChainSaw.T" localSheetId="10">'[1]BACOLOD RENTAL RATES'!#REF!</definedName>
    <definedName name="ChainSaw.T" localSheetId="5">'[1]BACOLOD RENTAL RATES'!#REF!</definedName>
    <definedName name="ChainSaw.T" localSheetId="7">'[1]BACOLOD RENTAL RATES'!#REF!</definedName>
    <definedName name="ChainSaw.T" localSheetId="9">'[1]BACOLOD RENTAL RATES'!#REF!</definedName>
    <definedName name="Comp150.T" localSheetId="4">'[1]BACOLOD RENTAL RATES'!#REF!</definedName>
    <definedName name="Comp150.T" localSheetId="6">'[1]BACOLOD RENTAL RATES'!#REF!</definedName>
    <definedName name="Comp150.T" localSheetId="8">'[1]BACOLOD RENTAL RATES'!#REF!</definedName>
    <definedName name="Comp150.T" localSheetId="10">'[1]BACOLOD RENTAL RATES'!#REF!</definedName>
    <definedName name="Comp150.T" localSheetId="5">'[1]BACOLOD RENTAL RATES'!#REF!</definedName>
    <definedName name="Comp150.T" localSheetId="7">'[1]BACOLOD RENTAL RATES'!#REF!</definedName>
    <definedName name="Comp150.T" localSheetId="9">'[1]BACOLOD RENTAL RATES'!#REF!</definedName>
    <definedName name="Comp350.T" localSheetId="4">'[1]BACOLOD RENTAL RATES'!#REF!</definedName>
    <definedName name="Comp350.T" localSheetId="6">'[1]BACOLOD RENTAL RATES'!#REF!</definedName>
    <definedName name="Comp350.T" localSheetId="8">'[1]BACOLOD RENTAL RATES'!#REF!</definedName>
    <definedName name="Comp350.T" localSheetId="10">'[1]BACOLOD RENTAL RATES'!#REF!</definedName>
    <definedName name="Comp350.T" localSheetId="5">'[1]BACOLOD RENTAL RATES'!#REF!</definedName>
    <definedName name="Comp350.T" localSheetId="7">'[1]BACOLOD RENTAL RATES'!#REF!</definedName>
    <definedName name="Comp350.T" localSheetId="9">'[1]BACOLOD RENTAL RATES'!#REF!</definedName>
    <definedName name="Comp500.T" localSheetId="4">'[1]BACOLOD RENTAL RATES'!#REF!</definedName>
    <definedName name="Comp500.T" localSheetId="6">'[1]BACOLOD RENTAL RATES'!#REF!</definedName>
    <definedName name="Comp500.T" localSheetId="8">'[1]BACOLOD RENTAL RATES'!#REF!</definedName>
    <definedName name="Comp500.T" localSheetId="10">'[1]BACOLOD RENTAL RATES'!#REF!</definedName>
    <definedName name="Comp500.T" localSheetId="5">'[1]BACOLOD RENTAL RATES'!#REF!</definedName>
    <definedName name="Comp500.T" localSheetId="7">'[1]BACOLOD RENTAL RATES'!#REF!</definedName>
    <definedName name="Comp500.T" localSheetId="9">'[1]BACOLOD RENTAL RATES'!#REF!</definedName>
    <definedName name="Compactor12hp.T" localSheetId="4">'[1]BACOLOD RENTAL RATES'!#REF!</definedName>
    <definedName name="Compactor12hp.T" localSheetId="6">'[1]BACOLOD RENTAL RATES'!#REF!</definedName>
    <definedName name="Compactor12hp.T" localSheetId="8">'[1]BACOLOD RENTAL RATES'!#REF!</definedName>
    <definedName name="Compactor12hp.T" localSheetId="10">'[1]BACOLOD RENTAL RATES'!#REF!</definedName>
    <definedName name="Compactor12hp.T" localSheetId="5">'[1]BACOLOD RENTAL RATES'!#REF!</definedName>
    <definedName name="Compactor12hp.T" localSheetId="7">'[1]BACOLOD RENTAL RATES'!#REF!</definedName>
    <definedName name="Compactor12hp.T" localSheetId="9">'[1]BACOLOD RENTAL RATES'!#REF!</definedName>
    <definedName name="ConcCtr30.T" localSheetId="4">'[1]BACOLOD RENTAL RATES'!#REF!</definedName>
    <definedName name="ConcCtr30.T" localSheetId="6">'[1]BACOLOD RENTAL RATES'!#REF!</definedName>
    <definedName name="ConcCtr30.T" localSheetId="8">'[1]BACOLOD RENTAL RATES'!#REF!</definedName>
    <definedName name="ConcCtr30.T" localSheetId="10">'[1]BACOLOD RENTAL RATES'!#REF!</definedName>
    <definedName name="ConcCtr30.T" localSheetId="5">'[1]BACOLOD RENTAL RATES'!#REF!</definedName>
    <definedName name="ConcCtr30.T" localSheetId="7">'[1]BACOLOD RENTAL RATES'!#REF!</definedName>
    <definedName name="ConcCtr30.T" localSheetId="9">'[1]BACOLOD RENTAL RATES'!#REF!</definedName>
    <definedName name="ConcPaver120hp.T" localSheetId="4">'[1]BACOLOD RENTAL RATES'!#REF!</definedName>
    <definedName name="ConcPaver120hp.T" localSheetId="6">'[1]BACOLOD RENTAL RATES'!#REF!</definedName>
    <definedName name="ConcPaver120hp.T" localSheetId="8">'[1]BACOLOD RENTAL RATES'!#REF!</definedName>
    <definedName name="ConcPaver120hp.T" localSheetId="10">'[1]BACOLOD RENTAL RATES'!#REF!</definedName>
    <definedName name="ConcPaver120hp.T" localSheetId="5">'[1]BACOLOD RENTAL RATES'!#REF!</definedName>
    <definedName name="ConcPaver120hp.T" localSheetId="7">'[1]BACOLOD RENTAL RATES'!#REF!</definedName>
    <definedName name="ConcPaver120hp.T" localSheetId="9">'[1]BACOLOD RENTAL RATES'!#REF!</definedName>
    <definedName name="ConcPlant30.T" localSheetId="4">'[1]BACOLOD RENTAL RATES'!#REF!</definedName>
    <definedName name="ConcPlant30.T" localSheetId="6">'[1]BACOLOD RENTAL RATES'!#REF!</definedName>
    <definedName name="ConcPlant30.T" localSheetId="8">'[1]BACOLOD RENTAL RATES'!#REF!</definedName>
    <definedName name="ConcPlant30.T" localSheetId="10">'[1]BACOLOD RENTAL RATES'!#REF!</definedName>
    <definedName name="ConcPlant30.T" localSheetId="5">'[1]BACOLOD RENTAL RATES'!#REF!</definedName>
    <definedName name="ConcPlant30.T" localSheetId="7">'[1]BACOLOD RENTAL RATES'!#REF!</definedName>
    <definedName name="ConcPlant30.T" localSheetId="9">'[1]BACOLOD RENTAL RATES'!#REF!</definedName>
    <definedName name="ConcPlant40.T" localSheetId="4">'[1]BACOLOD RENTAL RATES'!#REF!</definedName>
    <definedName name="ConcPlant40.T" localSheetId="6">'[1]BACOLOD RENTAL RATES'!#REF!</definedName>
    <definedName name="ConcPlant40.T" localSheetId="8">'[1]BACOLOD RENTAL RATES'!#REF!</definedName>
    <definedName name="ConcPlant40.T" localSheetId="10">'[1]BACOLOD RENTAL RATES'!#REF!</definedName>
    <definedName name="ConcPlant40.T" localSheetId="5">'[1]BACOLOD RENTAL RATES'!#REF!</definedName>
    <definedName name="ConcPlant40.T" localSheetId="7">'[1]BACOLOD RENTAL RATES'!#REF!</definedName>
    <definedName name="ConcPlant40.T" localSheetId="9">'[1]BACOLOD RENTAL RATES'!#REF!</definedName>
    <definedName name="ConcPlant60.T" localSheetId="4">'[1]BACOLOD RENTAL RATES'!#REF!</definedName>
    <definedName name="ConcPlant60.T" localSheetId="6">'[1]BACOLOD RENTAL RATES'!#REF!</definedName>
    <definedName name="ConcPlant60.T" localSheetId="8">'[1]BACOLOD RENTAL RATES'!#REF!</definedName>
    <definedName name="ConcPlant60.T" localSheetId="10">'[1]BACOLOD RENTAL RATES'!#REF!</definedName>
    <definedName name="ConcPlant60.T" localSheetId="5">'[1]BACOLOD RENTAL RATES'!#REF!</definedName>
    <definedName name="ConcPlant60.T" localSheetId="7">'[1]BACOLOD RENTAL RATES'!#REF!</definedName>
    <definedName name="ConcPlant60.T" localSheetId="9">'[1]BACOLOD RENTAL RATES'!#REF!</definedName>
    <definedName name="ConcPump40.T" localSheetId="4">'[1]BACOLOD RENTAL RATES'!#REF!</definedName>
    <definedName name="ConcPump40.T" localSheetId="6">'[1]BACOLOD RENTAL RATES'!#REF!</definedName>
    <definedName name="ConcPump40.T" localSheetId="8">'[1]BACOLOD RENTAL RATES'!#REF!</definedName>
    <definedName name="ConcPump40.T" localSheetId="10">'[1]BACOLOD RENTAL RATES'!#REF!</definedName>
    <definedName name="ConcPump40.T" localSheetId="5">'[1]BACOLOD RENTAL RATES'!#REF!</definedName>
    <definedName name="ConcPump40.T" localSheetId="7">'[1]BACOLOD RENTAL RATES'!#REF!</definedName>
    <definedName name="ConcPump40.T" localSheetId="9">'[1]BACOLOD RENTAL RATES'!#REF!</definedName>
    <definedName name="ConcPump45.T" localSheetId="4">'[1]BACOLOD RENTAL RATES'!#REF!</definedName>
    <definedName name="ConcPump45.T" localSheetId="6">'[1]BACOLOD RENTAL RATES'!#REF!</definedName>
    <definedName name="ConcPump45.T" localSheetId="8">'[1]BACOLOD RENTAL RATES'!#REF!</definedName>
    <definedName name="ConcPump45.T" localSheetId="10">'[1]BACOLOD RENTAL RATES'!#REF!</definedName>
    <definedName name="ConcPump45.T" localSheetId="5">'[1]BACOLOD RENTAL RATES'!#REF!</definedName>
    <definedName name="ConcPump45.T" localSheetId="7">'[1]BACOLOD RENTAL RATES'!#REF!</definedName>
    <definedName name="ConcPump45.T" localSheetId="9">'[1]BACOLOD RENTAL RATES'!#REF!</definedName>
    <definedName name="Crane10t.T" localSheetId="4">'[1]BACOLOD RENTAL RATES'!#REF!</definedName>
    <definedName name="Crane10t.T" localSheetId="6">'[1]BACOLOD RENTAL RATES'!#REF!</definedName>
    <definedName name="Crane10t.T" localSheetId="8">'[1]BACOLOD RENTAL RATES'!#REF!</definedName>
    <definedName name="Crane10t.T" localSheetId="10">'[1]BACOLOD RENTAL RATES'!#REF!</definedName>
    <definedName name="Crane10t.T" localSheetId="5">'[1]BACOLOD RENTAL RATES'!#REF!</definedName>
    <definedName name="Crane10t.T" localSheetId="7">'[1]BACOLOD RENTAL RATES'!#REF!</definedName>
    <definedName name="Crane10t.T" localSheetId="9">'[1]BACOLOD RENTAL RATES'!#REF!</definedName>
    <definedName name="Crane120t.T" localSheetId="4">'[1]BACOLOD RENTAL RATES'!#REF!</definedName>
    <definedName name="Crane120t.T" localSheetId="6">'[1]BACOLOD RENTAL RATES'!#REF!</definedName>
    <definedName name="Crane120t.T" localSheetId="8">'[1]BACOLOD RENTAL RATES'!#REF!</definedName>
    <definedName name="Crane120t.T" localSheetId="10">'[1]BACOLOD RENTAL RATES'!#REF!</definedName>
    <definedName name="Crane120t.T" localSheetId="5">'[1]BACOLOD RENTAL RATES'!#REF!</definedName>
    <definedName name="Crane120t.T" localSheetId="7">'[1]BACOLOD RENTAL RATES'!#REF!</definedName>
    <definedName name="Crane120t.T" localSheetId="9">'[1]BACOLOD RENTAL RATES'!#REF!</definedName>
    <definedName name="Crane15t.T" localSheetId="4">'[1]BACOLOD RENTAL RATES'!#REF!</definedName>
    <definedName name="Crane15t.T" localSheetId="6">'[1]BACOLOD RENTAL RATES'!#REF!</definedName>
    <definedName name="Crane15t.T" localSheetId="8">'[1]BACOLOD RENTAL RATES'!#REF!</definedName>
    <definedName name="Crane15t.T" localSheetId="10">'[1]BACOLOD RENTAL RATES'!#REF!</definedName>
    <definedName name="Crane15t.T" localSheetId="5">'[1]BACOLOD RENTAL RATES'!#REF!</definedName>
    <definedName name="Crane15t.T" localSheetId="7">'[1]BACOLOD RENTAL RATES'!#REF!</definedName>
    <definedName name="Crane15t.T" localSheetId="9">'[1]BACOLOD RENTAL RATES'!#REF!</definedName>
    <definedName name="Crane20t.T" localSheetId="4">'[1]BACOLOD RENTAL RATES'!#REF!</definedName>
    <definedName name="Crane20t.T" localSheetId="6">'[1]BACOLOD RENTAL RATES'!#REF!</definedName>
    <definedName name="Crane20t.T" localSheetId="8">'[1]BACOLOD RENTAL RATES'!#REF!</definedName>
    <definedName name="Crane20t.T" localSheetId="10">'[1]BACOLOD RENTAL RATES'!#REF!</definedName>
    <definedName name="Crane20t.T" localSheetId="5">'[1]BACOLOD RENTAL RATES'!#REF!</definedName>
    <definedName name="Crane20t.T" localSheetId="7">'[1]BACOLOD RENTAL RATES'!#REF!</definedName>
    <definedName name="Crane20t.T" localSheetId="9">'[1]BACOLOD RENTAL RATES'!#REF!</definedName>
    <definedName name="Crane25t.T" localSheetId="4">'[1]BACOLOD RENTAL RATES'!#REF!</definedName>
    <definedName name="Crane25t.T" localSheetId="6">'[1]BACOLOD RENTAL RATES'!#REF!</definedName>
    <definedName name="Crane25t.T" localSheetId="8">'[1]BACOLOD RENTAL RATES'!#REF!</definedName>
    <definedName name="Crane25t.T" localSheetId="10">'[1]BACOLOD RENTAL RATES'!#REF!</definedName>
    <definedName name="Crane25t.T" localSheetId="5">'[1]BACOLOD RENTAL RATES'!#REF!</definedName>
    <definedName name="Crane25t.T" localSheetId="7">'[1]BACOLOD RENTAL RATES'!#REF!</definedName>
    <definedName name="Crane25t.T" localSheetId="9">'[1]BACOLOD RENTAL RATES'!#REF!</definedName>
    <definedName name="Crane2t.T" localSheetId="4">'[1]BACOLOD RENTAL RATES'!#REF!</definedName>
    <definedName name="Crane2t.T" localSheetId="6">'[1]BACOLOD RENTAL RATES'!#REF!</definedName>
    <definedName name="Crane2t.T" localSheetId="8">'[1]BACOLOD RENTAL RATES'!#REF!</definedName>
    <definedName name="Crane2t.T" localSheetId="10">'[1]BACOLOD RENTAL RATES'!#REF!</definedName>
    <definedName name="Crane2t.T" localSheetId="5">'[1]BACOLOD RENTAL RATES'!#REF!</definedName>
    <definedName name="Crane2t.T" localSheetId="7">'[1]BACOLOD RENTAL RATES'!#REF!</definedName>
    <definedName name="Crane2t.T" localSheetId="9">'[1]BACOLOD RENTAL RATES'!#REF!</definedName>
    <definedName name="Crane40t.T" localSheetId="4">'[1]BACOLOD RENTAL RATES'!#REF!</definedName>
    <definedName name="Crane40t.T" localSheetId="6">'[1]BACOLOD RENTAL RATES'!#REF!</definedName>
    <definedName name="Crane40t.T" localSheetId="8">'[1]BACOLOD RENTAL RATES'!#REF!</definedName>
    <definedName name="Crane40t.T" localSheetId="10">'[1]BACOLOD RENTAL RATES'!#REF!</definedName>
    <definedName name="Crane40t.T" localSheetId="5">'[1]BACOLOD RENTAL RATES'!#REF!</definedName>
    <definedName name="Crane40t.T" localSheetId="7">'[1]BACOLOD RENTAL RATES'!#REF!</definedName>
    <definedName name="Crane40t.T" localSheetId="9">'[1]BACOLOD RENTAL RATES'!#REF!</definedName>
    <definedName name="Crane5t.T" localSheetId="4">'[1]BACOLOD RENTAL RATES'!#REF!</definedName>
    <definedName name="Crane5t.T" localSheetId="6">'[1]BACOLOD RENTAL RATES'!#REF!</definedName>
    <definedName name="Crane5t.T" localSheetId="8">'[1]BACOLOD RENTAL RATES'!#REF!</definedName>
    <definedName name="Crane5t.T" localSheetId="10">'[1]BACOLOD RENTAL RATES'!#REF!</definedName>
    <definedName name="Crane5t.T" localSheetId="5">'[1]BACOLOD RENTAL RATES'!#REF!</definedName>
    <definedName name="Crane5t.T" localSheetId="7">'[1]BACOLOD RENTAL RATES'!#REF!</definedName>
    <definedName name="Crane5t.T" localSheetId="9">'[1]BACOLOD RENTAL RATES'!#REF!</definedName>
    <definedName name="Crane60t.T" localSheetId="4">'[1]BACOLOD RENTAL RATES'!#REF!</definedName>
    <definedName name="Crane60t.T" localSheetId="6">'[1]BACOLOD RENTAL RATES'!#REF!</definedName>
    <definedName name="Crane60t.T" localSheetId="8">'[1]BACOLOD RENTAL RATES'!#REF!</definedName>
    <definedName name="Crane60t.T" localSheetId="10">'[1]BACOLOD RENTAL RATES'!#REF!</definedName>
    <definedName name="Crane60t.T" localSheetId="5">'[1]BACOLOD RENTAL RATES'!#REF!</definedName>
    <definedName name="Crane60t.T" localSheetId="7">'[1]BACOLOD RENTAL RATES'!#REF!</definedName>
    <definedName name="Crane60t.T" localSheetId="9">'[1]BACOLOD RENTAL RATES'!#REF!</definedName>
    <definedName name="Cutter50.T" localSheetId="4">'[1]BACOLOD RENTAL RATES'!#REF!</definedName>
    <definedName name="Cutter50.T" localSheetId="6">'[1]BACOLOD RENTAL RATES'!#REF!</definedName>
    <definedName name="Cutter50.T" localSheetId="8">'[1]BACOLOD RENTAL RATES'!#REF!</definedName>
    <definedName name="Cutter50.T" localSheetId="10">'[1]BACOLOD RENTAL RATES'!#REF!</definedName>
    <definedName name="Cutter50.T" localSheetId="5">'[1]BACOLOD RENTAL RATES'!#REF!</definedName>
    <definedName name="Cutter50.T" localSheetId="7">'[1]BACOLOD RENTAL RATES'!#REF!</definedName>
    <definedName name="Cutter50.T" localSheetId="9">'[1]BACOLOD RENTAL RATES'!#REF!</definedName>
    <definedName name="Drill115.T" localSheetId="4">'[1]BACOLOD RENTAL RATES'!#REF!</definedName>
    <definedName name="Drill115.T" localSheetId="6">'[1]BACOLOD RENTAL RATES'!#REF!</definedName>
    <definedName name="Drill115.T" localSheetId="8">'[1]BACOLOD RENTAL RATES'!#REF!</definedName>
    <definedName name="Drill115.T" localSheetId="10">'[1]BACOLOD RENTAL RATES'!#REF!</definedName>
    <definedName name="Drill115.T" localSheetId="5">'[1]BACOLOD RENTAL RATES'!#REF!</definedName>
    <definedName name="Drill115.T" localSheetId="7">'[1]BACOLOD RENTAL RATES'!#REF!</definedName>
    <definedName name="Drill115.T" localSheetId="9">'[1]BACOLOD RENTAL RATES'!#REF!</definedName>
    <definedName name="DT10m3.T" localSheetId="4">'[1]BACOLOD RENTAL RATES'!#REF!</definedName>
    <definedName name="DT10m3.T" localSheetId="6">'[1]BACOLOD RENTAL RATES'!#REF!</definedName>
    <definedName name="DT10m3.T" localSheetId="8">'[1]BACOLOD RENTAL RATES'!#REF!</definedName>
    <definedName name="DT10m3.T" localSheetId="10">'[1]BACOLOD RENTAL RATES'!#REF!</definedName>
    <definedName name="DT10m3.T" localSheetId="5">'[1]BACOLOD RENTAL RATES'!#REF!</definedName>
    <definedName name="DT10m3.T" localSheetId="7">'[1]BACOLOD RENTAL RATES'!#REF!</definedName>
    <definedName name="DT10m3.T" localSheetId="9">'[1]BACOLOD RENTAL RATES'!#REF!</definedName>
    <definedName name="DT5m3.T" localSheetId="4">'[1]BACOLOD RENTAL RATES'!#REF!</definedName>
    <definedName name="DT5m3.T" localSheetId="6">'[1]BACOLOD RENTAL RATES'!#REF!</definedName>
    <definedName name="DT5m3.T" localSheetId="8">'[1]BACOLOD RENTAL RATES'!#REF!</definedName>
    <definedName name="DT5m3.T" localSheetId="10">'[1]BACOLOD RENTAL RATES'!#REF!</definedName>
    <definedName name="DT5m3.T" localSheetId="5">'[1]BACOLOD RENTAL RATES'!#REF!</definedName>
    <definedName name="DT5m3.T" localSheetId="7">'[1]BACOLOD RENTAL RATES'!#REF!</definedName>
    <definedName name="DT5m3.T" localSheetId="9">'[1]BACOLOD RENTAL RATES'!#REF!</definedName>
    <definedName name="DT8m3.T" localSheetId="4">'[1]BACOLOD RENTAL RATES'!#REF!</definedName>
    <definedName name="DT8m3.T" localSheetId="6">'[1]BACOLOD RENTAL RATES'!#REF!</definedName>
    <definedName name="DT8m3.T" localSheetId="8">'[1]BACOLOD RENTAL RATES'!#REF!</definedName>
    <definedName name="DT8m3.T" localSheetId="10">'[1]BACOLOD RENTAL RATES'!#REF!</definedName>
    <definedName name="DT8m3.T" localSheetId="5">'[1]BACOLOD RENTAL RATES'!#REF!</definedName>
    <definedName name="DT8m3.T" localSheetId="7">'[1]BACOLOD RENTAL RATES'!#REF!</definedName>
    <definedName name="DT8m3.T" localSheetId="9">'[1]BACOLOD RENTAL RATES'!#REF!</definedName>
    <definedName name="Gen300kw.T" localSheetId="4">'[1]BACOLOD RENTAL RATES'!#REF!</definedName>
    <definedName name="Gen300kw.T" localSheetId="6">'[1]BACOLOD RENTAL RATES'!#REF!</definedName>
    <definedName name="Gen300kw.T" localSheetId="8">'[1]BACOLOD RENTAL RATES'!#REF!</definedName>
    <definedName name="Gen300kw.T" localSheetId="10">'[1]BACOLOD RENTAL RATES'!#REF!</definedName>
    <definedName name="Gen300kw.T" localSheetId="5">'[1]BACOLOD RENTAL RATES'!#REF!</definedName>
    <definedName name="Gen300kw.T" localSheetId="7">'[1]BACOLOD RENTAL RATES'!#REF!</definedName>
    <definedName name="Gen300kw.T" localSheetId="9">'[1]BACOLOD RENTAL RATES'!#REF!</definedName>
    <definedName name="Gen600kw.T" localSheetId="4">'[1]BACOLOD RENTAL RATES'!#REF!</definedName>
    <definedName name="Gen600kw.T" localSheetId="6">'[1]BACOLOD RENTAL RATES'!#REF!</definedName>
    <definedName name="Gen600kw.T" localSheetId="8">'[1]BACOLOD RENTAL RATES'!#REF!</definedName>
    <definedName name="Gen600kw.T" localSheetId="10">'[1]BACOLOD RENTAL RATES'!#REF!</definedName>
    <definedName name="Gen600kw.T" localSheetId="5">'[1]BACOLOD RENTAL RATES'!#REF!</definedName>
    <definedName name="Gen600kw.T" localSheetId="7">'[1]BACOLOD RENTAL RATES'!#REF!</definedName>
    <definedName name="Gen600kw.T" localSheetId="9">'[1]BACOLOD RENTAL RATES'!#REF!</definedName>
    <definedName name="Gen75kw.T" localSheetId="4">'[1]BACOLOD RENTAL RATES'!#REF!</definedName>
    <definedName name="Gen75kw.T" localSheetId="6">'[1]BACOLOD RENTAL RATES'!#REF!</definedName>
    <definedName name="Gen75kw.T" localSheetId="8">'[1]BACOLOD RENTAL RATES'!#REF!</definedName>
    <definedName name="Gen75kw.T" localSheetId="10">'[1]BACOLOD RENTAL RATES'!#REF!</definedName>
    <definedName name="Gen75kw.T" localSheetId="5">'[1]BACOLOD RENTAL RATES'!#REF!</definedName>
    <definedName name="Gen75kw.T" localSheetId="7">'[1]BACOLOD RENTAL RATES'!#REF!</definedName>
    <definedName name="Gen75kw.T" localSheetId="9">'[1]BACOLOD RENTAL RATES'!#REF!</definedName>
    <definedName name="Grader125hp.T" localSheetId="4">'[1]BACOLOD RENTAL RATES'!#REF!</definedName>
    <definedName name="Grader125hp.T" localSheetId="6">'[1]BACOLOD RENTAL RATES'!#REF!</definedName>
    <definedName name="Grader125hp.T" localSheetId="8">'[1]BACOLOD RENTAL RATES'!#REF!</definedName>
    <definedName name="Grader125hp.T" localSheetId="10">'[1]BACOLOD RENTAL RATES'!#REF!</definedName>
    <definedName name="Grader125hp.T" localSheetId="5">'[1]BACOLOD RENTAL RATES'!#REF!</definedName>
    <definedName name="Grader125hp.T" localSheetId="7">'[1]BACOLOD RENTAL RATES'!#REF!</definedName>
    <definedName name="Grader125hp.T" localSheetId="9">'[1]BACOLOD RENTAL RATES'!#REF!</definedName>
    <definedName name="Grader135hp.T" localSheetId="4">'[1]BACOLOD RENTAL RATES'!#REF!</definedName>
    <definedName name="Grader135hp.T" localSheetId="6">'[1]BACOLOD RENTAL RATES'!#REF!</definedName>
    <definedName name="Grader135hp.T" localSheetId="8">'[1]BACOLOD RENTAL RATES'!#REF!</definedName>
    <definedName name="Grader135hp.T" localSheetId="10">'[1]BACOLOD RENTAL RATES'!#REF!</definedName>
    <definedName name="Grader135hp.T" localSheetId="5">'[1]BACOLOD RENTAL RATES'!#REF!</definedName>
    <definedName name="Grader135hp.T" localSheetId="7">'[1]BACOLOD RENTAL RATES'!#REF!</definedName>
    <definedName name="Grader135hp.T" localSheetId="9">'[1]BACOLOD RENTAL RATES'!#REF!</definedName>
    <definedName name="Hammer3700kg.T" localSheetId="4">'[1]BACOLOD RENTAL RATES'!#REF!</definedName>
    <definedName name="Hammer3700kg.T" localSheetId="6">'[1]BACOLOD RENTAL RATES'!#REF!</definedName>
    <definedName name="Hammer3700kg.T" localSheetId="8">'[1]BACOLOD RENTAL RATES'!#REF!</definedName>
    <definedName name="Hammer3700kg.T" localSheetId="10">'[1]BACOLOD RENTAL RATES'!#REF!</definedName>
    <definedName name="Hammer3700kg.T" localSheetId="5">'[1]BACOLOD RENTAL RATES'!#REF!</definedName>
    <definedName name="Hammer3700kg.T" localSheetId="7">'[1]BACOLOD RENTAL RATES'!#REF!</definedName>
    <definedName name="Hammer3700kg.T" localSheetId="9">'[1]BACOLOD RENTAL RATES'!#REF!</definedName>
    <definedName name="Hammer7500kg.T" localSheetId="4">'[1]BACOLOD RENTAL RATES'!#REF!</definedName>
    <definedName name="Hammer7500kg.T" localSheetId="6">'[1]BACOLOD RENTAL RATES'!#REF!</definedName>
    <definedName name="Hammer7500kg.T" localSheetId="8">'[1]BACOLOD RENTAL RATES'!#REF!</definedName>
    <definedName name="Hammer7500kg.T" localSheetId="10">'[1]BACOLOD RENTAL RATES'!#REF!</definedName>
    <definedName name="Hammer7500kg.T" localSheetId="5">'[1]BACOLOD RENTAL RATES'!#REF!</definedName>
    <definedName name="Hammer7500kg.T" localSheetId="7">'[1]BACOLOD RENTAL RATES'!#REF!</definedName>
    <definedName name="Hammer7500kg.T" localSheetId="9">'[1]BACOLOD RENTAL RATES'!#REF!</definedName>
    <definedName name="JkHammer15kg.T" localSheetId="4">'[1]BACOLOD RENTAL RATES'!#REF!</definedName>
    <definedName name="JkHammer15kg.T" localSheetId="6">'[1]BACOLOD RENTAL RATES'!#REF!</definedName>
    <definedName name="JkHammer15kg.T" localSheetId="8">'[1]BACOLOD RENTAL RATES'!#REF!</definedName>
    <definedName name="JkHammer15kg.T" localSheetId="10">'[1]BACOLOD RENTAL RATES'!#REF!</definedName>
    <definedName name="JkHammer15kg.T" localSheetId="5">'[1]BACOLOD RENTAL RATES'!#REF!</definedName>
    <definedName name="JkHammer15kg.T" localSheetId="7">'[1]BACOLOD RENTAL RATES'!#REF!</definedName>
    <definedName name="JkHammer15kg.T" localSheetId="9">'[1]BACOLOD RENTAL RATES'!#REF!</definedName>
    <definedName name="Loader.76m3.T" localSheetId="4">'[1]BACOLOD RENTAL RATES'!#REF!</definedName>
    <definedName name="Loader.76m3.T" localSheetId="6">'[1]BACOLOD RENTAL RATES'!#REF!</definedName>
    <definedName name="Loader.76m3.T" localSheetId="8">'[1]BACOLOD RENTAL RATES'!#REF!</definedName>
    <definedName name="Loader.76m3.T" localSheetId="10">'[1]BACOLOD RENTAL RATES'!#REF!</definedName>
    <definedName name="Loader.76m3.T" localSheetId="5">'[1]BACOLOD RENTAL RATES'!#REF!</definedName>
    <definedName name="Loader.76m3.T" localSheetId="7">'[1]BACOLOD RENTAL RATES'!#REF!</definedName>
    <definedName name="Loader.76m3.T" localSheetId="9">'[1]BACOLOD RENTAL RATES'!#REF!</definedName>
    <definedName name="Loader.83m3.T" localSheetId="4">'[1]BACOLOD RENTAL RATES'!#REF!</definedName>
    <definedName name="Loader.83m3.T" localSheetId="6">'[1]BACOLOD RENTAL RATES'!#REF!</definedName>
    <definedName name="Loader.83m3.T" localSheetId="8">'[1]BACOLOD RENTAL RATES'!#REF!</definedName>
    <definedName name="Loader.83m3.T" localSheetId="10">'[1]BACOLOD RENTAL RATES'!#REF!</definedName>
    <definedName name="Loader.83m3.T" localSheetId="5">'[1]BACOLOD RENTAL RATES'!#REF!</definedName>
    <definedName name="Loader.83m3.T" localSheetId="7">'[1]BACOLOD RENTAL RATES'!#REF!</definedName>
    <definedName name="Loader.83m3.T" localSheetId="9">'[1]BACOLOD RENTAL RATES'!#REF!</definedName>
    <definedName name="Loader.99m3.T" localSheetId="4">'[1]BACOLOD RENTAL RATES'!#REF!</definedName>
    <definedName name="Loader.99m3.T" localSheetId="6">'[1]BACOLOD RENTAL RATES'!#REF!</definedName>
    <definedName name="Loader.99m3.T" localSheetId="8">'[1]BACOLOD RENTAL RATES'!#REF!</definedName>
    <definedName name="Loader.99m3.T" localSheetId="10">'[1]BACOLOD RENTAL RATES'!#REF!</definedName>
    <definedName name="Loader.99m3.T" localSheetId="5">'[1]BACOLOD RENTAL RATES'!#REF!</definedName>
    <definedName name="Loader.99m3.T" localSheetId="7">'[1]BACOLOD RENTAL RATES'!#REF!</definedName>
    <definedName name="Loader.99m3.T" localSheetId="9">'[1]BACOLOD RENTAL RATES'!#REF!</definedName>
    <definedName name="Loader1.3m3.T" localSheetId="4">'[1]BACOLOD RENTAL RATES'!#REF!</definedName>
    <definedName name="Loader1.3m3.T" localSheetId="6">'[1]BACOLOD RENTAL RATES'!#REF!</definedName>
    <definedName name="Loader1.3m3.T" localSheetId="8">'[1]BACOLOD RENTAL RATES'!#REF!</definedName>
    <definedName name="Loader1.3m3.T" localSheetId="10">'[1]BACOLOD RENTAL RATES'!#REF!</definedName>
    <definedName name="Loader1.3m3.T" localSheetId="5">'[1]BACOLOD RENTAL RATES'!#REF!</definedName>
    <definedName name="Loader1.3m3.T" localSheetId="7">'[1]BACOLOD RENTAL RATES'!#REF!</definedName>
    <definedName name="Loader1.3m3.T" localSheetId="9">'[1]BACOLOD RENTAL RATES'!#REF!</definedName>
    <definedName name="Loader1.53m3.T" localSheetId="4">'[1]BACOLOD RENTAL RATES'!#REF!</definedName>
    <definedName name="Loader1.53m3.T" localSheetId="6">'[1]BACOLOD RENTAL RATES'!#REF!</definedName>
    <definedName name="Loader1.53m3.T" localSheetId="8">'[1]BACOLOD RENTAL RATES'!#REF!</definedName>
    <definedName name="Loader1.53m3.T" localSheetId="10">'[1]BACOLOD RENTAL RATES'!#REF!</definedName>
    <definedName name="Loader1.53m3.T" localSheetId="5">'[1]BACOLOD RENTAL RATES'!#REF!</definedName>
    <definedName name="Loader1.53m3.T" localSheetId="7">'[1]BACOLOD RENTAL RATES'!#REF!</definedName>
    <definedName name="Loader1.53m3.T" localSheetId="9">'[1]BACOLOD RENTAL RATES'!#REF!</definedName>
    <definedName name="Loader1.76m3.T" localSheetId="4">'[1]BACOLOD RENTAL RATES'!#REF!</definedName>
    <definedName name="Loader1.76m3.T" localSheetId="6">'[1]BACOLOD RENTAL RATES'!#REF!</definedName>
    <definedName name="Loader1.76m3.T" localSheetId="8">'[1]BACOLOD RENTAL RATES'!#REF!</definedName>
    <definedName name="Loader1.76m3.T" localSheetId="10">'[1]BACOLOD RENTAL RATES'!#REF!</definedName>
    <definedName name="Loader1.76m3.T" localSheetId="5">'[1]BACOLOD RENTAL RATES'!#REF!</definedName>
    <definedName name="Loader1.76m3.T" localSheetId="7">'[1]BACOLOD RENTAL RATES'!#REF!</definedName>
    <definedName name="Loader1.76m3.T" localSheetId="9">'[1]BACOLOD RENTAL RATES'!#REF!</definedName>
    <definedName name="Loader2.29m3.T" localSheetId="4">'[1]BACOLOD RENTAL RATES'!#REF!</definedName>
    <definedName name="Loader2.29m3.T" localSheetId="6">'[1]BACOLOD RENTAL RATES'!#REF!</definedName>
    <definedName name="Loader2.29m3.T" localSheetId="8">'[1]BACOLOD RENTAL RATES'!#REF!</definedName>
    <definedName name="Loader2.29m3.T" localSheetId="10">'[1]BACOLOD RENTAL RATES'!#REF!</definedName>
    <definedName name="Loader2.29m3.T" localSheetId="5">'[1]BACOLOD RENTAL RATES'!#REF!</definedName>
    <definedName name="Loader2.29m3.T" localSheetId="7">'[1]BACOLOD RENTAL RATES'!#REF!</definedName>
    <definedName name="Loader2.29m3.T" localSheetId="9">'[1]BACOLOD RENTAL RATES'!#REF!</definedName>
    <definedName name="Marker1.2ltr.T" localSheetId="4">'[1]BACOLOD RENTAL RATES'!#REF!</definedName>
    <definedName name="Marker1.2ltr.T" localSheetId="6">'[1]BACOLOD RENTAL RATES'!#REF!</definedName>
    <definedName name="Marker1.2ltr.T" localSheetId="8">'[1]BACOLOD RENTAL RATES'!#REF!</definedName>
    <definedName name="Marker1.2ltr.T" localSheetId="10">'[1]BACOLOD RENTAL RATES'!#REF!</definedName>
    <definedName name="Marker1.2ltr.T" localSheetId="5">'[1]BACOLOD RENTAL RATES'!#REF!</definedName>
    <definedName name="Marker1.2ltr.T" localSheetId="7">'[1]BACOLOD RENTAL RATES'!#REF!</definedName>
    <definedName name="Marker1.2ltr.T" localSheetId="9">'[1]BACOLOD RENTAL RATES'!#REF!</definedName>
    <definedName name="Mixer1.T" localSheetId="4">'[1]BACOLOD RENTAL RATES'!#REF!</definedName>
    <definedName name="Mixer1.T" localSheetId="6">'[1]BACOLOD RENTAL RATES'!#REF!</definedName>
    <definedName name="Mixer1.T" localSheetId="8">'[1]BACOLOD RENTAL RATES'!#REF!</definedName>
    <definedName name="Mixer1.T" localSheetId="10">'[1]BACOLOD RENTAL RATES'!#REF!</definedName>
    <definedName name="Mixer1.T" localSheetId="5">'[1]BACOLOD RENTAL RATES'!#REF!</definedName>
    <definedName name="Mixer1.T" localSheetId="7">'[1]BACOLOD RENTAL RATES'!#REF!</definedName>
    <definedName name="Mixer1.T" localSheetId="9">'[1]BACOLOD RENTAL RATES'!#REF!</definedName>
    <definedName name="Mixer2.T" localSheetId="4">'[1]BACOLOD RENTAL RATES'!#REF!</definedName>
    <definedName name="Mixer2.T" localSheetId="6">'[1]BACOLOD RENTAL RATES'!#REF!</definedName>
    <definedName name="Mixer2.T" localSheetId="8">'[1]BACOLOD RENTAL RATES'!#REF!</definedName>
    <definedName name="Mixer2.T" localSheetId="10">'[1]BACOLOD RENTAL RATES'!#REF!</definedName>
    <definedName name="Mixer2.T" localSheetId="5">'[1]BACOLOD RENTAL RATES'!#REF!</definedName>
    <definedName name="Mixer2.T" localSheetId="7">'[1]BACOLOD RENTAL RATES'!#REF!</definedName>
    <definedName name="Mixer2.T" localSheetId="9">'[1]BACOLOD RENTAL RATES'!#REF!</definedName>
    <definedName name="Mixer3.T" localSheetId="4">'[1]BACOLOD RENTAL RATES'!#REF!</definedName>
    <definedName name="Mixer3.T" localSheetId="6">'[1]BACOLOD RENTAL RATES'!#REF!</definedName>
    <definedName name="Mixer3.T" localSheetId="8">'[1]BACOLOD RENTAL RATES'!#REF!</definedName>
    <definedName name="Mixer3.T" localSheetId="10">'[1]BACOLOD RENTAL RATES'!#REF!</definedName>
    <definedName name="Mixer3.T" localSheetId="5">'[1]BACOLOD RENTAL RATES'!#REF!</definedName>
    <definedName name="Mixer3.T" localSheetId="7">'[1]BACOLOD RENTAL RATES'!#REF!</definedName>
    <definedName name="Mixer3.T" localSheetId="9">'[1]BACOLOD RENTAL RATES'!#REF!</definedName>
    <definedName name="Mixer5m3.T" localSheetId="4">'[1]BACOLOD RENTAL RATES'!#REF!</definedName>
    <definedName name="Mixer5m3.T" localSheetId="6">'[1]BACOLOD RENTAL RATES'!#REF!</definedName>
    <definedName name="Mixer5m3.T" localSheetId="8">'[1]BACOLOD RENTAL RATES'!#REF!</definedName>
    <definedName name="Mixer5m3.T" localSheetId="10">'[1]BACOLOD RENTAL RATES'!#REF!</definedName>
    <definedName name="Mixer5m3.T" localSheetId="5">'[1]BACOLOD RENTAL RATES'!#REF!</definedName>
    <definedName name="Mixer5m3.T" localSheetId="7">'[1]BACOLOD RENTAL RATES'!#REF!</definedName>
    <definedName name="Mixer5m3.T" localSheetId="9">'[1]BACOLOD RENTAL RATES'!#REF!</definedName>
    <definedName name="_xlnm.Print_Area" localSheetId="12">'500(1)a3 (2)'!$A$1:$G$44</definedName>
    <definedName name="_xlnm.Print_Area" localSheetId="4">'STEWA (02-20-26)'!$A$1:$F$39</definedName>
    <definedName name="_xlnm.Print_Area" localSheetId="6">'STEWA (August 16, 2024)'!$A$1:$F$39</definedName>
    <definedName name="_xlnm.Print_Area" localSheetId="8">'STEWA (August 23, 2024)'!$A$1:$F$39</definedName>
    <definedName name="_xlnm.Print_Area" localSheetId="10">'STEWA (August 30, 2024)'!$A$1:$F$39</definedName>
    <definedName name="_xlnm.Print_Area" localSheetId="5">'STEWA (July 26, 2024)'!$A$1:$F$39</definedName>
    <definedName name="_xlnm.Print_Area" localSheetId="2">'stewa(EXPIRY)'!$A$1:$F$39</definedName>
    <definedName name="_xlnm.Print_Area" localSheetId="3">SWA!$A$1:$M$57</definedName>
    <definedName name="_xlnm.Print_Area" localSheetId="7">'SWA (August 23, 2024)'!$A$1:$M$45</definedName>
    <definedName name="_xlnm.Print_Area" localSheetId="9">'SWA (August 30, 2024)'!$A$1:$M$45</definedName>
    <definedName name="_xlnm.Print_Area" localSheetId="11">swa_BC!$A$1:$M$44</definedName>
    <definedName name="_xlnm.Print_Area" localSheetId="0">'time elapse'!$A$1:$E$37</definedName>
    <definedName name="_xlnm.Print_Area" localSheetId="1">'time elapse (2)'!$A$1:$E$37</definedName>
    <definedName name="Pump1750gpm.T" localSheetId="4">'[1]BACOLOD RENTAL RATES'!#REF!</definedName>
    <definedName name="Pump1750gpm.T" localSheetId="6">'[1]BACOLOD RENTAL RATES'!#REF!</definedName>
    <definedName name="Pump1750gpm.T" localSheetId="8">'[1]BACOLOD RENTAL RATES'!#REF!</definedName>
    <definedName name="Pump1750gpm.T" localSheetId="10">'[1]BACOLOD RENTAL RATES'!#REF!</definedName>
    <definedName name="Pump1750gpm.T" localSheetId="5">'[1]BACOLOD RENTAL RATES'!#REF!</definedName>
    <definedName name="Pump1750gpm.T" localSheetId="2">'[1]BACOLOD RENTAL RATES'!#REF!</definedName>
    <definedName name="Pump1750gpm.T" localSheetId="7">'[1]BACOLOD RENTAL RATES'!#REF!</definedName>
    <definedName name="Pump1750gpm.T" localSheetId="9">'[1]BACOLOD RENTAL RATES'!#REF!</definedName>
    <definedName name="Pump250gpm.T" localSheetId="4">'[1]BACOLOD RENTAL RATES'!#REF!</definedName>
    <definedName name="Pump250gpm.T" localSheetId="6">'[1]BACOLOD RENTAL RATES'!#REF!</definedName>
    <definedName name="Pump250gpm.T" localSheetId="8">'[1]BACOLOD RENTAL RATES'!#REF!</definedName>
    <definedName name="Pump250gpm.T" localSheetId="10">'[1]BACOLOD RENTAL RATES'!#REF!</definedName>
    <definedName name="Pump250gpm.T" localSheetId="5">'[1]BACOLOD RENTAL RATES'!#REF!</definedName>
    <definedName name="Pump250gpm.T" localSheetId="2">'[1]BACOLOD RENTAL RATES'!#REF!</definedName>
    <definedName name="Pump250gpm.T" localSheetId="7">'[1]BACOLOD RENTAL RATES'!#REF!</definedName>
    <definedName name="Pump250gpm.T" localSheetId="9">'[1]BACOLOD RENTAL RATES'!#REF!</definedName>
    <definedName name="Pump650gpm.T" localSheetId="4">'[1]BACOLOD RENTAL RATES'!#REF!</definedName>
    <definedName name="Pump650gpm.T" localSheetId="6">'[1]BACOLOD RENTAL RATES'!#REF!</definedName>
    <definedName name="Pump650gpm.T" localSheetId="8">'[1]BACOLOD RENTAL RATES'!#REF!</definedName>
    <definedName name="Pump650gpm.T" localSheetId="10">'[1]BACOLOD RENTAL RATES'!#REF!</definedName>
    <definedName name="Pump650gpm.T" localSheetId="5">'[1]BACOLOD RENTAL RATES'!#REF!</definedName>
    <definedName name="Pump650gpm.T" localSheetId="2">'[1]BACOLOD RENTAL RATES'!#REF!</definedName>
    <definedName name="Pump650gpm.T" localSheetId="7">'[1]BACOLOD RENTAL RATES'!#REF!</definedName>
    <definedName name="Pump650gpm.T" localSheetId="9">'[1]BACOLOD RENTAL RATES'!#REF!</definedName>
    <definedName name="Roller10t.T" localSheetId="4">'[1]BACOLOD RENTAL RATES'!#REF!</definedName>
    <definedName name="Roller10t.T" localSheetId="6">'[1]BACOLOD RENTAL RATES'!#REF!</definedName>
    <definedName name="Roller10t.T" localSheetId="8">'[1]BACOLOD RENTAL RATES'!#REF!</definedName>
    <definedName name="Roller10t.T" localSheetId="10">'[1]BACOLOD RENTAL RATES'!#REF!</definedName>
    <definedName name="Roller10t.T" localSheetId="5">'[1]BACOLOD RENTAL RATES'!#REF!</definedName>
    <definedName name="Roller10t.T" localSheetId="2">'[1]BACOLOD RENTAL RATES'!#REF!</definedName>
    <definedName name="Roller10t.T" localSheetId="7">'[1]BACOLOD RENTAL RATES'!#REF!</definedName>
    <definedName name="Roller10t.T" localSheetId="9">'[1]BACOLOD RENTAL RATES'!#REF!</definedName>
    <definedName name="Roller25t.T" localSheetId="4">'[1]BACOLOD RENTAL RATES'!#REF!</definedName>
    <definedName name="Roller25t.T" localSheetId="6">'[1]BACOLOD RENTAL RATES'!#REF!</definedName>
    <definedName name="Roller25t.T" localSheetId="8">'[1]BACOLOD RENTAL RATES'!#REF!</definedName>
    <definedName name="Roller25t.T" localSheetId="10">'[1]BACOLOD RENTAL RATES'!#REF!</definedName>
    <definedName name="Roller25t.T" localSheetId="5">'[1]BACOLOD RENTAL RATES'!#REF!</definedName>
    <definedName name="Roller25t.T" localSheetId="7">'[1]BACOLOD RENTAL RATES'!#REF!</definedName>
    <definedName name="Roller25t.T" localSheetId="9">'[1]BACOLOD RENTAL RATES'!#REF!</definedName>
    <definedName name="sadfsadf" localSheetId="4">#REF!</definedName>
    <definedName name="sadfsadf" localSheetId="6">#REF!</definedName>
    <definedName name="sadfsadf" localSheetId="8">#REF!</definedName>
    <definedName name="sadfsadf" localSheetId="10">#REF!</definedName>
    <definedName name="sadfsadf" localSheetId="5">#REF!</definedName>
    <definedName name="sadfsadf" localSheetId="7">#REF!</definedName>
    <definedName name="sadfsadf" localSheetId="9">#REF!</definedName>
    <definedName name="Scraper21m3.T" localSheetId="4">'[1]BACOLOD RENTAL RATES'!#REF!</definedName>
    <definedName name="Scraper21m3.T" localSheetId="6">'[1]BACOLOD RENTAL RATES'!#REF!</definedName>
    <definedName name="Scraper21m3.T" localSheetId="8">'[1]BACOLOD RENTAL RATES'!#REF!</definedName>
    <definedName name="Scraper21m3.T" localSheetId="10">'[1]BACOLOD RENTAL RATES'!#REF!</definedName>
    <definedName name="Scraper21m3.T" localSheetId="5">'[1]BACOLOD RENTAL RATES'!#REF!</definedName>
    <definedName name="Scraper21m3.T" localSheetId="7">'[1]BACOLOD RENTAL RATES'!#REF!</definedName>
    <definedName name="Scraper21m3.T" localSheetId="9">'[1]BACOLOD RENTAL RATES'!#REF!</definedName>
    <definedName name="Sealer10hp.T" localSheetId="4">'[1]BACOLOD RENTAL RATES'!#REF!</definedName>
    <definedName name="Sealer10hp.T" localSheetId="6">'[1]BACOLOD RENTAL RATES'!#REF!</definedName>
    <definedName name="Sealer10hp.T" localSheetId="8">'[1]BACOLOD RENTAL RATES'!#REF!</definedName>
    <definedName name="Sealer10hp.T" localSheetId="10">'[1]BACOLOD RENTAL RATES'!#REF!</definedName>
    <definedName name="Sealer10hp.T" localSheetId="5">'[1]BACOLOD RENTAL RATES'!#REF!</definedName>
    <definedName name="Sealer10hp.T" localSheetId="7">'[1]BACOLOD RENTAL RATES'!#REF!</definedName>
    <definedName name="Sealer10hp.T" localSheetId="9">'[1]BACOLOD RENTAL RATES'!#REF!</definedName>
    <definedName name="Shovel1250hp.T" localSheetId="4">'[1]BACOLOD RENTAL RATES'!#REF!</definedName>
    <definedName name="Shovel1250hp.T" localSheetId="6">'[1]BACOLOD RENTAL RATES'!#REF!</definedName>
    <definedName name="Shovel1250hp.T" localSheetId="8">'[1]BACOLOD RENTAL RATES'!#REF!</definedName>
    <definedName name="Shovel1250hp.T" localSheetId="10">'[1]BACOLOD RENTAL RATES'!#REF!</definedName>
    <definedName name="Shovel1250hp.T" localSheetId="5">'[1]BACOLOD RENTAL RATES'!#REF!</definedName>
    <definedName name="Shovel1250hp.T" localSheetId="7">'[1]BACOLOD RENTAL RATES'!#REF!</definedName>
    <definedName name="Shovel1250hp.T" localSheetId="9">'[1]BACOLOD RENTAL RATES'!#REF!</definedName>
    <definedName name="StripMach10hp.T" localSheetId="4">'[1]BACOLOD RENTAL RATES'!#REF!</definedName>
    <definedName name="StripMach10hp.T" localSheetId="6">'[1]BACOLOD RENTAL RATES'!#REF!</definedName>
    <definedName name="StripMach10hp.T" localSheetId="8">'[1]BACOLOD RENTAL RATES'!#REF!</definedName>
    <definedName name="StripMach10hp.T" localSheetId="10">'[1]BACOLOD RENTAL RATES'!#REF!</definedName>
    <definedName name="StripMach10hp.T" localSheetId="5">'[1]BACOLOD RENTAL RATES'!#REF!</definedName>
    <definedName name="StripMach10hp.T" localSheetId="7">'[1]BACOLOD RENTAL RATES'!#REF!</definedName>
    <definedName name="StripMach10hp.T" localSheetId="9">'[1]BACOLOD RENTAL RATES'!#REF!</definedName>
    <definedName name="Sweeper30hp.T" localSheetId="4">'[1]BACOLOD RENTAL RATES'!#REF!</definedName>
    <definedName name="Sweeper30hp.T" localSheetId="6">'[1]BACOLOD RENTAL RATES'!#REF!</definedName>
    <definedName name="Sweeper30hp.T" localSheetId="8">'[1]BACOLOD RENTAL RATES'!#REF!</definedName>
    <definedName name="Sweeper30hp.T" localSheetId="10">'[1]BACOLOD RENTAL RATES'!#REF!</definedName>
    <definedName name="Sweeper30hp.T" localSheetId="5">'[1]BACOLOD RENTAL RATES'!#REF!</definedName>
    <definedName name="Sweeper30hp.T" localSheetId="7">'[1]BACOLOD RENTAL RATES'!#REF!</definedName>
    <definedName name="Sweeper30hp.T" localSheetId="9">'[1]BACOLOD RENTAL RATES'!#REF!</definedName>
    <definedName name="Tractor140hp.T" localSheetId="4">'[1]BACOLOD RENTAL RATES'!#REF!</definedName>
    <definedName name="Tractor140hp.T" localSheetId="6">'[1]BACOLOD RENTAL RATES'!#REF!</definedName>
    <definedName name="Tractor140hp.T" localSheetId="8">'[1]BACOLOD RENTAL RATES'!#REF!</definedName>
    <definedName name="Tractor140hp.T" localSheetId="10">'[1]BACOLOD RENTAL RATES'!#REF!</definedName>
    <definedName name="Tractor140hp.T" localSheetId="5">'[1]BACOLOD RENTAL RATES'!#REF!</definedName>
    <definedName name="Tractor140hp.T" localSheetId="7">'[1]BACOLOD RENTAL RATES'!#REF!</definedName>
    <definedName name="Tractor140hp.T" localSheetId="9">'[1]BACOLOD RENTAL RATES'!#REF!</definedName>
    <definedName name="Tractor215hp.T" localSheetId="4">'[1]BACOLOD RENTAL RATES'!#REF!</definedName>
    <definedName name="Tractor215hp.T" localSheetId="6">'[1]BACOLOD RENTAL RATES'!#REF!</definedName>
    <definedName name="Tractor215hp.T" localSheetId="8">'[1]BACOLOD RENTAL RATES'!#REF!</definedName>
    <definedName name="Tractor215hp.T" localSheetId="10">'[1]BACOLOD RENTAL RATES'!#REF!</definedName>
    <definedName name="Tractor215hp.T" localSheetId="5">'[1]BACOLOD RENTAL RATES'!#REF!</definedName>
    <definedName name="Tractor215hp.T" localSheetId="7">'[1]BACOLOD RENTAL RATES'!#REF!</definedName>
    <definedName name="Tractor215hp.T" localSheetId="9">'[1]BACOLOD RENTAL RATES'!#REF!</definedName>
    <definedName name="Tractor335hp.T" localSheetId="4">'[1]BACOLOD RENTAL RATES'!#REF!</definedName>
    <definedName name="Tractor335hp.T" localSheetId="6">'[1]BACOLOD RENTAL RATES'!#REF!</definedName>
    <definedName name="Tractor335hp.T" localSheetId="8">'[1]BACOLOD RENTAL RATES'!#REF!</definedName>
    <definedName name="Tractor335hp.T" localSheetId="10">'[1]BACOLOD RENTAL RATES'!#REF!</definedName>
    <definedName name="Tractor335hp.T" localSheetId="5">'[1]BACOLOD RENTAL RATES'!#REF!</definedName>
    <definedName name="Tractor335hp.T" localSheetId="7">'[1]BACOLOD RENTAL RATES'!#REF!</definedName>
    <definedName name="Tractor335hp.T" localSheetId="9">'[1]BACOLOD RENTAL RATES'!#REF!</definedName>
    <definedName name="Tractor95hp.T" localSheetId="4">'[1]BACOLOD RENTAL RATES'!#REF!</definedName>
    <definedName name="Tractor95hp.T" localSheetId="6">'[1]BACOLOD RENTAL RATES'!#REF!</definedName>
    <definedName name="Tractor95hp.T" localSheetId="8">'[1]BACOLOD RENTAL RATES'!#REF!</definedName>
    <definedName name="Tractor95hp.T" localSheetId="10">'[1]BACOLOD RENTAL RATES'!#REF!</definedName>
    <definedName name="Tractor95hp.T" localSheetId="5">'[1]BACOLOD RENTAL RATES'!#REF!</definedName>
    <definedName name="Tractor95hp.T" localSheetId="7">'[1]BACOLOD RENTAL RATES'!#REF!</definedName>
    <definedName name="Tractor95hp.T" localSheetId="9">'[1]BACOLOD RENTAL RATES'!#REF!</definedName>
    <definedName name="TrailerHigh25t.T" localSheetId="4">'[1]BACOLOD RENTAL RATES'!#REF!</definedName>
    <definedName name="TrailerHigh25t.T" localSheetId="6">'[1]BACOLOD RENTAL RATES'!#REF!</definedName>
    <definedName name="TrailerHigh25t.T" localSheetId="8">'[1]BACOLOD RENTAL RATES'!#REF!</definedName>
    <definedName name="TrailerHigh25t.T" localSheetId="10">'[1]BACOLOD RENTAL RATES'!#REF!</definedName>
    <definedName name="TrailerHigh25t.T" localSheetId="5">'[1]BACOLOD RENTAL RATES'!#REF!</definedName>
    <definedName name="TrailerHigh25t.T" localSheetId="7">'[1]BACOLOD RENTAL RATES'!#REF!</definedName>
    <definedName name="TrailerHigh25t.T" localSheetId="9">'[1]BACOLOD RENTAL RATES'!#REF!</definedName>
    <definedName name="TrailerLow25t.T" localSheetId="4">'[1]BACOLOD RENTAL RATES'!#REF!</definedName>
    <definedName name="TrailerLow25t.T" localSheetId="6">'[1]BACOLOD RENTAL RATES'!#REF!</definedName>
    <definedName name="TrailerLow25t.T" localSheetId="8">'[1]BACOLOD RENTAL RATES'!#REF!</definedName>
    <definedName name="TrailerLow25t.T" localSheetId="10">'[1]BACOLOD RENTAL RATES'!#REF!</definedName>
    <definedName name="TrailerLow25t.T" localSheetId="5">'[1]BACOLOD RENTAL RATES'!#REF!</definedName>
    <definedName name="TrailerLow25t.T" localSheetId="7">'[1]BACOLOD RENTAL RATES'!#REF!</definedName>
    <definedName name="TrailerLow25t.T" localSheetId="9">'[1]BACOLOD RENTAL RATES'!#REF!</definedName>
    <definedName name="Truck10t.T" localSheetId="4">'[1]BACOLOD RENTAL RATES'!#REF!</definedName>
    <definedName name="Truck10t.T" localSheetId="6">'[1]BACOLOD RENTAL RATES'!#REF!</definedName>
    <definedName name="Truck10t.T" localSheetId="8">'[1]BACOLOD RENTAL RATES'!#REF!</definedName>
    <definedName name="Truck10t.T" localSheetId="10">'[1]BACOLOD RENTAL RATES'!#REF!</definedName>
    <definedName name="Truck10t.T" localSheetId="5">'[1]BACOLOD RENTAL RATES'!#REF!</definedName>
    <definedName name="Truck10t.T" localSheetId="7">'[1]BACOLOD RENTAL RATES'!#REF!</definedName>
    <definedName name="Truck10t.T" localSheetId="9">'[1]BACOLOD RENTAL RATES'!#REF!</definedName>
    <definedName name="Truck5t.T" localSheetId="4">'[1]BACOLOD RENTAL RATES'!#REF!</definedName>
    <definedName name="Truck5t.T" localSheetId="6">'[1]BACOLOD RENTAL RATES'!#REF!</definedName>
    <definedName name="Truck5t.T" localSheetId="8">'[1]BACOLOD RENTAL RATES'!#REF!</definedName>
    <definedName name="Truck5t.T" localSheetId="10">'[1]BACOLOD RENTAL RATES'!#REF!</definedName>
    <definedName name="Truck5t.T" localSheetId="5">'[1]BACOLOD RENTAL RATES'!#REF!</definedName>
    <definedName name="Truck5t.T" localSheetId="7">'[1]BACOLOD RENTAL RATES'!#REF!</definedName>
    <definedName name="Truck5t.T" localSheetId="9">'[1]BACOLOD RENTAL RATES'!#REF!</definedName>
    <definedName name="TruckCrane10t.T" localSheetId="4">'[1]BACOLOD RENTAL RATES'!#REF!</definedName>
    <definedName name="TruckCrane10t.T" localSheetId="6">'[1]BACOLOD RENTAL RATES'!#REF!</definedName>
    <definedName name="TruckCrane10t.T" localSheetId="8">'[1]BACOLOD RENTAL RATES'!#REF!</definedName>
    <definedName name="TruckCrane10t.T" localSheetId="10">'[1]BACOLOD RENTAL RATES'!#REF!</definedName>
    <definedName name="TruckCrane10t.T" localSheetId="5">'[1]BACOLOD RENTAL RATES'!#REF!</definedName>
    <definedName name="TruckCrane10t.T" localSheetId="7">'[1]BACOLOD RENTAL RATES'!#REF!</definedName>
    <definedName name="TruckCrane10t.T" localSheetId="9">'[1]BACOLOD RENTAL RATES'!#REF!</definedName>
    <definedName name="Vib75.T" localSheetId="4">'[1]BACOLOD RENTAL RATES'!#REF!</definedName>
    <definedName name="Vib75.T" localSheetId="6">'[1]BACOLOD RENTAL RATES'!#REF!</definedName>
    <definedName name="Vib75.T" localSheetId="8">'[1]BACOLOD RENTAL RATES'!#REF!</definedName>
    <definedName name="Vib75.T" localSheetId="10">'[1]BACOLOD RENTAL RATES'!#REF!</definedName>
    <definedName name="Vib75.T" localSheetId="5">'[1]BACOLOD RENTAL RATES'!#REF!</definedName>
    <definedName name="Vib75.T" localSheetId="7">'[1]BACOLOD RENTAL RATES'!#REF!</definedName>
    <definedName name="Vib75.T" localSheetId="9">'[1]BACOLOD RENTAL RATES'!#REF!</definedName>
    <definedName name="VibRoll12t.T" localSheetId="4">'[1]BACOLOD RENTAL RATES'!#REF!</definedName>
    <definedName name="VibRoll12t.T" localSheetId="6">'[1]BACOLOD RENTAL RATES'!#REF!</definedName>
    <definedName name="VibRoll12t.T" localSheetId="8">'[1]BACOLOD RENTAL RATES'!#REF!</definedName>
    <definedName name="VibRoll12t.T" localSheetId="10">'[1]BACOLOD RENTAL RATES'!#REF!</definedName>
    <definedName name="VibRoll12t.T" localSheetId="5">'[1]BACOLOD RENTAL RATES'!#REF!</definedName>
    <definedName name="VibRoll12t.T" localSheetId="7">'[1]BACOLOD RENTAL RATES'!#REF!</definedName>
    <definedName name="VibRoll12t.T" localSheetId="9">'[1]BACOLOD RENTAL RATES'!#REF!</definedName>
    <definedName name="VibRoll2t.T" localSheetId="4">'[1]BACOLOD RENTAL RATES'!#REF!</definedName>
    <definedName name="VibRoll2t.T" localSheetId="6">'[1]BACOLOD RENTAL RATES'!#REF!</definedName>
    <definedName name="VibRoll2t.T" localSheetId="8">'[1]BACOLOD RENTAL RATES'!#REF!</definedName>
    <definedName name="VibRoll2t.T" localSheetId="10">'[1]BACOLOD RENTAL RATES'!#REF!</definedName>
    <definedName name="VibRoll2t.T" localSheetId="5">'[1]BACOLOD RENTAL RATES'!#REF!</definedName>
    <definedName name="VibRoll2t.T" localSheetId="7">'[1]BACOLOD RENTAL RATES'!#REF!</definedName>
    <definedName name="VibRoll2t.T" localSheetId="9">'[1]BACOLOD RENTAL RATES'!#REF!</definedName>
    <definedName name="VibRollS10t.T" localSheetId="4">'[1]BACOLOD RENTAL RATES'!#REF!</definedName>
    <definedName name="VibRollS10t.T" localSheetId="6">'[1]BACOLOD RENTAL RATES'!#REF!</definedName>
    <definedName name="VibRollS10t.T" localSheetId="8">'[1]BACOLOD RENTAL RATES'!#REF!</definedName>
    <definedName name="VibRollS10t.T" localSheetId="10">'[1]BACOLOD RENTAL RATES'!#REF!</definedName>
    <definedName name="VibRollS10t.T" localSheetId="5">'[1]BACOLOD RENTAL RATES'!#REF!</definedName>
    <definedName name="VibRollS10t.T" localSheetId="7">'[1]BACOLOD RENTAL RATES'!#REF!</definedName>
    <definedName name="VibRollS10t.T" localSheetId="9">'[1]BACOLOD RENTAL RATES'!#REF!</definedName>
    <definedName name="VibRollT10t.T" localSheetId="4">'[1]BACOLOD RENTAL RATES'!#REF!</definedName>
    <definedName name="VibRollT10t.T" localSheetId="6">'[1]BACOLOD RENTAL RATES'!#REF!</definedName>
    <definedName name="VibRollT10t.T" localSheetId="8">'[1]BACOLOD RENTAL RATES'!#REF!</definedName>
    <definedName name="VibRollT10t.T" localSheetId="10">'[1]BACOLOD RENTAL RATES'!#REF!</definedName>
    <definedName name="VibRollT10t.T" localSheetId="5">'[1]BACOLOD RENTAL RATES'!#REF!</definedName>
    <definedName name="VibRollT10t.T" localSheetId="7">'[1]BACOLOD RENTAL RATES'!#REF!</definedName>
    <definedName name="VibRollT10t.T" localSheetId="9">'[1]BACOLOD RENTAL RATES'!#REF!</definedName>
    <definedName name="WeldMach1.T" localSheetId="4">'[1]BACOLOD RENTAL RATES'!#REF!</definedName>
    <definedName name="WeldMach1.T" localSheetId="6">'[1]BACOLOD RENTAL RATES'!#REF!</definedName>
    <definedName name="WeldMach1.T" localSheetId="8">'[1]BACOLOD RENTAL RATES'!#REF!</definedName>
    <definedName name="WeldMach1.T" localSheetId="10">'[1]BACOLOD RENTAL RATES'!#REF!</definedName>
    <definedName name="WeldMach1.T" localSheetId="5">'[1]BACOLOD RENTAL RATES'!#REF!</definedName>
    <definedName name="WeldMach1.T" localSheetId="7">'[1]BACOLOD RENTAL RATES'!#REF!</definedName>
    <definedName name="WeldMach1.T" localSheetId="9">'[1]BACOLOD RENTAL RATES'!#REF!</definedName>
    <definedName name="WeldMach2.T" localSheetId="4">'[1]BACOLOD RENTAL RATES'!#REF!</definedName>
    <definedName name="WeldMach2.T" localSheetId="6">'[1]BACOLOD RENTAL RATES'!#REF!</definedName>
    <definedName name="WeldMach2.T" localSheetId="8">'[1]BACOLOD RENTAL RATES'!#REF!</definedName>
    <definedName name="WeldMach2.T" localSheetId="10">'[1]BACOLOD RENTAL RATES'!#REF!</definedName>
    <definedName name="WeldMach2.T" localSheetId="5">'[1]BACOLOD RENTAL RATES'!#REF!</definedName>
    <definedName name="WeldMach2.T" localSheetId="7">'[1]BACOLOD RENTAL RATES'!#REF!</definedName>
    <definedName name="WeldMach2.T" localSheetId="9">'[1]BACOLOD RENTAL RATES'!#REF!</definedName>
    <definedName name="WtrTrck3000gal.T" localSheetId="4">'[1]BACOLOD RENTAL RATES'!#REF!</definedName>
    <definedName name="WtrTrck3000gal.T" localSheetId="6">'[1]BACOLOD RENTAL RATES'!#REF!</definedName>
    <definedName name="WtrTrck3000gal.T" localSheetId="8">'[1]BACOLOD RENTAL RATES'!#REF!</definedName>
    <definedName name="WtrTrck3000gal.T" localSheetId="10">'[1]BACOLOD RENTAL RATES'!#REF!</definedName>
    <definedName name="WtrTrck3000gal.T" localSheetId="5">'[1]BACOLOD RENTAL RATES'!#REF!</definedName>
    <definedName name="WtrTrck3000gal.T" localSheetId="7">'[1]BACOLOD RENTAL RATES'!#REF!</definedName>
    <definedName name="WtrTrck3000gal.T" localSheetId="9">'[1]BACOLOD RENTAL RATES'!#REF!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42" l="1"/>
  <c r="I25" i="42"/>
  <c r="D25" i="42"/>
  <c r="D26" i="42"/>
  <c r="D23" i="42" l="1"/>
  <c r="D14" i="42"/>
  <c r="D22" i="42" l="1"/>
  <c r="D20" i="42"/>
  <c r="D17" i="42" s="1"/>
  <c r="D19" i="42"/>
  <c r="D15" i="42"/>
  <c r="D13" i="42"/>
  <c r="D12" i="42"/>
  <c r="B9" i="42"/>
  <c r="D18" i="42" s="1"/>
  <c r="D27" i="42" s="1"/>
  <c r="I29" i="42" s="1"/>
  <c r="G2" i="36"/>
  <c r="D22" i="37"/>
  <c r="D23" i="37"/>
  <c r="I28" i="38"/>
  <c r="D22" i="38"/>
  <c r="I25" i="38" s="1"/>
  <c r="I30" i="38" s="1"/>
  <c r="D20" i="38"/>
  <c r="D17" i="38" s="1"/>
  <c r="D19" i="38"/>
  <c r="D15" i="38"/>
  <c r="D14" i="38"/>
  <c r="D13" i="38"/>
  <c r="D12" i="38"/>
  <c r="B9" i="38"/>
  <c r="D18" i="38" s="1"/>
  <c r="D22" i="33"/>
  <c r="I32" i="42" l="1"/>
  <c r="I24" i="42"/>
  <c r="D29" i="42" s="1"/>
  <c r="D21" i="42"/>
  <c r="D21" i="38"/>
  <c r="D26" i="38" s="1"/>
  <c r="I24" i="38"/>
  <c r="D24" i="38" s="1"/>
  <c r="D27" i="38"/>
  <c r="I32" i="38"/>
  <c r="I29" i="38"/>
  <c r="D29" i="38" s="1"/>
  <c r="D25" i="38"/>
  <c r="I25" i="37"/>
  <c r="D20" i="37"/>
  <c r="D17" i="37" s="1"/>
  <c r="D19" i="37"/>
  <c r="D15" i="37"/>
  <c r="D14" i="37"/>
  <c r="D13" i="37"/>
  <c r="D12" i="37"/>
  <c r="B9" i="37"/>
  <c r="D18" i="37" s="1"/>
  <c r="O64" i="36"/>
  <c r="J63" i="36"/>
  <c r="I70" i="36" s="1"/>
  <c r="I63" i="36"/>
  <c r="O62" i="36"/>
  <c r="K62" i="36"/>
  <c r="G62" i="36"/>
  <c r="E62" i="36"/>
  <c r="D62" i="36"/>
  <c r="Q62" i="36" s="1"/>
  <c r="B62" i="36"/>
  <c r="A62" i="36"/>
  <c r="P61" i="36"/>
  <c r="O61" i="36"/>
  <c r="K61" i="36"/>
  <c r="G61" i="36"/>
  <c r="E61" i="36"/>
  <c r="D61" i="36"/>
  <c r="Q61" i="36" s="1"/>
  <c r="B61" i="36"/>
  <c r="A61" i="36"/>
  <c r="P60" i="36"/>
  <c r="O60" i="36"/>
  <c r="K60" i="36"/>
  <c r="G60" i="36"/>
  <c r="E60" i="36"/>
  <c r="D60" i="36"/>
  <c r="Q60" i="36" s="1"/>
  <c r="R60" i="36" s="1"/>
  <c r="S60" i="36" s="1"/>
  <c r="B60" i="36"/>
  <c r="A60" i="36"/>
  <c r="P59" i="36"/>
  <c r="K59" i="36"/>
  <c r="G59" i="36"/>
  <c r="E59" i="36"/>
  <c r="D59" i="36"/>
  <c r="Q59" i="36" s="1"/>
  <c r="R59" i="36" s="1"/>
  <c r="S59" i="36" s="1"/>
  <c r="B59" i="36"/>
  <c r="A59" i="36"/>
  <c r="P58" i="36"/>
  <c r="O58" i="36"/>
  <c r="K58" i="36"/>
  <c r="G58" i="36"/>
  <c r="E58" i="36"/>
  <c r="D58" i="36"/>
  <c r="Q58" i="36" s="1"/>
  <c r="R58" i="36" s="1"/>
  <c r="S58" i="36" s="1"/>
  <c r="B58" i="36"/>
  <c r="A58" i="36"/>
  <c r="K57" i="36"/>
  <c r="G57" i="36"/>
  <c r="E57" i="36"/>
  <c r="D57" i="36"/>
  <c r="Q57" i="36" s="1"/>
  <c r="B57" i="36"/>
  <c r="A57" i="36"/>
  <c r="K56" i="36"/>
  <c r="L56" i="36" s="1"/>
  <c r="L63" i="36" s="1"/>
  <c r="I66" i="36" s="1"/>
  <c r="G56" i="36"/>
  <c r="F56" i="36"/>
  <c r="E56" i="36"/>
  <c r="D56" i="36"/>
  <c r="B56" i="36"/>
  <c r="A56" i="36"/>
  <c r="B51" i="36"/>
  <c r="B50" i="36"/>
  <c r="B47" i="36"/>
  <c r="I29" i="36"/>
  <c r="J29" i="36" s="1"/>
  <c r="G29" i="36"/>
  <c r="I28" i="36"/>
  <c r="J28" i="36" s="1"/>
  <c r="G28" i="36"/>
  <c r="I27" i="36"/>
  <c r="J27" i="36" s="1"/>
  <c r="G27" i="36"/>
  <c r="I26" i="36"/>
  <c r="J26" i="36" s="1"/>
  <c r="G26" i="36"/>
  <c r="I25" i="36"/>
  <c r="J25" i="36" s="1"/>
  <c r="G25" i="36"/>
  <c r="I24" i="36"/>
  <c r="J24" i="36" s="1"/>
  <c r="G24" i="36"/>
  <c r="I23" i="36"/>
  <c r="J23" i="36" s="1"/>
  <c r="G23" i="36"/>
  <c r="I22" i="36"/>
  <c r="J22" i="36" s="1"/>
  <c r="G22" i="36"/>
  <c r="I21" i="36"/>
  <c r="J21" i="36" s="1"/>
  <c r="G21" i="36"/>
  <c r="I20" i="36"/>
  <c r="J20" i="36" s="1"/>
  <c r="G20" i="36"/>
  <c r="I19" i="36"/>
  <c r="J19" i="36" s="1"/>
  <c r="G19" i="36"/>
  <c r="I18" i="36"/>
  <c r="G18" i="36"/>
  <c r="U17" i="36"/>
  <c r="T17" i="36"/>
  <c r="J18" i="36" s="1"/>
  <c r="N18" i="36" s="1"/>
  <c r="I17" i="36"/>
  <c r="G17" i="36"/>
  <c r="I16" i="36"/>
  <c r="J16" i="36" s="1"/>
  <c r="G16" i="36"/>
  <c r="G15" i="36"/>
  <c r="K15" i="36" s="1"/>
  <c r="U13" i="36"/>
  <c r="T13" i="36"/>
  <c r="J17" i="36" s="1"/>
  <c r="G13" i="36"/>
  <c r="K13" i="36" s="1"/>
  <c r="G12" i="36"/>
  <c r="K12" i="36" s="1"/>
  <c r="I11" i="36"/>
  <c r="J11" i="36" s="1"/>
  <c r="G11" i="36"/>
  <c r="U9" i="36"/>
  <c r="T9" i="36"/>
  <c r="J15" i="36" s="1"/>
  <c r="N15" i="36" s="1"/>
  <c r="N8" i="36"/>
  <c r="B5" i="36"/>
  <c r="B4" i="36"/>
  <c r="I16" i="34"/>
  <c r="J16" i="34" s="1"/>
  <c r="I17" i="34"/>
  <c r="I18" i="34"/>
  <c r="I19" i="34"/>
  <c r="J19" i="34" s="1"/>
  <c r="N19" i="34" s="1"/>
  <c r="I20" i="34"/>
  <c r="J20" i="34" s="1"/>
  <c r="I21" i="34"/>
  <c r="I22" i="34"/>
  <c r="J22" i="34" s="1"/>
  <c r="I23" i="34"/>
  <c r="J23" i="34" s="1"/>
  <c r="I24" i="34"/>
  <c r="J24" i="34" s="1"/>
  <c r="I25" i="34"/>
  <c r="J25" i="34" s="1"/>
  <c r="I26" i="34"/>
  <c r="J26" i="34" s="1"/>
  <c r="I27" i="34"/>
  <c r="J27" i="34" s="1"/>
  <c r="I28" i="34"/>
  <c r="J28" i="34" s="1"/>
  <c r="I29" i="34"/>
  <c r="J29" i="34" s="1"/>
  <c r="I11" i="34"/>
  <c r="J11" i="34" s="1"/>
  <c r="I28" i="35"/>
  <c r="D23" i="35"/>
  <c r="D22" i="35"/>
  <c r="I25" i="35" s="1"/>
  <c r="D20" i="35"/>
  <c r="D19" i="35"/>
  <c r="D17" i="35"/>
  <c r="D21" i="35" s="1"/>
  <c r="D15" i="35"/>
  <c r="D14" i="35"/>
  <c r="D13" i="35"/>
  <c r="D12" i="35"/>
  <c r="B9" i="35"/>
  <c r="D18" i="35" s="1"/>
  <c r="O64" i="34"/>
  <c r="J63" i="34"/>
  <c r="I70" i="34" s="1"/>
  <c r="I63" i="34"/>
  <c r="O62" i="34"/>
  <c r="K62" i="34"/>
  <c r="G62" i="34"/>
  <c r="E62" i="34"/>
  <c r="D62" i="34"/>
  <c r="Q62" i="34" s="1"/>
  <c r="B62" i="34"/>
  <c r="A62" i="34"/>
  <c r="P61" i="34"/>
  <c r="O61" i="34"/>
  <c r="K61" i="34"/>
  <c r="G61" i="34"/>
  <c r="E61" i="34"/>
  <c r="D61" i="34"/>
  <c r="Q61" i="34" s="1"/>
  <c r="B61" i="34"/>
  <c r="A61" i="34"/>
  <c r="P60" i="34"/>
  <c r="O60" i="34"/>
  <c r="K60" i="34"/>
  <c r="G60" i="34"/>
  <c r="E60" i="34"/>
  <c r="D60" i="34"/>
  <c r="Q60" i="34" s="1"/>
  <c r="B60" i="34"/>
  <c r="A60" i="34"/>
  <c r="P59" i="34"/>
  <c r="K59" i="34"/>
  <c r="G59" i="34"/>
  <c r="E59" i="34"/>
  <c r="D59" i="34"/>
  <c r="Q59" i="34" s="1"/>
  <c r="B59" i="34"/>
  <c r="A59" i="34"/>
  <c r="P58" i="34"/>
  <c r="O58" i="34"/>
  <c r="K58" i="34"/>
  <c r="G58" i="34"/>
  <c r="E58" i="34"/>
  <c r="D58" i="34"/>
  <c r="Q58" i="34" s="1"/>
  <c r="B58" i="34"/>
  <c r="A58" i="34"/>
  <c r="K57" i="34"/>
  <c r="G57" i="34"/>
  <c r="E57" i="34"/>
  <c r="D57" i="34"/>
  <c r="Q57" i="34" s="1"/>
  <c r="B57" i="34"/>
  <c r="A57" i="34"/>
  <c r="K56" i="34"/>
  <c r="L56" i="34" s="1"/>
  <c r="L63" i="34" s="1"/>
  <c r="I66" i="34" s="1"/>
  <c r="G56" i="34"/>
  <c r="F56" i="34"/>
  <c r="E56" i="34"/>
  <c r="D56" i="34"/>
  <c r="B56" i="34"/>
  <c r="A56" i="34"/>
  <c r="B51" i="34"/>
  <c r="B50" i="34"/>
  <c r="B47" i="34"/>
  <c r="G29" i="34"/>
  <c r="G28" i="34"/>
  <c r="G27" i="34"/>
  <c r="G26" i="34"/>
  <c r="G25" i="34"/>
  <c r="G24" i="34"/>
  <c r="G23" i="34"/>
  <c r="G22" i="34"/>
  <c r="J21" i="34"/>
  <c r="G21" i="34"/>
  <c r="G20" i="34"/>
  <c r="G19" i="34"/>
  <c r="G18" i="34"/>
  <c r="U17" i="34"/>
  <c r="T17" i="34"/>
  <c r="J18" i="34" s="1"/>
  <c r="N18" i="34" s="1"/>
  <c r="G17" i="34"/>
  <c r="G16" i="34"/>
  <c r="G15" i="34"/>
  <c r="K15" i="34" s="1"/>
  <c r="U13" i="34"/>
  <c r="T13" i="34"/>
  <c r="J17" i="34" s="1"/>
  <c r="G13" i="34"/>
  <c r="K13" i="34" s="1"/>
  <c r="G12" i="34"/>
  <c r="K12" i="34" s="1"/>
  <c r="G11" i="34"/>
  <c r="U9" i="34"/>
  <c r="T9" i="34"/>
  <c r="J15" i="34" s="1"/>
  <c r="N15" i="34" s="1"/>
  <c r="N8" i="34"/>
  <c r="B5" i="34"/>
  <c r="B4" i="34"/>
  <c r="G2" i="34"/>
  <c r="D24" i="42" l="1"/>
  <c r="Q56" i="34"/>
  <c r="R56" i="34" s="1"/>
  <c r="N24" i="36"/>
  <c r="N20" i="36"/>
  <c r="N11" i="34"/>
  <c r="N16" i="36"/>
  <c r="N29" i="34"/>
  <c r="K63" i="34"/>
  <c r="N22" i="36"/>
  <c r="G31" i="36"/>
  <c r="H17" i="36" s="1"/>
  <c r="N11" i="36"/>
  <c r="N28" i="36"/>
  <c r="H20" i="36"/>
  <c r="I68" i="36"/>
  <c r="N29" i="36"/>
  <c r="N17" i="36"/>
  <c r="I68" i="34"/>
  <c r="N22" i="34"/>
  <c r="N26" i="36"/>
  <c r="H19" i="36"/>
  <c r="N21" i="36"/>
  <c r="N17" i="34"/>
  <c r="N23" i="36"/>
  <c r="N25" i="36"/>
  <c r="N16" i="34"/>
  <c r="N27" i="36"/>
  <c r="N19" i="36"/>
  <c r="N20" i="34"/>
  <c r="Q56" i="36"/>
  <c r="R56" i="36" s="1"/>
  <c r="S56" i="36" s="1"/>
  <c r="G63" i="36"/>
  <c r="H57" i="36" s="1"/>
  <c r="G63" i="34"/>
  <c r="H61" i="34" s="1"/>
  <c r="D21" i="37"/>
  <c r="D26" i="37" s="1"/>
  <c r="D27" i="37"/>
  <c r="I24" i="37"/>
  <c r="D24" i="37" s="1"/>
  <c r="I32" i="37"/>
  <c r="R57" i="36"/>
  <c r="S57" i="36"/>
  <c r="H26" i="34"/>
  <c r="L15" i="36"/>
  <c r="R62" i="36"/>
  <c r="S62" i="36" s="1"/>
  <c r="I30" i="35"/>
  <c r="D26" i="35"/>
  <c r="H22" i="34"/>
  <c r="H20" i="34"/>
  <c r="H23" i="34"/>
  <c r="K31" i="34"/>
  <c r="H29" i="34"/>
  <c r="L15" i="34"/>
  <c r="H16" i="34"/>
  <c r="H24" i="34"/>
  <c r="L13" i="36"/>
  <c r="H23" i="36"/>
  <c r="H29" i="36"/>
  <c r="R58" i="34"/>
  <c r="S58" i="34" s="1"/>
  <c r="H28" i="34"/>
  <c r="L28" i="36"/>
  <c r="I35" i="36"/>
  <c r="H18" i="36"/>
  <c r="H24" i="36"/>
  <c r="L11" i="36"/>
  <c r="L21" i="36"/>
  <c r="L17" i="36"/>
  <c r="L26" i="36"/>
  <c r="L24" i="36"/>
  <c r="L18" i="36"/>
  <c r="H12" i="36"/>
  <c r="L22" i="36"/>
  <c r="L20" i="36"/>
  <c r="H22" i="36"/>
  <c r="H28" i="36"/>
  <c r="H17" i="34"/>
  <c r="H25" i="34"/>
  <c r="G31" i="34"/>
  <c r="H12" i="34" s="1"/>
  <c r="K63" i="36"/>
  <c r="N27" i="34"/>
  <c r="H15" i="34"/>
  <c r="R57" i="34"/>
  <c r="S57" i="34" s="1"/>
  <c r="R59" i="34"/>
  <c r="S59" i="34" s="1"/>
  <c r="H11" i="36"/>
  <c r="H13" i="36"/>
  <c r="N25" i="34"/>
  <c r="R60" i="34"/>
  <c r="S60" i="34" s="1"/>
  <c r="N28" i="34"/>
  <c r="R61" i="34"/>
  <c r="S61" i="34" s="1"/>
  <c r="R62" i="34"/>
  <c r="S62" i="34" s="1"/>
  <c r="N21" i="34"/>
  <c r="N26" i="34"/>
  <c r="D27" i="35"/>
  <c r="I32" i="35" s="1"/>
  <c r="I24" i="35"/>
  <c r="N24" i="34"/>
  <c r="H13" i="34"/>
  <c r="N23" i="34"/>
  <c r="R61" i="36"/>
  <c r="K31" i="36"/>
  <c r="Q63" i="34" l="1"/>
  <c r="Q64" i="34" s="1"/>
  <c r="Q65" i="34" s="1"/>
  <c r="D25" i="37"/>
  <c r="I30" i="37" s="1"/>
  <c r="M17" i="36"/>
  <c r="L19" i="36"/>
  <c r="M19" i="36" s="1"/>
  <c r="L23" i="36"/>
  <c r="M23" i="36" s="1"/>
  <c r="Q63" i="36"/>
  <c r="Q64" i="36" s="1"/>
  <c r="Q65" i="36" s="1"/>
  <c r="H21" i="36"/>
  <c r="M21" i="36" s="1"/>
  <c r="M28" i="36"/>
  <c r="M18" i="36"/>
  <c r="H25" i="36"/>
  <c r="H15" i="36"/>
  <c r="M15" i="36" s="1"/>
  <c r="L12" i="36"/>
  <c r="M12" i="36" s="1"/>
  <c r="L25" i="36"/>
  <c r="M25" i="36" s="1"/>
  <c r="L27" i="36"/>
  <c r="H27" i="36"/>
  <c r="H26" i="36"/>
  <c r="M26" i="36" s="1"/>
  <c r="M20" i="36"/>
  <c r="M24" i="36"/>
  <c r="M11" i="36"/>
  <c r="L29" i="36"/>
  <c r="M29" i="36" s="1"/>
  <c r="H16" i="36"/>
  <c r="L16" i="36"/>
  <c r="M16" i="36" s="1"/>
  <c r="L61" i="36"/>
  <c r="H60" i="34"/>
  <c r="H62" i="36"/>
  <c r="H56" i="36"/>
  <c r="I67" i="36"/>
  <c r="H60" i="36"/>
  <c r="H58" i="36"/>
  <c r="L60" i="36"/>
  <c r="L58" i="36"/>
  <c r="H62" i="34"/>
  <c r="L62" i="34"/>
  <c r="L59" i="36"/>
  <c r="L57" i="36"/>
  <c r="L58" i="34"/>
  <c r="H59" i="34"/>
  <c r="L62" i="36"/>
  <c r="H61" i="36"/>
  <c r="L57" i="34"/>
  <c r="I67" i="34"/>
  <c r="L59" i="34"/>
  <c r="H59" i="36"/>
  <c r="H56" i="34"/>
  <c r="L61" i="34"/>
  <c r="L60" i="34"/>
  <c r="H57" i="34"/>
  <c r="R63" i="36"/>
  <c r="H58" i="34"/>
  <c r="I29" i="37"/>
  <c r="D29" i="37" s="1"/>
  <c r="H19" i="34"/>
  <c r="M15" i="34"/>
  <c r="R63" i="34"/>
  <c r="M22" i="36"/>
  <c r="L13" i="34"/>
  <c r="M13" i="34" s="1"/>
  <c r="S56" i="34"/>
  <c r="S63" i="34" s="1"/>
  <c r="M27" i="36"/>
  <c r="H21" i="34"/>
  <c r="L12" i="34"/>
  <c r="H27" i="34"/>
  <c r="I29" i="35"/>
  <c r="D29" i="35" s="1"/>
  <c r="L29" i="34"/>
  <c r="M29" i="34" s="1"/>
  <c r="L26" i="34"/>
  <c r="M26" i="34" s="1"/>
  <c r="L23" i="34"/>
  <c r="M23" i="34" s="1"/>
  <c r="L20" i="34"/>
  <c r="M20" i="34" s="1"/>
  <c r="L28" i="34"/>
  <c r="M28" i="34" s="1"/>
  <c r="L18" i="34"/>
  <c r="H11" i="34"/>
  <c r="L25" i="34"/>
  <c r="M25" i="34" s="1"/>
  <c r="L22" i="34"/>
  <c r="M22" i="34" s="1"/>
  <c r="L19" i="34"/>
  <c r="M19" i="34" s="1"/>
  <c r="L17" i="34"/>
  <c r="M17" i="34" s="1"/>
  <c r="I35" i="34"/>
  <c r="L27" i="34"/>
  <c r="M27" i="34" s="1"/>
  <c r="L24" i="34"/>
  <c r="M24" i="34" s="1"/>
  <c r="L21" i="34"/>
  <c r="M21" i="34" s="1"/>
  <c r="L11" i="34"/>
  <c r="L16" i="34"/>
  <c r="M16" i="34" s="1"/>
  <c r="D25" i="35"/>
  <c r="D24" i="35"/>
  <c r="M13" i="36"/>
  <c r="H18" i="34"/>
  <c r="S61" i="36"/>
  <c r="S63" i="36" s="1"/>
  <c r="M18" i="34" l="1"/>
  <c r="H31" i="36"/>
  <c r="L31" i="36"/>
  <c r="M11" i="34"/>
  <c r="H63" i="36"/>
  <c r="H63" i="34"/>
  <c r="L31" i="34"/>
  <c r="I34" i="34" s="1"/>
  <c r="M12" i="34"/>
  <c r="H31" i="34"/>
  <c r="I34" i="36" l="1"/>
  <c r="I28" i="37"/>
  <c r="D15" i="33"/>
  <c r="D14" i="33"/>
  <c r="D12" i="33"/>
  <c r="I28" i="33" l="1"/>
  <c r="I25" i="33"/>
  <c r="D20" i="33"/>
  <c r="D17" i="33" s="1"/>
  <c r="D19" i="33"/>
  <c r="D13" i="33"/>
  <c r="B9" i="33"/>
  <c r="D18" i="33" s="1"/>
  <c r="D27" i="33" s="1"/>
  <c r="D21" i="33" l="1"/>
  <c r="D26" i="33" s="1"/>
  <c r="I24" i="33"/>
  <c r="D24" i="33" s="1"/>
  <c r="I13" i="34"/>
  <c r="J13" i="34" s="1"/>
  <c r="N13" i="34" s="1"/>
  <c r="I13" i="36"/>
  <c r="J13" i="36" s="1"/>
  <c r="N13" i="36" s="1"/>
  <c r="I29" i="33"/>
  <c r="D29" i="33" s="1"/>
  <c r="D25" i="33" l="1"/>
  <c r="I30" i="33" s="1"/>
  <c r="I15" i="34"/>
  <c r="I15" i="36"/>
  <c r="I12" i="34"/>
  <c r="J12" i="34" s="1"/>
  <c r="I12" i="36"/>
  <c r="J12" i="36" s="1"/>
  <c r="I32" i="33"/>
  <c r="J31" i="36" l="1"/>
  <c r="N12" i="36"/>
  <c r="J31" i="34"/>
  <c r="N12" i="34"/>
  <c r="I28" i="42" l="1"/>
  <c r="D28" i="38"/>
  <c r="D30" i="38" s="1"/>
  <c r="D28" i="33"/>
  <c r="D30" i="33" s="1"/>
  <c r="D28" i="37"/>
  <c r="D30" i="37" s="1"/>
  <c r="D28" i="35"/>
  <c r="D30" i="35" s="1"/>
  <c r="I38" i="34"/>
  <c r="I36" i="34"/>
  <c r="I36" i="36"/>
  <c r="I38" i="36"/>
  <c r="I35" i="18"/>
  <c r="I13" i="24"/>
  <c r="D13" i="24" s="1"/>
  <c r="I12" i="24"/>
  <c r="D12" i="24" s="1"/>
  <c r="D29" i="24"/>
  <c r="D23" i="24"/>
  <c r="D22" i="24" s="1"/>
  <c r="I24" i="24" s="1"/>
  <c r="D20" i="24"/>
  <c r="D17" i="24" s="1"/>
  <c r="D19" i="24"/>
  <c r="D15" i="24"/>
  <c r="B9" i="24"/>
  <c r="D18" i="24" s="1"/>
  <c r="D21" i="24" l="1"/>
  <c r="D27" i="24"/>
  <c r="I29" i="24" s="1"/>
  <c r="I25" i="24"/>
  <c r="I32" i="24" l="1"/>
  <c r="D24" i="24"/>
  <c r="D26" i="24" s="1"/>
  <c r="D25" i="24"/>
  <c r="I30" i="24" s="1"/>
  <c r="K22" i="18" l="1"/>
  <c r="J22" i="18" s="1"/>
  <c r="K32" i="18"/>
  <c r="J32" i="18" s="1"/>
  <c r="K13" i="18"/>
  <c r="J13" i="18" s="1"/>
  <c r="B9" i="23"/>
  <c r="D16" i="23" s="1"/>
  <c r="J47" i="23"/>
  <c r="J49" i="23" s="1"/>
  <c r="K33" i="23"/>
  <c r="M30" i="23"/>
  <c r="J29" i="23"/>
  <c r="L21" i="23"/>
  <c r="D20" i="23"/>
  <c r="D22" i="23" s="1"/>
  <c r="D15" i="23"/>
  <c r="K31" i="23" s="1"/>
  <c r="D10" i="23"/>
  <c r="D19" i="23" l="1"/>
  <c r="D23" i="23" s="1"/>
  <c r="D24" i="23"/>
  <c r="I14" i="23" s="1"/>
  <c r="J12" i="23"/>
  <c r="J18" i="23"/>
  <c r="L18" i="23" s="1"/>
  <c r="L20" i="23" s="1"/>
  <c r="M22" i="23" l="1"/>
  <c r="I15" i="23"/>
  <c r="J26" i="23"/>
  <c r="D20" i="8"/>
  <c r="D22" i="8"/>
  <c r="I14" i="24" l="1"/>
  <c r="D14" i="24" s="1"/>
  <c r="N24" i="18"/>
  <c r="O35" i="18"/>
  <c r="N35" i="18" s="1"/>
  <c r="K35" i="18" s="1"/>
  <c r="J35" i="18" s="1"/>
  <c r="Q34" i="18" l="1"/>
  <c r="N34" i="18" s="1"/>
  <c r="K34" i="18" s="1"/>
  <c r="J34" i="18" s="1"/>
  <c r="O30" i="18" l="1"/>
  <c r="O24" i="18" l="1"/>
  <c r="N31" i="18"/>
  <c r="K31" i="18" s="1"/>
  <c r="J31" i="18" s="1"/>
  <c r="N30" i="18" l="1"/>
  <c r="K30" i="18" s="1"/>
  <c r="J30" i="18" s="1"/>
  <c r="N22" i="18"/>
  <c r="N19" i="18" l="1"/>
  <c r="N20" i="18"/>
  <c r="K38" i="18"/>
  <c r="K37" i="18"/>
  <c r="K41" i="18"/>
  <c r="K40" i="18"/>
  <c r="N14" i="18"/>
  <c r="N11" i="18"/>
  <c r="D10" i="8" l="1"/>
  <c r="G28" i="18" l="1"/>
  <c r="G15" i="18"/>
  <c r="K15" i="18" s="1"/>
  <c r="J15" i="18" s="1"/>
  <c r="G14" i="18"/>
  <c r="K14" i="18" s="1"/>
  <c r="J14" i="18" s="1"/>
  <c r="G38" i="18"/>
  <c r="G37" i="18"/>
  <c r="G35" i="18"/>
  <c r="G30" i="18"/>
  <c r="G27" i="18"/>
  <c r="N27" i="18" s="1"/>
  <c r="E27" i="18"/>
  <c r="G11" i="18"/>
  <c r="K11" i="18" s="1"/>
  <c r="J11" i="18" l="1"/>
  <c r="K28" i="18"/>
  <c r="J28" i="18" s="1"/>
  <c r="N28" i="18"/>
  <c r="G19" i="18"/>
  <c r="K19" i="18" s="1"/>
  <c r="J19" i="18" s="1"/>
  <c r="G20" i="18"/>
  <c r="K20" i="18" s="1"/>
  <c r="J20" i="18" s="1"/>
  <c r="G31" i="18"/>
  <c r="G18" i="18"/>
  <c r="K18" i="18" s="1"/>
  <c r="J18" i="18" s="1"/>
  <c r="G13" i="18"/>
  <c r="G41" i="18"/>
  <c r="G42" i="21" l="1"/>
  <c r="G41" i="21"/>
  <c r="O30" i="21"/>
  <c r="N30" i="21"/>
  <c r="P30" i="21" s="1"/>
  <c r="F27" i="21"/>
  <c r="D27" i="21"/>
  <c r="F26" i="21"/>
  <c r="D26" i="21"/>
  <c r="Q21" i="21"/>
  <c r="J21" i="21"/>
  <c r="Q20" i="21"/>
  <c r="F20" i="21"/>
  <c r="D20" i="21"/>
  <c r="J19" i="21"/>
  <c r="D18" i="21"/>
  <c r="F17" i="21"/>
  <c r="F18" i="21" s="1"/>
  <c r="D17" i="21"/>
  <c r="F16" i="21"/>
  <c r="D16" i="21"/>
  <c r="F11" i="21"/>
  <c r="E11" i="21"/>
  <c r="F10" i="21"/>
  <c r="E10" i="21"/>
  <c r="F9" i="21"/>
  <c r="E9" i="21"/>
  <c r="F8" i="21"/>
  <c r="E8" i="21"/>
  <c r="C1" i="21"/>
  <c r="G9" i="21" l="1"/>
  <c r="Q22" i="21"/>
  <c r="G8" i="21"/>
  <c r="G10" i="21"/>
  <c r="G11" i="21"/>
  <c r="P29" i="21"/>
  <c r="P27" i="21"/>
  <c r="E16" i="21"/>
  <c r="G16" i="21" s="1"/>
  <c r="P32" i="21"/>
  <c r="E20" i="21" s="1"/>
  <c r="J20" i="21" s="1"/>
  <c r="P28" i="21"/>
  <c r="P31" i="21"/>
  <c r="E18" i="21" s="1"/>
  <c r="G18" i="21" s="1"/>
  <c r="J16" i="21"/>
  <c r="J18" i="21"/>
  <c r="G12" i="21" l="1"/>
  <c r="G20" i="21"/>
  <c r="G21" i="21" s="1"/>
  <c r="E27" i="21"/>
  <c r="G27" i="21" s="1"/>
  <c r="E26" i="21"/>
  <c r="G26" i="21" s="1"/>
  <c r="E17" i="21"/>
  <c r="P33" i="21"/>
  <c r="J17" i="21" l="1"/>
  <c r="J22" i="21" s="1"/>
  <c r="G17" i="21"/>
  <c r="G19" i="21" s="1"/>
  <c r="G22" i="21" s="1"/>
  <c r="F28" i="21" l="1"/>
  <c r="G28" i="21" s="1"/>
  <c r="G29" i="21" s="1"/>
  <c r="G31" i="21" s="1"/>
  <c r="G34" i="21" l="1"/>
  <c r="G35" i="21"/>
  <c r="G36" i="21" l="1"/>
  <c r="G38" i="21" s="1"/>
  <c r="G40" i="21" s="1"/>
  <c r="G43" i="21" s="1"/>
  <c r="G44" i="21" s="1"/>
  <c r="G11" i="10" l="1"/>
  <c r="G12" i="10"/>
  <c r="G13" i="10"/>
  <c r="G14" i="10"/>
  <c r="G15" i="10"/>
  <c r="G16" i="10"/>
  <c r="G17" i="10"/>
  <c r="G18" i="10"/>
  <c r="G19" i="10"/>
  <c r="G20" i="10"/>
  <c r="G10" i="10"/>
  <c r="E24" i="18" l="1"/>
  <c r="Q33" i="18"/>
  <c r="B24" i="18"/>
  <c r="A24" i="18"/>
  <c r="B5" i="18"/>
  <c r="O76" i="18"/>
  <c r="J75" i="18"/>
  <c r="I82" i="18" s="1"/>
  <c r="I75" i="18"/>
  <c r="O74" i="18"/>
  <c r="K74" i="18"/>
  <c r="G74" i="18"/>
  <c r="E74" i="18"/>
  <c r="D74" i="18"/>
  <c r="Q74" i="18" s="1"/>
  <c r="B74" i="18"/>
  <c r="A74" i="18"/>
  <c r="K73" i="18"/>
  <c r="P73" i="18"/>
  <c r="G73" i="18"/>
  <c r="E73" i="18"/>
  <c r="D73" i="18"/>
  <c r="Q73" i="18" s="1"/>
  <c r="B73" i="18"/>
  <c r="A73" i="18"/>
  <c r="K72" i="18"/>
  <c r="G72" i="18"/>
  <c r="E72" i="18"/>
  <c r="D72" i="18"/>
  <c r="Q72" i="18" s="1"/>
  <c r="B72" i="18"/>
  <c r="A72" i="18"/>
  <c r="K71" i="18"/>
  <c r="P71" i="18"/>
  <c r="G71" i="18"/>
  <c r="E71" i="18"/>
  <c r="D71" i="18"/>
  <c r="Q71" i="18" s="1"/>
  <c r="B71" i="18"/>
  <c r="A71" i="18"/>
  <c r="K70" i="18"/>
  <c r="P70" i="18"/>
  <c r="G70" i="18"/>
  <c r="E70" i="18"/>
  <c r="D70" i="18"/>
  <c r="Q70" i="18" s="1"/>
  <c r="B70" i="18"/>
  <c r="A70" i="18"/>
  <c r="K69" i="18"/>
  <c r="G69" i="18"/>
  <c r="E69" i="18"/>
  <c r="D69" i="18"/>
  <c r="Q69" i="18" s="1"/>
  <c r="B69" i="18"/>
  <c r="A69" i="18"/>
  <c r="K68" i="18"/>
  <c r="G68" i="18"/>
  <c r="F68" i="18"/>
  <c r="E68" i="18"/>
  <c r="D68" i="18"/>
  <c r="B68" i="18"/>
  <c r="A68" i="18"/>
  <c r="B63" i="18"/>
  <c r="B62" i="18"/>
  <c r="B59" i="18"/>
  <c r="T43" i="18"/>
  <c r="P9" i="18"/>
  <c r="Q24" i="18" l="1"/>
  <c r="R24" i="18" s="1"/>
  <c r="S24" i="18" s="1"/>
  <c r="Q22" i="18"/>
  <c r="R22" i="18" s="1"/>
  <c r="O70" i="18"/>
  <c r="G40" i="18"/>
  <c r="G32" i="18"/>
  <c r="N32" i="18" s="1"/>
  <c r="Q23" i="18"/>
  <c r="Q25" i="18"/>
  <c r="R25" i="18" s="1"/>
  <c r="S25" i="18" s="1"/>
  <c r="Q32" i="18"/>
  <c r="R32" i="18" s="1"/>
  <c r="S32" i="18" s="1"/>
  <c r="R34" i="18"/>
  <c r="S34" i="18" s="1"/>
  <c r="O73" i="18"/>
  <c r="Q40" i="18"/>
  <c r="R40" i="18" s="1"/>
  <c r="S40" i="18" s="1"/>
  <c r="G34" i="18"/>
  <c r="G22" i="18"/>
  <c r="G24" i="18"/>
  <c r="Q68" i="18"/>
  <c r="R68" i="18" s="1"/>
  <c r="S68" i="18" s="1"/>
  <c r="P72" i="18"/>
  <c r="O72" i="18"/>
  <c r="G75" i="18"/>
  <c r="L70" i="18" s="1"/>
  <c r="Q39" i="18"/>
  <c r="R39" i="18" s="1"/>
  <c r="S39" i="18" s="1"/>
  <c r="Q26" i="18"/>
  <c r="R26" i="18" s="1"/>
  <c r="S26" i="18" s="1"/>
  <c r="R74" i="18"/>
  <c r="S74" i="18" s="1"/>
  <c r="R69" i="18"/>
  <c r="S69" i="18" s="1"/>
  <c r="R70" i="18"/>
  <c r="S70" i="18" s="1"/>
  <c r="K75" i="18"/>
  <c r="R33" i="18"/>
  <c r="S33" i="18" s="1"/>
  <c r="R71" i="18"/>
  <c r="S71" i="18" s="1"/>
  <c r="R72" i="18"/>
  <c r="S72" i="18" s="1"/>
  <c r="R73" i="18"/>
  <c r="S73" i="18" s="1"/>
  <c r="I80" i="18"/>
  <c r="G43" i="18" l="1"/>
  <c r="Q75" i="18"/>
  <c r="Q76" i="18" s="1"/>
  <c r="Q77" i="18" s="1"/>
  <c r="Q43" i="18"/>
  <c r="Q44" i="18" s="1"/>
  <c r="Q45" i="18" s="1"/>
  <c r="L69" i="18"/>
  <c r="H68" i="18"/>
  <c r="H73" i="18"/>
  <c r="H74" i="18"/>
  <c r="L74" i="18"/>
  <c r="L72" i="18"/>
  <c r="L71" i="18"/>
  <c r="H71" i="18"/>
  <c r="R23" i="18"/>
  <c r="S23" i="18" s="1"/>
  <c r="H70" i="18"/>
  <c r="L73" i="18"/>
  <c r="H72" i="18"/>
  <c r="I79" i="18"/>
  <c r="L68" i="18"/>
  <c r="H69" i="18"/>
  <c r="R75" i="18"/>
  <c r="S75" i="18"/>
  <c r="S22" i="18"/>
  <c r="H38" i="18" l="1"/>
  <c r="D13" i="23"/>
  <c r="L11" i="18"/>
  <c r="L38" i="18"/>
  <c r="L27" i="18"/>
  <c r="L41" i="18"/>
  <c r="L35" i="18"/>
  <c r="L30" i="18"/>
  <c r="L34" i="18"/>
  <c r="D13" i="8"/>
  <c r="I47" i="18"/>
  <c r="L37" i="18"/>
  <c r="L31" i="18"/>
  <c r="L40" i="18"/>
  <c r="L28" i="18"/>
  <c r="L22" i="18"/>
  <c r="L19" i="18"/>
  <c r="L20" i="18"/>
  <c r="L14" i="18"/>
  <c r="L15" i="18"/>
  <c r="L18" i="18"/>
  <c r="L13" i="18"/>
  <c r="H35" i="18"/>
  <c r="H37" i="18"/>
  <c r="H30" i="18"/>
  <c r="H31" i="18"/>
  <c r="H28" i="18"/>
  <c r="H27" i="18"/>
  <c r="H14" i="18"/>
  <c r="H19" i="18"/>
  <c r="H11" i="18"/>
  <c r="M11" i="18" s="1"/>
  <c r="H20" i="18"/>
  <c r="H18" i="18"/>
  <c r="H15" i="18"/>
  <c r="H13" i="18"/>
  <c r="S43" i="18"/>
  <c r="R43" i="18"/>
  <c r="H40" i="18"/>
  <c r="H32" i="18"/>
  <c r="H24" i="18"/>
  <c r="H41" i="18"/>
  <c r="H22" i="18"/>
  <c r="H34" i="18"/>
  <c r="H75" i="18"/>
  <c r="L75" i="18"/>
  <c r="I78" i="18" s="1"/>
  <c r="Q46" i="18"/>
  <c r="M34" i="18" l="1"/>
  <c r="M30" i="18"/>
  <c r="M14" i="18"/>
  <c r="M18" i="18"/>
  <c r="M35" i="18"/>
  <c r="M20" i="18"/>
  <c r="M19" i="18"/>
  <c r="M15" i="18"/>
  <c r="M22" i="18"/>
  <c r="M28" i="18"/>
  <c r="M31" i="18"/>
  <c r="M13" i="18"/>
  <c r="H43" i="18"/>
  <c r="P19" i="10"/>
  <c r="Q19" i="10" s="1"/>
  <c r="R19" i="10" s="1"/>
  <c r="J19" i="10"/>
  <c r="K19" i="10" s="1"/>
  <c r="P18" i="10"/>
  <c r="Q18" i="10" s="1"/>
  <c r="R18" i="10" s="1"/>
  <c r="J18" i="10"/>
  <c r="K18" i="10" s="1"/>
  <c r="P17" i="10"/>
  <c r="Q17" i="10" s="1"/>
  <c r="R17" i="10" s="1"/>
  <c r="P11" i="10"/>
  <c r="Q11" i="10" s="1"/>
  <c r="R11" i="10" s="1"/>
  <c r="P12" i="10"/>
  <c r="Q12" i="10" s="1"/>
  <c r="R12" i="10" s="1"/>
  <c r="P13" i="10"/>
  <c r="Q13" i="10" s="1"/>
  <c r="R13" i="10" s="1"/>
  <c r="P14" i="10"/>
  <c r="Q14" i="10" s="1"/>
  <c r="R14" i="10" s="1"/>
  <c r="P15" i="10"/>
  <c r="Q15" i="10" s="1"/>
  <c r="R15" i="10" s="1"/>
  <c r="P16" i="10"/>
  <c r="Q16" i="10" s="1"/>
  <c r="R16" i="10" s="1"/>
  <c r="P10" i="10"/>
  <c r="Q10" i="10" s="1"/>
  <c r="R10" i="10" s="1"/>
  <c r="O20" i="10"/>
  <c r="J17" i="10" l="1"/>
  <c r="K17" i="10" s="1"/>
  <c r="M17" i="10" s="1"/>
  <c r="J20" i="10"/>
  <c r="K20" i="10" s="1"/>
  <c r="M20" i="10" s="1"/>
  <c r="M18" i="10"/>
  <c r="M19" i="10"/>
  <c r="R20" i="10"/>
  <c r="P20" i="10"/>
  <c r="J13" i="10" l="1"/>
  <c r="J12" i="10"/>
  <c r="J10" i="10" l="1"/>
  <c r="J14" i="10"/>
  <c r="J11" i="10"/>
  <c r="J16" i="10"/>
  <c r="J15" i="10"/>
  <c r="K16" i="10" l="1"/>
  <c r="M16" i="10" l="1"/>
  <c r="K15" i="10"/>
  <c r="M15" i="10" l="1"/>
  <c r="A49" i="10" l="1"/>
  <c r="S80" i="10" l="1"/>
  <c r="N68" i="10"/>
  <c r="M75" i="10" s="1"/>
  <c r="M68" i="10"/>
  <c r="S78" i="10"/>
  <c r="O67" i="10"/>
  <c r="K67" i="10"/>
  <c r="I67" i="10"/>
  <c r="G67" i="10"/>
  <c r="E67" i="10"/>
  <c r="D67" i="10"/>
  <c r="U78" i="10" s="1"/>
  <c r="B67" i="10"/>
  <c r="A67" i="10"/>
  <c r="O66" i="10"/>
  <c r="K66" i="10"/>
  <c r="I66" i="10"/>
  <c r="T77" i="10" s="1"/>
  <c r="G66" i="10"/>
  <c r="E66" i="10"/>
  <c r="D66" i="10"/>
  <c r="U77" i="10" s="1"/>
  <c r="B66" i="10"/>
  <c r="A66" i="10"/>
  <c r="O65" i="10"/>
  <c r="K65" i="10"/>
  <c r="I65" i="10"/>
  <c r="T76" i="10" s="1"/>
  <c r="G65" i="10"/>
  <c r="E65" i="10"/>
  <c r="D65" i="10"/>
  <c r="U76" i="10" s="1"/>
  <c r="B65" i="10"/>
  <c r="A65" i="10"/>
  <c r="O64" i="10"/>
  <c r="K64" i="10"/>
  <c r="I64" i="10"/>
  <c r="T75" i="10" s="1"/>
  <c r="G64" i="10"/>
  <c r="E64" i="10"/>
  <c r="D64" i="10"/>
  <c r="U75" i="10" s="1"/>
  <c r="B64" i="10"/>
  <c r="A64" i="10"/>
  <c r="O63" i="10"/>
  <c r="K63" i="10"/>
  <c r="I63" i="10"/>
  <c r="T74" i="10" s="1"/>
  <c r="G63" i="10"/>
  <c r="E63" i="10"/>
  <c r="D63" i="10"/>
  <c r="U74" i="10" s="1"/>
  <c r="B63" i="10"/>
  <c r="A63" i="10"/>
  <c r="O62" i="10"/>
  <c r="K62" i="10"/>
  <c r="I62" i="10"/>
  <c r="G62" i="10"/>
  <c r="E62" i="10"/>
  <c r="D62" i="10"/>
  <c r="U73" i="10" s="1"/>
  <c r="B62" i="10"/>
  <c r="A62" i="10"/>
  <c r="O61" i="10"/>
  <c r="K61" i="10"/>
  <c r="I61" i="10"/>
  <c r="G61" i="10"/>
  <c r="F61" i="10"/>
  <c r="E61" i="10"/>
  <c r="D61" i="10"/>
  <c r="B61" i="10"/>
  <c r="A61" i="10"/>
  <c r="B56" i="10"/>
  <c r="B55" i="10"/>
  <c r="B52" i="10"/>
  <c r="J50" i="10"/>
  <c r="J49" i="10"/>
  <c r="I30" i="10"/>
  <c r="K14" i="10"/>
  <c r="K13" i="10"/>
  <c r="K11" i="10"/>
  <c r="G68" i="10" l="1"/>
  <c r="H63" i="10" s="1"/>
  <c r="L67" i="10"/>
  <c r="M14" i="10"/>
  <c r="M11" i="10"/>
  <c r="M13" i="10"/>
  <c r="L66" i="10"/>
  <c r="L62" i="10"/>
  <c r="U72" i="10"/>
  <c r="U79" i="10" s="1"/>
  <c r="L64" i="10"/>
  <c r="S74" i="10"/>
  <c r="L65" i="10"/>
  <c r="K12" i="10"/>
  <c r="S76" i="10"/>
  <c r="S77" i="10"/>
  <c r="K10" i="10"/>
  <c r="L61" i="10"/>
  <c r="L63" i="10"/>
  <c r="V73" i="10"/>
  <c r="W73" i="10" s="1"/>
  <c r="V74" i="10"/>
  <c r="W74" i="10" s="1"/>
  <c r="O68" i="10"/>
  <c r="V78" i="10"/>
  <c r="W78" i="10" s="1"/>
  <c r="V75" i="10"/>
  <c r="W75" i="10" s="1"/>
  <c r="V76" i="10"/>
  <c r="W76" i="10" s="1"/>
  <c r="V77" i="10"/>
  <c r="W77" i="10" s="1"/>
  <c r="M73" i="10"/>
  <c r="M72" i="10" l="1"/>
  <c r="H61" i="10"/>
  <c r="P63" i="10"/>
  <c r="P64" i="10"/>
  <c r="P62" i="10"/>
  <c r="P67" i="10"/>
  <c r="H64" i="10"/>
  <c r="P65" i="10"/>
  <c r="H65" i="10"/>
  <c r="H62" i="10"/>
  <c r="H67" i="10"/>
  <c r="P66" i="10"/>
  <c r="H66" i="10"/>
  <c r="M12" i="10"/>
  <c r="M10" i="10"/>
  <c r="V72" i="10"/>
  <c r="W72" i="10" s="1"/>
  <c r="W79" i="10" s="1"/>
  <c r="L68" i="10"/>
  <c r="P61" i="10" s="1"/>
  <c r="U80" i="10"/>
  <c r="U81" i="10" s="1"/>
  <c r="H68" i="10" l="1"/>
  <c r="P68" i="10"/>
  <c r="M71" i="10" s="1"/>
  <c r="V79" i="10"/>
  <c r="G30" i="10" l="1"/>
  <c r="H20" i="10" l="1"/>
  <c r="L20" i="10"/>
  <c r="H18" i="10"/>
  <c r="H19" i="10"/>
  <c r="L17" i="10"/>
  <c r="H17" i="10"/>
  <c r="L18" i="10"/>
  <c r="L19" i="10"/>
  <c r="L11" i="10"/>
  <c r="L15" i="10"/>
  <c r="H11" i="10"/>
  <c r="H15" i="10"/>
  <c r="J34" i="10"/>
  <c r="L12" i="10"/>
  <c r="L16" i="10"/>
  <c r="H12" i="10"/>
  <c r="L13" i="10"/>
  <c r="H13" i="10"/>
  <c r="L14" i="10"/>
  <c r="H14" i="10"/>
  <c r="H16" i="10"/>
  <c r="H10" i="10"/>
  <c r="L10" i="10"/>
  <c r="H30" i="10" l="1"/>
  <c r="J47" i="8"/>
  <c r="J49" i="8" s="1"/>
  <c r="K33" i="8"/>
  <c r="M30" i="8"/>
  <c r="J29" i="8"/>
  <c r="L21" i="8"/>
  <c r="D15" i="8"/>
  <c r="D16" i="8"/>
  <c r="J12" i="8" l="1"/>
  <c r="D24" i="8"/>
  <c r="D19" i="8"/>
  <c r="D23" i="8" s="1"/>
  <c r="K31" i="8"/>
  <c r="J18" i="8"/>
  <c r="L18" i="8" s="1"/>
  <c r="L20" i="8" s="1"/>
  <c r="M22" i="8" l="1"/>
  <c r="J26" i="8"/>
  <c r="I15" i="8"/>
  <c r="I14" i="8"/>
  <c r="J30" i="10" l="1"/>
  <c r="J35" i="10" s="1"/>
  <c r="K30" i="10"/>
  <c r="J37" i="10" s="1"/>
  <c r="L30" i="10" l="1"/>
  <c r="J33" i="10" l="1"/>
  <c r="N8" i="18" l="1"/>
  <c r="O8" i="18" s="1"/>
  <c r="L32" i="18" l="1"/>
  <c r="M32" i="18" l="1"/>
  <c r="D25" i="23" l="1"/>
  <c r="J28" i="23" s="1"/>
  <c r="D27" i="23" l="1"/>
  <c r="K39" i="23" s="1"/>
  <c r="D28" i="24"/>
  <c r="D30" i="24"/>
  <c r="M39" i="23" l="1"/>
  <c r="D28" i="42" l="1"/>
  <c r="D30" i="42" s="1"/>
  <c r="J28" i="8"/>
  <c r="M24" i="18"/>
  <c r="I48" i="18"/>
  <c r="J24" i="18"/>
  <c r="J43" i="18"/>
  <c r="I50" i="18"/>
  <c r="I46" i="18"/>
  <c r="I43" i="10"/>
  <c r="K43" i="18"/>
  <c r="I44" i="10"/>
  <c r="K39" i="8"/>
  <c r="K24" i="18"/>
  <c r="L24" i="18"/>
  <c r="L43" i="18"/>
  <c r="D25" i="8"/>
  <c r="D27" i="8"/>
  <c r="M39" i="8"/>
</calcChain>
</file>

<file path=xl/sharedStrings.xml><?xml version="1.0" encoding="utf-8"?>
<sst xmlns="http://schemas.openxmlformats.org/spreadsheetml/2006/main" count="1641" uniqueCount="351">
  <si>
    <t>ITEM</t>
  </si>
  <si>
    <t>DESCRIPTION OF WORK</t>
  </si>
  <si>
    <t>PROGRAMMED</t>
  </si>
  <si>
    <t>UNIT</t>
  </si>
  <si>
    <t xml:space="preserve">CONTRACT </t>
  </si>
  <si>
    <t>WEIGHT</t>
  </si>
  <si>
    <t>ACCOMPLISHMENT</t>
  </si>
  <si>
    <t>REMARKS/</t>
  </si>
  <si>
    <t>NO.</t>
  </si>
  <si>
    <t>QUANTITY</t>
  </si>
  <si>
    <t>PRICE</t>
  </si>
  <si>
    <t>AMOUNT</t>
  </si>
  <si>
    <t>%</t>
  </si>
  <si>
    <t>PREVIOUS</t>
  </si>
  <si>
    <t>THIS PERIOD</t>
  </si>
  <si>
    <t>TO DATE</t>
  </si>
  <si>
    <t>STATUS</t>
  </si>
  <si>
    <t>ORIGINAL</t>
  </si>
  <si>
    <t xml:space="preserve">                                                 T  O  T  A  L  S</t>
  </si>
  <si>
    <t>% THIS ACCOMPLISHMENT</t>
  </si>
  <si>
    <t>TOTAL PROJECT COST</t>
  </si>
  <si>
    <t>TOTAL THIS  ACCOMPLISHMENT</t>
  </si>
  <si>
    <t xml:space="preserve">Less: </t>
  </si>
  <si>
    <t>MOBILIZATION</t>
  </si>
  <si>
    <t>TOTAL THIS VOUCHER</t>
  </si>
  <si>
    <t>Requested by:</t>
  </si>
  <si>
    <t>Prepared by:</t>
  </si>
  <si>
    <t>Submitted by:</t>
  </si>
  <si>
    <t>Approved:</t>
  </si>
  <si>
    <t>MA. VICTORIA E. REYES</t>
  </si>
  <si>
    <t>MANUEL N. MAMBA, M.D.</t>
  </si>
  <si>
    <t>Contractor</t>
  </si>
  <si>
    <t>Engineer II</t>
  </si>
  <si>
    <t>Governor</t>
  </si>
  <si>
    <t>cu.m.</t>
  </si>
  <si>
    <t>sq.m.</t>
  </si>
  <si>
    <t>each</t>
  </si>
  <si>
    <t>Republic of the Philippines</t>
  </si>
  <si>
    <t>PROVINCE OF CAGAYAN</t>
  </si>
  <si>
    <t>NTP:</t>
  </si>
  <si>
    <t>STATEMENT OF TIME ELAPSED AND WORK ACCOMPLISHED</t>
  </si>
  <si>
    <t>*</t>
  </si>
  <si>
    <t>To be Filled up</t>
  </si>
  <si>
    <t>Note:</t>
  </si>
  <si>
    <t>Project name</t>
  </si>
  <si>
    <t>:</t>
  </si>
  <si>
    <t>Just fill up those items with red boxes beside</t>
  </si>
  <si>
    <t xml:space="preserve">Location     </t>
  </si>
  <si>
    <t>Contract Amount</t>
  </si>
  <si>
    <t>Days</t>
  </si>
  <si>
    <t>1.</t>
  </si>
  <si>
    <t>Period Covered:</t>
  </si>
  <si>
    <t>to</t>
  </si>
  <si>
    <t>Don't Fill Up</t>
  </si>
  <si>
    <t>2.</t>
  </si>
  <si>
    <t>Contract Duration:</t>
  </si>
  <si>
    <t>3.</t>
  </si>
  <si>
    <t>Notice to Proceed</t>
  </si>
  <si>
    <t>5.</t>
  </si>
  <si>
    <t>Expiry Date</t>
  </si>
  <si>
    <t>6.</t>
  </si>
  <si>
    <t>12</t>
  </si>
  <si>
    <t>13</t>
  </si>
  <si>
    <t>Revised Contract Duration</t>
  </si>
  <si>
    <t>14.</t>
  </si>
  <si>
    <t>Revised Expiry Date due to Suspension</t>
  </si>
  <si>
    <t>15.</t>
  </si>
  <si>
    <t>Total Calendar days Elapsed to Date</t>
  </si>
  <si>
    <t>16</t>
  </si>
  <si>
    <t>Percentage Of work accomplished-Actual</t>
  </si>
  <si>
    <t>17.</t>
  </si>
  <si>
    <t>Percentage Of work accomplished-Planned</t>
  </si>
  <si>
    <t>18</t>
  </si>
  <si>
    <t>Slippage</t>
  </si>
  <si>
    <t>19.</t>
  </si>
  <si>
    <t>Remarks</t>
  </si>
  <si>
    <t xml:space="preserve">          Engineer II</t>
  </si>
  <si>
    <t>Liquidation Damages:</t>
  </si>
  <si>
    <t>Approved Time Suspension</t>
  </si>
  <si>
    <t>Approved Time Extension</t>
  </si>
  <si>
    <t>ARNOLD L. MANUEL</t>
  </si>
  <si>
    <t>OIC- Chief of Construction Division</t>
  </si>
  <si>
    <t>Checked and Reviewed by:</t>
  </si>
  <si>
    <t>A.</t>
  </si>
  <si>
    <t>As of  _____________________, 2020</t>
  </si>
  <si>
    <t>VARIATION ORDER NO.1</t>
  </si>
  <si>
    <t>Checked by:</t>
  </si>
  <si>
    <t>MARISSA A. MACADANGDANG</t>
  </si>
  <si>
    <t>Engineering Assistant</t>
  </si>
  <si>
    <t>Each</t>
  </si>
  <si>
    <t>on-going</t>
  </si>
  <si>
    <t>EV INTERIOR CONSTRUCTION</t>
  </si>
  <si>
    <t>BASILIA B. FLORES</t>
  </si>
  <si>
    <t>Provincial Engineer</t>
  </si>
  <si>
    <t>Coarse Aggregates</t>
  </si>
  <si>
    <t>Fine Aggregates</t>
  </si>
  <si>
    <t>STATEMENT OF WORK ACCOMPLISHMENT</t>
  </si>
  <si>
    <t>105(1)</t>
  </si>
  <si>
    <t>200(1)</t>
  </si>
  <si>
    <t>B.7</t>
  </si>
  <si>
    <t>B.9</t>
  </si>
  <si>
    <t>Billboards and Signages</t>
  </si>
  <si>
    <t>Mobilization/ Demobilization</t>
  </si>
  <si>
    <t>cu.m</t>
  </si>
  <si>
    <t>sq.m</t>
  </si>
  <si>
    <t>ls</t>
  </si>
  <si>
    <t>mos</t>
  </si>
  <si>
    <t>Structure Excavation</t>
  </si>
  <si>
    <t>Gattaran, Cagayan</t>
  </si>
  <si>
    <t>B.</t>
  </si>
  <si>
    <t>Aggregate Sub-base Course</t>
  </si>
  <si>
    <t>Construction Safety and Health Program</t>
  </si>
  <si>
    <t>kg</t>
  </si>
  <si>
    <t>ln.m</t>
  </si>
  <si>
    <t>less</t>
  </si>
  <si>
    <t>contract</t>
  </si>
  <si>
    <t>adj. amount</t>
  </si>
  <si>
    <t>NAME OF PROJECT:</t>
  </si>
  <si>
    <t xml:space="preserve">ITEM No.: </t>
  </si>
  <si>
    <t>UNIT:</t>
  </si>
  <si>
    <t>ln.m.</t>
  </si>
  <si>
    <t xml:space="preserve">DESCRIPTION: </t>
  </si>
  <si>
    <t xml:space="preserve">QUANTITY: </t>
  </si>
  <si>
    <t>1. DIRECT COST</t>
  </si>
  <si>
    <t>Station Cover</t>
  </si>
  <si>
    <t>Length (ln.m.)</t>
  </si>
  <si>
    <t>1.a.</t>
  </si>
  <si>
    <t>Materials</t>
  </si>
  <si>
    <t>proposed</t>
  </si>
  <si>
    <t>Description</t>
  </si>
  <si>
    <t>Unit</t>
  </si>
  <si>
    <t>Quantity</t>
  </si>
  <si>
    <t>Unit Cost</t>
  </si>
  <si>
    <t>Amount</t>
  </si>
  <si>
    <t>R&amp;R</t>
  </si>
  <si>
    <t>pcs.</t>
  </si>
  <si>
    <t>Portland Cement</t>
  </si>
  <si>
    <t>bags.</t>
  </si>
  <si>
    <t xml:space="preserve">1.a. Total Material Cost = </t>
  </si>
  <si>
    <t>1.b.</t>
  </si>
  <si>
    <t>Labor</t>
  </si>
  <si>
    <t>Position</t>
  </si>
  <si>
    <t>No.</t>
  </si>
  <si>
    <t>Hours</t>
  </si>
  <si>
    <t>Rate/hour</t>
  </si>
  <si>
    <t>Foreman</t>
  </si>
  <si>
    <t>R&amp;R w/ prposed LD.</t>
  </si>
  <si>
    <t>Mason</t>
  </si>
  <si>
    <t>Carpenter/Steelman</t>
  </si>
  <si>
    <t>Skilled Sub-Total</t>
  </si>
  <si>
    <t>Laborer</t>
  </si>
  <si>
    <t>Total</t>
  </si>
  <si>
    <t>Unskilled Sub-Total</t>
  </si>
  <si>
    <t>1.b. Total Labor Cost =</t>
  </si>
  <si>
    <t>1.c.</t>
  </si>
  <si>
    <t>Equipment Rental (Operated)</t>
  </si>
  <si>
    <t>Make, Model &amp; Capacity of Equipment</t>
  </si>
  <si>
    <t>Manpower/ Equipment</t>
  </si>
  <si>
    <t xml:space="preserve">Quantities </t>
  </si>
  <si>
    <t>( Output/Hour )</t>
  </si>
  <si>
    <t>Duration</t>
  </si>
  <si>
    <t>Backhoe, 0.80 cu.m.)</t>
  </si>
  <si>
    <t>of Unit</t>
  </si>
  <si>
    <t>l.m.</t>
  </si>
  <si>
    <t>( hours )</t>
  </si>
  <si>
    <t>Plate Compactor (5Hp)</t>
  </si>
  <si>
    <t>Backhoe</t>
  </si>
  <si>
    <t>Minor Tools (10% of Labor)</t>
  </si>
  <si>
    <t>Plate Compactor</t>
  </si>
  <si>
    <t>1.c. Total Equipment Rental Cost =</t>
  </si>
  <si>
    <t>1. Total Direct Cost (1a+1b+1c) =</t>
  </si>
  <si>
    <t>2. INDIRECT COST</t>
  </si>
  <si>
    <t>No. of Days  =</t>
  </si>
  <si>
    <t>2.a.</t>
  </si>
  <si>
    <t>Overhead, Contingencies, and Misc. Expenses (OCM)</t>
  </si>
  <si>
    <t>2.b.</t>
  </si>
  <si>
    <t>Contractor's Profit (CP)</t>
  </si>
  <si>
    <t>2.c.</t>
  </si>
  <si>
    <t>Contractor's Tax (CT)</t>
  </si>
  <si>
    <t xml:space="preserve"> </t>
  </si>
  <si>
    <t>2. Total Indirect Cost (2a+2b+2c) =</t>
  </si>
  <si>
    <t>Total Item Cost (1+2)</t>
  </si>
  <si>
    <t>Total Quantity of Item of Work</t>
  </si>
  <si>
    <t>C.</t>
  </si>
  <si>
    <t>D.</t>
  </si>
  <si>
    <t>Item Unit Cost (A / B)</t>
  </si>
  <si>
    <t>Adjusted Item Cost</t>
  </si>
  <si>
    <t>RCPC, 610 mm. dia.</t>
  </si>
  <si>
    <t>500(1)a3</t>
  </si>
  <si>
    <t>Reiforced Concrete Pipe Culvert, 910mm Ø</t>
  </si>
  <si>
    <t>FOUR R CONSTRUCTION</t>
  </si>
  <si>
    <t>Project Title:</t>
  </si>
  <si>
    <t>Location:</t>
  </si>
  <si>
    <t>Construction of Abra-Baracaoit Flat Slab Bridge</t>
  </si>
  <si>
    <t>PART A</t>
  </si>
  <si>
    <t>A.1.1 (8)</t>
  </si>
  <si>
    <t>Provision of Field Office for the Engineer (Rental Basis)</t>
  </si>
  <si>
    <t>PART B</t>
  </si>
  <si>
    <t>FACILITIES FOR ENGINEERS</t>
  </si>
  <si>
    <t>OTHER GENERAL REQUIREMENTS</t>
  </si>
  <si>
    <t xml:space="preserve">B.5 </t>
  </si>
  <si>
    <t>I</t>
  </si>
  <si>
    <t>ROAD</t>
  </si>
  <si>
    <t>PART C</t>
  </si>
  <si>
    <t>EARTHWORKS</t>
  </si>
  <si>
    <t>102(2)</t>
  </si>
  <si>
    <t>104(1)a</t>
  </si>
  <si>
    <t>Roadway Excavation (Surplus Common Materials)</t>
  </si>
  <si>
    <t>Embankment</t>
  </si>
  <si>
    <t>Sub-Grade Preparation (Common Materials)</t>
  </si>
  <si>
    <t>PART D</t>
  </si>
  <si>
    <t>SUBBASE COURSE</t>
  </si>
  <si>
    <t>PART E</t>
  </si>
  <si>
    <t>SURFACE COURSE</t>
  </si>
  <si>
    <t>II</t>
  </si>
  <si>
    <t>CONSTRUCTION OF BRIDGE (FLAT SLAB)</t>
  </si>
  <si>
    <t>A</t>
  </si>
  <si>
    <t>103(1)a</t>
  </si>
  <si>
    <t>B</t>
  </si>
  <si>
    <t>B.18</t>
  </si>
  <si>
    <t>Craneway</t>
  </si>
  <si>
    <t>SUB-STRUCTURE</t>
  </si>
  <si>
    <t>404(4)a</t>
  </si>
  <si>
    <t>Precast Concrete Piles, Furnished</t>
  </si>
  <si>
    <t>400(14)</t>
  </si>
  <si>
    <t>Precast Concrete Piles, Driven</t>
  </si>
  <si>
    <t>400(16)a</t>
  </si>
  <si>
    <t>Test Piles, furnished and Driven (400mmx400mm)</t>
  </si>
  <si>
    <t>C</t>
  </si>
  <si>
    <t>SUPERSTRUCTURE</t>
  </si>
  <si>
    <t>404(1)b</t>
  </si>
  <si>
    <t>405(1)b</t>
  </si>
  <si>
    <t>D</t>
  </si>
  <si>
    <t>SLOPE PROTECTION</t>
  </si>
  <si>
    <t>404(1)a</t>
  </si>
  <si>
    <t>405(1)a</t>
  </si>
  <si>
    <t>Structural Concrete Class A-Bridge Superstructure 27 Mpa</t>
  </si>
  <si>
    <t>Structural Concrete Class A 20.7 Mpa</t>
  </si>
  <si>
    <t>E</t>
  </si>
  <si>
    <t>BRIDGE APPROACH</t>
  </si>
  <si>
    <t>Reinforcing Steel Bars</t>
  </si>
  <si>
    <t>mo</t>
  </si>
  <si>
    <t>l.s</t>
  </si>
  <si>
    <t>kg.</t>
  </si>
  <si>
    <t>all</t>
  </si>
  <si>
    <t>not yet started</t>
  </si>
  <si>
    <t>KINGSTON JAMES S. DELA CRUZ</t>
  </si>
  <si>
    <t>Capitol Hills, Tuguegarao City</t>
  </si>
  <si>
    <t>PROVINCIAL ENGINEER'S OFFICE</t>
  </si>
  <si>
    <t xml:space="preserve">Recommending Approval: </t>
  </si>
  <si>
    <t>JUST FILL IN ON BLUE CELL!!!</t>
  </si>
  <si>
    <t>LEGEND:</t>
  </si>
  <si>
    <t>single</t>
  </si>
  <si>
    <t>WITHOUT REVISION</t>
  </si>
  <si>
    <t>in a relationship</t>
  </si>
  <si>
    <t>WITH REVISION</t>
  </si>
  <si>
    <t>To be Filled In</t>
  </si>
  <si>
    <t>complicated</t>
  </si>
  <si>
    <t>ON THE EXPIRY DATE WITHOUT REVISION</t>
  </si>
  <si>
    <t>married</t>
  </si>
  <si>
    <t>ON THE EXPIRY DATE WITH REVISION</t>
  </si>
  <si>
    <t>separated</t>
  </si>
  <si>
    <t>ON THE COMPLETION DATE WITHOUT REVISION</t>
  </si>
  <si>
    <t>Project Name</t>
  </si>
  <si>
    <t>divorced</t>
  </si>
  <si>
    <t>ON THE COMPLETION DATE WITH REVISION</t>
  </si>
  <si>
    <t>LDR_1</t>
  </si>
  <si>
    <t>LDR_2</t>
  </si>
  <si>
    <t>Contract Duration</t>
  </si>
  <si>
    <t>Date of Receipt of  Notice to Proceed</t>
  </si>
  <si>
    <t>4.</t>
  </si>
  <si>
    <t>7.</t>
  </si>
  <si>
    <t>Total Time Extension</t>
  </si>
  <si>
    <t>Don't Fill In</t>
  </si>
  <si>
    <t>8.</t>
  </si>
  <si>
    <t>9.</t>
  </si>
  <si>
    <t>Revised Expiry Date</t>
  </si>
  <si>
    <t>10.</t>
  </si>
  <si>
    <t>11.</t>
  </si>
  <si>
    <t>Percentage of work accomplished - Actual</t>
  </si>
  <si>
    <t>(FROM SWA)</t>
  </si>
  <si>
    <t>12.</t>
  </si>
  <si>
    <t>Percentage of work accomplished  -Planned</t>
  </si>
  <si>
    <t>W/ FORMULA - Planned (WITHOUT time extension)</t>
  </si>
  <si>
    <t>13.</t>
  </si>
  <si>
    <t>W/ FORMULA - Planned (WITH time extension)</t>
  </si>
  <si>
    <t>LINEAR - Planned (WITHOUT time extension)</t>
  </si>
  <si>
    <t>LINEAR - Planned (WITH time extension)</t>
  </si>
  <si>
    <t>Noted by:</t>
  </si>
  <si>
    <t>F</t>
  </si>
  <si>
    <t>WRITE "F" - OPT TO USE FORMULA</t>
  </si>
  <si>
    <t>WRITE "L" - OPT TO USE LINEAR</t>
  </si>
  <si>
    <t>OIC Chief - Construction Division</t>
  </si>
  <si>
    <t>As of July 10, 2023 (expiry date)</t>
  </si>
  <si>
    <t>Gonzaga, Cagayan</t>
  </si>
  <si>
    <t>MARK KEVIN B. MARTIN</t>
  </si>
  <si>
    <t>KATHLEEN MEI P. BAGASIN</t>
  </si>
  <si>
    <t>Engineer IV (Chief-Construction Division)</t>
  </si>
  <si>
    <t>Improvement of Road along Sta. Cruz - Cabiraoan Provincial Road - Concreting of Road with Box Culvert</t>
  </si>
  <si>
    <t>Project Billboard</t>
  </si>
  <si>
    <t>Removal of Existing Concrete Pavement</t>
  </si>
  <si>
    <t>Removal of Actual Structures/Obstruction (610mmØ RCPC)</t>
  </si>
  <si>
    <t>Roadway Excavation (Surplus Common Excavation)</t>
  </si>
  <si>
    <t>Pipe Culvert and Drain Excavation</t>
  </si>
  <si>
    <t>Embankment (From Roadway Excavation)</t>
  </si>
  <si>
    <t>Sub-grade Preparation (Common Materials)</t>
  </si>
  <si>
    <t>Portland Cement Concrete Pavement, 230mm thk.</t>
  </si>
  <si>
    <t>Reinforcing Steel (Line Drainage</t>
  </si>
  <si>
    <t>kgs.</t>
  </si>
  <si>
    <t>Excavation</t>
  </si>
  <si>
    <t>Backfilling</t>
  </si>
  <si>
    <t>Gravel Bedding</t>
  </si>
  <si>
    <t>Formworks and Falseworks</t>
  </si>
  <si>
    <t>Masonry Works</t>
  </si>
  <si>
    <t>WORK ITEMS</t>
  </si>
  <si>
    <t>Cement Plaster Finish</t>
  </si>
  <si>
    <t>Painting Works</t>
  </si>
  <si>
    <t>Metal Structure</t>
  </si>
  <si>
    <t>Corrugated Asphalt Roof</t>
  </si>
  <si>
    <t>Electrical Works</t>
  </si>
  <si>
    <t>804(a)</t>
  </si>
  <si>
    <t>804(b)</t>
  </si>
  <si>
    <t>1013(a)</t>
  </si>
  <si>
    <t>units</t>
  </si>
  <si>
    <t>Chief of Construction Division</t>
  </si>
  <si>
    <t>900 (a)</t>
  </si>
  <si>
    <t>901 (b)</t>
  </si>
  <si>
    <t>902 (c)</t>
  </si>
  <si>
    <t>903 (d)</t>
  </si>
  <si>
    <t>904 (e)</t>
  </si>
  <si>
    <t>Reinforced Concrete Column Footing</t>
  </si>
  <si>
    <t>Reinforced Concrete Wall Footing</t>
  </si>
  <si>
    <t>Reinforced Concrete Column and Corbel</t>
  </si>
  <si>
    <t>Reinforced Concrete Beams</t>
  </si>
  <si>
    <t>Reinforced Concrete Slab</t>
  </si>
  <si>
    <t xml:space="preserve">As of </t>
  </si>
  <si>
    <t>Length</t>
  </si>
  <si>
    <t>Width</t>
  </si>
  <si>
    <t>Height</t>
  </si>
  <si>
    <t>Volume</t>
  </si>
  <si>
    <t>Qty</t>
  </si>
  <si>
    <t>Thickness</t>
  </si>
  <si>
    <t>Construction of Multi-Purpose Building Lallo National High School</t>
  </si>
  <si>
    <t>Lallo, Cagayan</t>
  </si>
  <si>
    <t>RUCS Construction</t>
  </si>
  <si>
    <t>Rucs Konsult and Construction Services</t>
  </si>
  <si>
    <t>July 26, 2024</t>
  </si>
  <si>
    <t>DIXIE R. CABRERA</t>
  </si>
  <si>
    <t>REPAIR OF VICENTE TRINIDAD NATIONAL HIGH SCHOOL GYMNASIUM, IGUIG, CAGAYAN</t>
  </si>
  <si>
    <t>Iguig, Cagayan</t>
  </si>
  <si>
    <t>TS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</si>
</sst>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.000_-;\-* #,##0.000_-;_-* &quot;-&quot;???_-;_-@_-"/>
    <numFmt numFmtId="166" formatCode="_(* #,##0.000_);_(* \(#,##0.000\);_(* &quot;-&quot;??_);_(@_)"/>
    <numFmt numFmtId="167" formatCode="0.000%"/>
    <numFmt numFmtId="168" formatCode="_-* #,##0.000_-;\-* #,##0.000_-;_-* &quot;-&quot;??_-;_-@_-"/>
    <numFmt numFmtId="169" formatCode="_-* #,##0.000000_-;\-* #,##0.000000_-;_-* &quot;-&quot;??_-;_-@_-"/>
    <numFmt numFmtId="170" formatCode="_(&quot;P&quot;* #,##0.00_);_(&quot;P&quot;* \(#,##0.00\);_(&quot;P&quot;* &quot;-&quot;??_);_(@_)"/>
    <numFmt numFmtId="171" formatCode="[$-F800]dddd\,\ mmmm\ dd\,\ yyyy"/>
    <numFmt numFmtId="172" formatCode="0.0000%"/>
    <numFmt numFmtId="173" formatCode="0.000"/>
    <numFmt numFmtId="174" formatCode="0.0%"/>
    <numFmt numFmtId="175" formatCode="0.00000"/>
    <numFmt numFmtId="176" formatCode="_(* #,##0_);_(* \(#,##0\);_(* &quot;-&quot;??_);_(@_)"/>
    <numFmt numFmtId="177" formatCode="0\+000.000"/>
    <numFmt numFmtId="178" formatCode="_([$Php-3409]* #,##0.00_);_([$Php-3409]* \(#,##0.00\);_([$Php-3409]* &quot;-&quot;??_);_(@_)"/>
    <numFmt numFmtId="179" formatCode="0.0"/>
    <numFmt numFmtId="180" formatCode="_-* #,##0_-;\-* #,##0_-;_-* &quot;-&quot;??_-;_-@_-"/>
    <numFmt numFmtId="181" formatCode="_-* #,##0.00000_-;\-* #,##0.00000_-;_-* &quot;-&quot;??_-;_-@_-"/>
    <numFmt numFmtId="182" formatCode="[$-3409]mmmm\ dd\,\ yyyy;@"/>
    <numFmt numFmtId="183" formatCode="[$-409]mmmm\ d\,\ yyyy;@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sz val="9"/>
      <name val="Arial Narrow"/>
      <family val="2"/>
    </font>
    <font>
      <sz val="12"/>
      <color theme="1"/>
      <name val="Tahoma"/>
      <family val="2"/>
    </font>
    <font>
      <sz val="12"/>
      <color theme="1"/>
      <name val="Times New Roman"/>
      <family val="1"/>
    </font>
    <font>
      <b/>
      <sz val="12"/>
      <color theme="1"/>
      <name val="Tahoma"/>
      <family val="2"/>
    </font>
    <font>
      <b/>
      <sz val="13"/>
      <color theme="1"/>
      <name val="Tahoma"/>
      <family val="2"/>
    </font>
    <font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rgb="FFFF0000"/>
      <name val="Arial"/>
      <family val="2"/>
    </font>
    <font>
      <b/>
      <sz val="13.2"/>
      <color rgb="FFFF0000"/>
      <name val="Arial"/>
      <family val="2"/>
    </font>
    <font>
      <b/>
      <sz val="8"/>
      <name val="Arial"/>
      <family val="2"/>
    </font>
    <font>
      <b/>
      <sz val="11"/>
      <color indexed="8"/>
      <name val="Arial"/>
      <family val="2"/>
    </font>
    <font>
      <sz val="14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0"/>
      <name val="Calibri"/>
      <family val="2"/>
      <scheme val="minor"/>
    </font>
    <font>
      <i/>
      <sz val="10"/>
      <name val="Arial"/>
      <family val="2"/>
    </font>
    <font>
      <i/>
      <sz val="8"/>
      <name val="Arial"/>
      <family val="2"/>
    </font>
    <font>
      <b/>
      <i/>
      <sz val="9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color theme="1" tint="4.9989318521683403E-2"/>
      <name val="Times New Roman"/>
      <family val="1"/>
    </font>
    <font>
      <sz val="11"/>
      <color theme="1"/>
      <name val="Tahoma"/>
      <family val="2"/>
    </font>
    <font>
      <sz val="10"/>
      <color theme="1"/>
      <name val="Times New Roman"/>
      <family val="1"/>
    </font>
    <font>
      <b/>
      <sz val="11"/>
      <color theme="1"/>
      <name val="Tahoma"/>
      <family val="2"/>
    </font>
    <font>
      <b/>
      <sz val="16"/>
      <color rgb="FFFF0000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rgb="FFFF0000"/>
      <name val="Arial"/>
      <family val="2"/>
    </font>
    <font>
      <sz val="10"/>
      <name val="Times New Roman"/>
      <family val="1"/>
    </font>
    <font>
      <sz val="24"/>
      <color theme="1"/>
      <name val="Times New Roman"/>
      <family val="1"/>
    </font>
    <font>
      <sz val="9"/>
      <color theme="1"/>
      <name val="Arial"/>
      <family val="2"/>
    </font>
    <font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0" fontId="24" fillId="0" borderId="0"/>
    <xf numFmtId="0" fontId="25" fillId="0" borderId="0"/>
    <xf numFmtId="9" fontId="1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7">
    <xf numFmtId="0" fontId="0" fillId="0" borderId="0" xfId="0"/>
    <xf numFmtId="43" fontId="3" fillId="0" borderId="0" xfId="1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6" fontId="0" fillId="0" borderId="0" xfId="0" applyNumberFormat="1"/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2" borderId="17" xfId="0" applyFont="1" applyFill="1" applyBorder="1" applyAlignment="1">
      <alignment horizontal="left"/>
    </xf>
    <xf numFmtId="0" fontId="7" fillId="2" borderId="15" xfId="0" applyFont="1" applyFill="1" applyBorder="1"/>
    <xf numFmtId="0" fontId="7" fillId="2" borderId="13" xfId="0" applyFont="1" applyFill="1" applyBorder="1"/>
    <xf numFmtId="43" fontId="7" fillId="2" borderId="13" xfId="1" applyFont="1" applyFill="1" applyBorder="1" applyAlignment="1">
      <alignment horizontal="center"/>
    </xf>
    <xf numFmtId="43" fontId="6" fillId="2" borderId="14" xfId="1" applyFont="1" applyFill="1" applyBorder="1"/>
    <xf numFmtId="164" fontId="6" fillId="2" borderId="15" xfId="0" applyNumberFormat="1" applyFont="1" applyFill="1" applyBorder="1" applyAlignment="1">
      <alignment horizontal="center"/>
    </xf>
    <xf numFmtId="164" fontId="6" fillId="2" borderId="12" xfId="0" applyNumberFormat="1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5" xfId="0" applyFont="1" applyBorder="1"/>
    <xf numFmtId="0" fontId="6" fillId="0" borderId="13" xfId="0" applyFont="1" applyBorder="1"/>
    <xf numFmtId="166" fontId="6" fillId="0" borderId="15" xfId="1" applyNumberFormat="1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164" fontId="6" fillId="0" borderId="12" xfId="1" applyNumberFormat="1" applyFont="1" applyBorder="1" applyAlignment="1"/>
    <xf numFmtId="167" fontId="6" fillId="0" borderId="12" xfId="3" applyNumberFormat="1" applyFont="1" applyBorder="1" applyAlignment="1">
      <alignment horizontal="center"/>
    </xf>
    <xf numFmtId="43" fontId="6" fillId="0" borderId="14" xfId="1" applyFont="1" applyFill="1" applyBorder="1" applyAlignment="1"/>
    <xf numFmtId="43" fontId="6" fillId="0" borderId="12" xfId="1" applyFont="1" applyBorder="1" applyAlignment="1"/>
    <xf numFmtId="10" fontId="6" fillId="0" borderId="12" xfId="3" applyNumberFormat="1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168" fontId="3" fillId="0" borderId="0" xfId="1" applyNumberFormat="1" applyFont="1"/>
    <xf numFmtId="164" fontId="3" fillId="0" borderId="0" xfId="0" applyNumberFormat="1" applyFont="1"/>
    <xf numFmtId="43" fontId="0" fillId="0" borderId="0" xfId="1" applyFont="1"/>
    <xf numFmtId="169" fontId="8" fillId="0" borderId="0" xfId="0" applyNumberFormat="1" applyFont="1"/>
    <xf numFmtId="164" fontId="6" fillId="0" borderId="22" xfId="0" applyNumberFormat="1" applyFont="1" applyBorder="1" applyAlignment="1">
      <alignment vertical="center"/>
    </xf>
    <xf numFmtId="164" fontId="7" fillId="0" borderId="23" xfId="0" applyNumberFormat="1" applyFont="1" applyBorder="1" applyAlignment="1">
      <alignment vertical="center"/>
    </xf>
    <xf numFmtId="10" fontId="7" fillId="0" borderId="23" xfId="3" applyNumberFormat="1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43" fontId="3" fillId="0" borderId="0" xfId="1" applyFont="1" applyAlignment="1">
      <alignment vertical="center"/>
    </xf>
    <xf numFmtId="0" fontId="7" fillId="0" borderId="0" xfId="0" applyFont="1" applyAlignment="1">
      <alignment horizontal="left"/>
    </xf>
    <xf numFmtId="164" fontId="6" fillId="0" borderId="0" xfId="0" applyNumberFormat="1" applyFont="1"/>
    <xf numFmtId="166" fontId="6" fillId="0" borderId="0" xfId="0" applyNumberFormat="1" applyFont="1"/>
    <xf numFmtId="0" fontId="6" fillId="0" borderId="0" xfId="0" applyFont="1"/>
    <xf numFmtId="0" fontId="9" fillId="0" borderId="0" xfId="0" applyFont="1"/>
    <xf numFmtId="43" fontId="6" fillId="0" borderId="0" xfId="1" applyFont="1" applyBorder="1"/>
    <xf numFmtId="0" fontId="6" fillId="0" borderId="0" xfId="0" applyFont="1" applyAlignment="1">
      <alignment horizontal="right"/>
    </xf>
    <xf numFmtId="170" fontId="7" fillId="0" borderId="0" xfId="2" applyNumberFormat="1" applyFont="1" applyBorder="1" applyAlignment="1">
      <alignment horizontal="center"/>
    </xf>
    <xf numFmtId="43" fontId="6" fillId="0" borderId="0" xfId="1" applyFont="1"/>
    <xf numFmtId="166" fontId="6" fillId="0" borderId="20" xfId="1" applyNumberFormat="1" applyFont="1" applyBorder="1" applyAlignment="1"/>
    <xf numFmtId="0" fontId="11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3" borderId="14" xfId="0" applyFont="1" applyFill="1" applyBorder="1" applyAlignment="1">
      <alignment horizont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18" xfId="0" applyFont="1" applyBorder="1"/>
    <xf numFmtId="4" fontId="11" fillId="0" borderId="18" xfId="0" applyNumberFormat="1" applyFont="1" applyBorder="1" applyAlignment="1">
      <alignment horizontal="left"/>
    </xf>
    <xf numFmtId="0" fontId="17" fillId="0" borderId="18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0" xfId="0" applyFont="1" applyAlignment="1">
      <alignment horizontal="left"/>
    </xf>
    <xf numFmtId="2" fontId="18" fillId="0" borderId="28" xfId="0" applyNumberFormat="1" applyFont="1" applyBorder="1" applyAlignment="1">
      <alignment horizontal="left"/>
    </xf>
    <xf numFmtId="0" fontId="18" fillId="0" borderId="29" xfId="0" applyFont="1" applyBorder="1" applyAlignment="1">
      <alignment horizontal="left"/>
    </xf>
    <xf numFmtId="0" fontId="11" fillId="0" borderId="0" xfId="0" quotePrefix="1" applyFont="1"/>
    <xf numFmtId="0" fontId="11" fillId="0" borderId="0" xfId="0" applyFont="1" applyAlignment="1">
      <alignment vertical="center"/>
    </xf>
    <xf numFmtId="171" fontId="11" fillId="0" borderId="18" xfId="0" applyNumberFormat="1" applyFont="1" applyBorder="1" applyAlignment="1">
      <alignment horizontal="left"/>
    </xf>
    <xf numFmtId="0" fontId="11" fillId="0" borderId="18" xfId="0" applyFont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171" fontId="11" fillId="0" borderId="25" xfId="0" applyNumberFormat="1" applyFont="1" applyBorder="1" applyAlignment="1">
      <alignment horizontal="left"/>
    </xf>
    <xf numFmtId="171" fontId="11" fillId="0" borderId="25" xfId="0" applyNumberFormat="1" applyFont="1" applyBorder="1"/>
    <xf numFmtId="171" fontId="11" fillId="4" borderId="14" xfId="0" applyNumberFormat="1" applyFont="1" applyFill="1" applyBorder="1" applyAlignment="1">
      <alignment horizontal="center"/>
    </xf>
    <xf numFmtId="1" fontId="11" fillId="0" borderId="25" xfId="0" applyNumberFormat="1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171" fontId="11" fillId="0" borderId="0" xfId="0" applyNumberFormat="1" applyFont="1" applyAlignment="1">
      <alignment horizontal="left"/>
    </xf>
    <xf numFmtId="2" fontId="11" fillId="0" borderId="0" xfId="0" applyNumberFormat="1" applyFont="1"/>
    <xf numFmtId="2" fontId="11" fillId="0" borderId="18" xfId="0" applyNumberFormat="1" applyFont="1" applyBorder="1" applyAlignment="1">
      <alignment horizontal="left"/>
    </xf>
    <xf numFmtId="2" fontId="11" fillId="0" borderId="0" xfId="0" applyNumberFormat="1" applyFont="1" applyAlignment="1">
      <alignment horizontal="left"/>
    </xf>
    <xf numFmtId="10" fontId="11" fillId="0" borderId="18" xfId="0" applyNumberFormat="1" applyFont="1" applyBorder="1" applyAlignment="1">
      <alignment horizontal="left"/>
    </xf>
    <xf numFmtId="10" fontId="11" fillId="0" borderId="25" xfId="0" applyNumberFormat="1" applyFont="1" applyBorder="1" applyAlignment="1">
      <alignment horizontal="left"/>
    </xf>
    <xf numFmtId="172" fontId="11" fillId="0" borderId="0" xfId="0" applyNumberFormat="1" applyFont="1" applyAlignment="1">
      <alignment horizontal="left"/>
    </xf>
    <xf numFmtId="43" fontId="11" fillId="0" borderId="0" xfId="1" applyFont="1"/>
    <xf numFmtId="0" fontId="11" fillId="0" borderId="0" xfId="0" applyFont="1" applyAlignment="1">
      <alignment horizontal="right"/>
    </xf>
    <xf numFmtId="43" fontId="16" fillId="0" borderId="0" xfId="1" applyFont="1"/>
    <xf numFmtId="14" fontId="11" fillId="0" borderId="0" xfId="0" applyNumberFormat="1" applyFont="1"/>
    <xf numFmtId="0" fontId="5" fillId="0" borderId="0" xfId="0" applyFont="1" applyAlignment="1">
      <alignment horizontal="left"/>
    </xf>
    <xf numFmtId="10" fontId="11" fillId="0" borderId="0" xfId="3" applyNumberFormat="1" applyFont="1" applyAlignment="1">
      <alignment horizontal="left"/>
    </xf>
    <xf numFmtId="9" fontId="3" fillId="0" borderId="0" xfId="3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22" fillId="0" borderId="0" xfId="0" applyFont="1"/>
    <xf numFmtId="164" fontId="6" fillId="0" borderId="20" xfId="1" applyNumberFormat="1" applyFont="1" applyBorder="1" applyAlignment="1"/>
    <xf numFmtId="43" fontId="6" fillId="0" borderId="12" xfId="1" applyFont="1" applyBorder="1" applyAlignment="1">
      <alignment horizontal="center"/>
    </xf>
    <xf numFmtId="166" fontId="6" fillId="0" borderId="15" xfId="1" applyNumberFormat="1" applyFont="1" applyBorder="1"/>
    <xf numFmtId="174" fontId="7" fillId="0" borderId="23" xfId="3" applyNumberFormat="1" applyFont="1" applyBorder="1" applyAlignment="1">
      <alignment horizontal="center" vertical="center"/>
    </xf>
    <xf numFmtId="43" fontId="7" fillId="2" borderId="18" xfId="1" applyFont="1" applyFill="1" applyBorder="1" applyAlignment="1">
      <alignment horizontal="center"/>
    </xf>
    <xf numFmtId="9" fontId="0" fillId="0" borderId="0" xfId="0" applyNumberFormat="1"/>
    <xf numFmtId="0" fontId="6" fillId="0" borderId="14" xfId="0" applyFont="1" applyBorder="1" applyAlignment="1">
      <alignment horizontal="center" wrapText="1"/>
    </xf>
    <xf numFmtId="0" fontId="23" fillId="0" borderId="15" xfId="0" applyFont="1" applyBorder="1"/>
    <xf numFmtId="164" fontId="6" fillId="0" borderId="14" xfId="1" applyNumberFormat="1" applyFont="1" applyBorder="1"/>
    <xf numFmtId="2" fontId="6" fillId="0" borderId="12" xfId="0" applyNumberFormat="1" applyFont="1" applyBorder="1" applyAlignment="1">
      <alignment horizontal="center"/>
    </xf>
    <xf numFmtId="10" fontId="7" fillId="0" borderId="23" xfId="3" applyNumberFormat="1" applyFont="1" applyBorder="1" applyAlignment="1">
      <alignment horizontal="center" vertical="center"/>
    </xf>
    <xf numFmtId="173" fontId="0" fillId="0" borderId="0" xfId="0" applyNumberFormat="1" applyAlignment="1">
      <alignment horizontal="left"/>
    </xf>
    <xf numFmtId="10" fontId="4" fillId="0" borderId="0" xfId="3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43" fontId="3" fillId="0" borderId="0" xfId="1" applyFont="1" applyAlignment="1">
      <alignment horizontal="left"/>
    </xf>
    <xf numFmtId="10" fontId="0" fillId="0" borderId="0" xfId="3" applyNumberFormat="1" applyFont="1" applyAlignment="1">
      <alignment horizontal="left"/>
    </xf>
    <xf numFmtId="0" fontId="5" fillId="0" borderId="0" xfId="0" applyFont="1" applyAlignment="1">
      <alignment horizontal="center"/>
    </xf>
    <xf numFmtId="43" fontId="3" fillId="0" borderId="0" xfId="0" applyNumberFormat="1" applyFont="1"/>
    <xf numFmtId="1" fontId="6" fillId="0" borderId="17" xfId="0" applyNumberFormat="1" applyFont="1" applyBorder="1" applyAlignment="1">
      <alignment horizontal="center" vertical="center"/>
    </xf>
    <xf numFmtId="10" fontId="0" fillId="0" borderId="0" xfId="1" applyNumberFormat="1" applyFont="1"/>
    <xf numFmtId="43" fontId="5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167" fontId="3" fillId="0" borderId="0" xfId="3" applyNumberFormat="1" applyFont="1"/>
    <xf numFmtId="167" fontId="3" fillId="0" borderId="0" xfId="1" applyNumberFormat="1" applyFont="1"/>
    <xf numFmtId="175" fontId="0" fillId="0" borderId="0" xfId="0" applyNumberFormat="1"/>
    <xf numFmtId="0" fontId="2" fillId="0" borderId="0" xfId="0" applyFont="1" applyAlignment="1">
      <alignment vertical="center"/>
    </xf>
    <xf numFmtId="171" fontId="4" fillId="0" borderId="0" xfId="0" applyNumberFormat="1" applyFont="1"/>
    <xf numFmtId="165" fontId="0" fillId="0" borderId="0" xfId="0" applyNumberFormat="1"/>
    <xf numFmtId="0" fontId="6" fillId="0" borderId="15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1" fontId="7" fillId="0" borderId="15" xfId="0" applyNumberFormat="1" applyFont="1" applyBorder="1" applyAlignment="1">
      <alignment horizontal="left" vertical="center" indent="1"/>
    </xf>
    <xf numFmtId="0" fontId="26" fillId="0" borderId="13" xfId="0" applyFont="1" applyBorder="1" applyAlignment="1">
      <alignment vertical="center"/>
    </xf>
    <xf numFmtId="0" fontId="0" fillId="0" borderId="33" xfId="0" applyBorder="1"/>
    <xf numFmtId="0" fontId="0" fillId="0" borderId="25" xfId="0" applyBorder="1"/>
    <xf numFmtId="37" fontId="7" fillId="0" borderId="41" xfId="13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3" fillId="0" borderId="2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164" fontId="4" fillId="0" borderId="18" xfId="14" applyFont="1" applyFill="1" applyBorder="1" applyAlignment="1">
      <alignment vertical="center"/>
    </xf>
    <xf numFmtId="164" fontId="4" fillId="0" borderId="13" xfId="14" applyFont="1" applyFill="1" applyBorder="1" applyAlignment="1">
      <alignment vertical="center"/>
    </xf>
    <xf numFmtId="164" fontId="6" fillId="0" borderId="0" xfId="14" applyFont="1" applyFill="1" applyBorder="1" applyAlignment="1">
      <alignment horizontal="left" vertical="center"/>
    </xf>
    <xf numFmtId="176" fontId="6" fillId="0" borderId="0" xfId="14" applyNumberFormat="1" applyFont="1" applyFill="1" applyBorder="1" applyAlignment="1">
      <alignment vertical="center"/>
    </xf>
    <xf numFmtId="177" fontId="6" fillId="0" borderId="36" xfId="0" applyNumberFormat="1" applyFont="1" applyBorder="1"/>
    <xf numFmtId="0" fontId="6" fillId="0" borderId="38" xfId="0" applyFont="1" applyBorder="1" applyAlignment="1">
      <alignment horizontal="center" vertical="center"/>
    </xf>
    <xf numFmtId="164" fontId="6" fillId="0" borderId="39" xfId="14" applyFont="1" applyFill="1" applyBorder="1" applyAlignment="1">
      <alignment horizontal="left" vertical="center"/>
    </xf>
    <xf numFmtId="0" fontId="28" fillId="0" borderId="14" xfId="0" applyFont="1" applyBorder="1" applyAlignment="1">
      <alignment horizontal="center" vertical="center"/>
    </xf>
    <xf numFmtId="177" fontId="6" fillId="0" borderId="44" xfId="0" applyNumberFormat="1" applyFont="1" applyBorder="1"/>
    <xf numFmtId="0" fontId="6" fillId="0" borderId="45" xfId="0" applyFont="1" applyBorder="1" applyAlignment="1">
      <alignment horizontal="center" vertical="center"/>
    </xf>
    <xf numFmtId="164" fontId="6" fillId="0" borderId="46" xfId="14" applyFont="1" applyFill="1" applyBorder="1" applyAlignment="1">
      <alignment horizontal="left" vertical="center"/>
    </xf>
    <xf numFmtId="0" fontId="0" fillId="0" borderId="38" xfId="0" applyBorder="1"/>
    <xf numFmtId="164" fontId="4" fillId="5" borderId="46" xfId="13" applyFont="1" applyFill="1" applyBorder="1" applyAlignment="1">
      <alignment vertical="center"/>
    </xf>
    <xf numFmtId="164" fontId="4" fillId="0" borderId="46" xfId="13" applyFont="1" applyFill="1" applyBorder="1" applyAlignment="1">
      <alignment vertical="center"/>
    </xf>
    <xf numFmtId="0" fontId="0" fillId="0" borderId="46" xfId="0" applyBorder="1"/>
    <xf numFmtId="0" fontId="0" fillId="0" borderId="45" xfId="0" applyBorder="1"/>
    <xf numFmtId="1" fontId="4" fillId="0" borderId="46" xfId="13" applyNumberFormat="1" applyFont="1" applyFill="1" applyBorder="1" applyAlignment="1">
      <alignment horizontal="center" vertical="center"/>
    </xf>
    <xf numFmtId="2" fontId="4" fillId="0" borderId="46" xfId="13" applyNumberFormat="1" applyFont="1" applyFill="1" applyBorder="1" applyAlignment="1">
      <alignment horizontal="center" vertical="center"/>
    </xf>
    <xf numFmtId="0" fontId="0" fillId="0" borderId="42" xfId="0" applyBorder="1"/>
    <xf numFmtId="0" fontId="5" fillId="0" borderId="15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178" fontId="5" fillId="0" borderId="14" xfId="14" applyNumberFormat="1" applyFont="1" applyFill="1" applyBorder="1" applyAlignment="1">
      <alignment vertical="center"/>
    </xf>
    <xf numFmtId="164" fontId="29" fillId="0" borderId="0" xfId="0" applyNumberFormat="1" applyFont="1"/>
    <xf numFmtId="0" fontId="0" fillId="0" borderId="45" xfId="0" applyBorder="1" applyAlignment="1">
      <alignment vertical="center"/>
    </xf>
    <xf numFmtId="0" fontId="4" fillId="0" borderId="44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46" xfId="0" applyFont="1" applyBorder="1" applyAlignment="1">
      <alignment horizontal="center" vertical="center"/>
    </xf>
    <xf numFmtId="1" fontId="4" fillId="0" borderId="46" xfId="0" applyNumberFormat="1" applyFont="1" applyBorder="1" applyAlignment="1">
      <alignment horizontal="center" vertical="center"/>
    </xf>
    <xf numFmtId="164" fontId="30" fillId="0" borderId="46" xfId="14" applyFont="1" applyFill="1" applyBorder="1" applyAlignment="1">
      <alignment horizontal="right" vertical="center"/>
    </xf>
    <xf numFmtId="164" fontId="31" fillId="0" borderId="46" xfId="14" applyFont="1" applyFill="1" applyBorder="1" applyAlignment="1">
      <alignment vertical="center"/>
    </xf>
    <xf numFmtId="177" fontId="6" fillId="0" borderId="40" xfId="0" applyNumberFormat="1" applyFont="1" applyBorder="1"/>
    <xf numFmtId="0" fontId="0" fillId="0" borderId="43" xfId="0" applyBorder="1"/>
    <xf numFmtId="166" fontId="7" fillId="0" borderId="14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right" vertical="center"/>
    </xf>
    <xf numFmtId="0" fontId="4" fillId="0" borderId="42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0" fillId="0" borderId="18" xfId="0" applyBorder="1"/>
    <xf numFmtId="164" fontId="7" fillId="0" borderId="18" xfId="14" applyFont="1" applyFill="1" applyBorder="1" applyAlignment="1">
      <alignment horizontal="right" vertical="center"/>
    </xf>
    <xf numFmtId="164" fontId="29" fillId="4" borderId="0" xfId="0" applyNumberFormat="1" applyFont="1" applyFill="1"/>
    <xf numFmtId="0" fontId="6" fillId="0" borderId="35" xfId="0" applyFont="1" applyBorder="1" applyAlignment="1">
      <alignment vertical="center" wrapText="1"/>
    </xf>
    <xf numFmtId="0" fontId="6" fillId="0" borderId="48" xfId="0" applyFont="1" applyBorder="1" applyAlignment="1">
      <alignment vertical="center" wrapText="1"/>
    </xf>
    <xf numFmtId="0" fontId="6" fillId="0" borderId="20" xfId="0" applyFont="1" applyBorder="1" applyAlignment="1">
      <alignment horizontal="center"/>
    </xf>
    <xf numFmtId="0" fontId="6" fillId="0" borderId="48" xfId="0" applyFont="1" applyBorder="1" applyAlignment="1">
      <alignment horizontal="center" vertical="justify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justify"/>
    </xf>
    <xf numFmtId="0" fontId="6" fillId="0" borderId="12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0" fillId="0" borderId="20" xfId="0" applyBorder="1"/>
    <xf numFmtId="1" fontId="6" fillId="0" borderId="39" xfId="14" applyNumberFormat="1" applyFont="1" applyFill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41" xfId="0" applyFont="1" applyBorder="1" applyAlignment="1">
      <alignment horizontal="center" vertical="center"/>
    </xf>
    <xf numFmtId="164" fontId="4" fillId="0" borderId="46" xfId="14" applyFont="1" applyFill="1" applyBorder="1" applyAlignment="1">
      <alignment vertical="center"/>
    </xf>
    <xf numFmtId="0" fontId="6" fillId="0" borderId="46" xfId="0" applyFont="1" applyBorder="1" applyAlignment="1">
      <alignment horizontal="center" vertical="center"/>
    </xf>
    <xf numFmtId="0" fontId="0" fillId="0" borderId="49" xfId="0" applyBorder="1"/>
    <xf numFmtId="1" fontId="6" fillId="0" borderId="46" xfId="14" applyNumberFormat="1" applyFont="1" applyFill="1" applyBorder="1" applyAlignment="1">
      <alignment horizontal="center" vertical="center"/>
    </xf>
    <xf numFmtId="2" fontId="6" fillId="0" borderId="49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7" fillId="0" borderId="0" xfId="14" applyFont="1" applyFill="1" applyBorder="1" applyAlignment="1">
      <alignment horizontal="right" vertical="center"/>
    </xf>
    <xf numFmtId="178" fontId="5" fillId="0" borderId="25" xfId="14" applyNumberFormat="1" applyFont="1" applyFill="1" applyBorder="1" applyAlignment="1">
      <alignment vertical="center"/>
    </xf>
    <xf numFmtId="2" fontId="6" fillId="0" borderId="49" xfId="14" applyNumberFormat="1" applyFont="1" applyFill="1" applyBorder="1" applyAlignment="1">
      <alignment vertical="center"/>
    </xf>
    <xf numFmtId="179" fontId="6" fillId="0" borderId="49" xfId="14" applyNumberFormat="1" applyFont="1" applyFill="1" applyBorder="1" applyAlignment="1">
      <alignment vertical="center"/>
    </xf>
    <xf numFmtId="0" fontId="3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43" xfId="0" applyFont="1" applyBorder="1" applyAlignment="1">
      <alignment horizontal="center" vertical="center"/>
    </xf>
    <xf numFmtId="2" fontId="6" fillId="0" borderId="12" xfId="14" applyNumberFormat="1" applyFont="1" applyFill="1" applyBorder="1" applyAlignment="1">
      <alignment vertical="center"/>
    </xf>
    <xf numFmtId="179" fontId="6" fillId="0" borderId="12" xfId="14" applyNumberFormat="1" applyFont="1" applyFill="1" applyBorder="1" applyAlignment="1">
      <alignment vertical="center"/>
    </xf>
    <xf numFmtId="1" fontId="6" fillId="0" borderId="43" xfId="14" applyNumberFormat="1" applyFont="1" applyFill="1" applyBorder="1" applyAlignment="1">
      <alignment horizontal="center" vertical="center"/>
    </xf>
    <xf numFmtId="0" fontId="23" fillId="0" borderId="0" xfId="0" applyFont="1"/>
    <xf numFmtId="179" fontId="6" fillId="0" borderId="0" xfId="0" applyNumberFormat="1" applyFont="1" applyAlignment="1">
      <alignment horizontal="center"/>
    </xf>
    <xf numFmtId="0" fontId="33" fillId="0" borderId="36" xfId="0" applyFont="1" applyBorder="1" applyAlignment="1">
      <alignment horizontal="center" vertical="center"/>
    </xf>
    <xf numFmtId="0" fontId="33" fillId="0" borderId="38" xfId="0" applyFont="1" applyBorder="1" applyAlignment="1">
      <alignment horizontal="left" vertical="center"/>
    </xf>
    <xf numFmtId="0" fontId="28" fillId="0" borderId="38" xfId="0" applyFont="1" applyBorder="1"/>
    <xf numFmtId="10" fontId="6" fillId="0" borderId="36" xfId="0" applyNumberFormat="1" applyFont="1" applyBorder="1" applyAlignment="1">
      <alignment horizontal="center" vertical="center"/>
    </xf>
    <xf numFmtId="164" fontId="4" fillId="0" borderId="39" xfId="14" applyFont="1" applyFill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33" fillId="0" borderId="45" xfId="0" applyFont="1" applyBorder="1" applyAlignment="1">
      <alignment horizontal="left" vertical="center"/>
    </xf>
    <xf numFmtId="0" fontId="28" fillId="0" borderId="45" xfId="0" applyFont="1" applyBorder="1"/>
    <xf numFmtId="10" fontId="6" fillId="0" borderId="44" xfId="0" applyNumberFormat="1" applyFont="1" applyBorder="1" applyAlignment="1">
      <alignment horizontal="center" vertical="center"/>
    </xf>
    <xf numFmtId="164" fontId="4" fillId="0" borderId="46" xfId="14" applyFont="1" applyFill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42" xfId="0" applyFont="1" applyBorder="1" applyAlignment="1">
      <alignment horizontal="left" vertical="center"/>
    </xf>
    <xf numFmtId="0" fontId="28" fillId="0" borderId="42" xfId="0" applyFont="1" applyBorder="1"/>
    <xf numFmtId="10" fontId="6" fillId="0" borderId="40" xfId="0" applyNumberFormat="1" applyFont="1" applyBorder="1" applyAlignment="1">
      <alignment horizontal="center" vertical="center"/>
    </xf>
    <xf numFmtId="164" fontId="4" fillId="0" borderId="43" xfId="14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28" fillId="0" borderId="0" xfId="0" applyFont="1"/>
    <xf numFmtId="0" fontId="32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33" fillId="0" borderId="38" xfId="0" applyFont="1" applyBorder="1" applyAlignment="1">
      <alignment vertical="center"/>
    </xf>
    <xf numFmtId="0" fontId="32" fillId="0" borderId="38" xfId="0" applyFont="1" applyBorder="1" applyAlignment="1">
      <alignment vertical="center"/>
    </xf>
    <xf numFmtId="178" fontId="5" fillId="0" borderId="39" xfId="14" applyNumberFormat="1" applyFont="1" applyFill="1" applyBorder="1" applyAlignment="1">
      <alignment vertical="center"/>
    </xf>
    <xf numFmtId="0" fontId="33" fillId="0" borderId="45" xfId="0" applyFont="1" applyBorder="1" applyAlignment="1">
      <alignment vertical="center"/>
    </xf>
    <xf numFmtId="0" fontId="5" fillId="0" borderId="45" xfId="0" applyFont="1" applyBorder="1" applyAlignment="1">
      <alignment horizontal="right" vertical="center"/>
    </xf>
    <xf numFmtId="39" fontId="0" fillId="0" borderId="46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33" fillId="0" borderId="42" xfId="0" applyFont="1" applyBorder="1" applyAlignment="1">
      <alignment vertical="center"/>
    </xf>
    <xf numFmtId="178" fontId="5" fillId="0" borderId="43" xfId="14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78" fontId="5" fillId="0" borderId="0" xfId="0" applyNumberFormat="1" applyFont="1" applyAlignment="1">
      <alignment vertical="center"/>
    </xf>
    <xf numFmtId="164" fontId="31" fillId="0" borderId="0" xfId="14" applyFont="1" applyFill="1" applyBorder="1" applyAlignment="1">
      <alignment vertical="center"/>
    </xf>
    <xf numFmtId="0" fontId="6" fillId="0" borderId="36" xfId="9" applyFont="1" applyBorder="1" applyAlignment="1">
      <alignment vertical="center"/>
    </xf>
    <xf numFmtId="0" fontId="6" fillId="0" borderId="37" xfId="9" applyFont="1" applyBorder="1" applyAlignment="1">
      <alignment vertical="center"/>
    </xf>
    <xf numFmtId="1" fontId="7" fillId="0" borderId="36" xfId="9" applyNumberFormat="1" applyFont="1" applyBorder="1" applyAlignment="1">
      <alignment horizontal="left" vertical="center" indent="1"/>
    </xf>
    <xf numFmtId="0" fontId="7" fillId="0" borderId="38" xfId="9" applyFont="1" applyBorder="1" applyAlignment="1">
      <alignment vertical="center"/>
    </xf>
    <xf numFmtId="0" fontId="6" fillId="0" borderId="39" xfId="9" applyFont="1" applyBorder="1" applyAlignment="1">
      <alignment vertical="center"/>
    </xf>
    <xf numFmtId="0" fontId="7" fillId="0" borderId="37" xfId="9" applyFont="1" applyBorder="1" applyAlignment="1">
      <alignment horizontal="center" vertical="center"/>
    </xf>
    <xf numFmtId="0" fontId="6" fillId="0" borderId="40" xfId="9" applyFont="1" applyBorder="1" applyAlignment="1">
      <alignment vertical="center"/>
    </xf>
    <xf numFmtId="0" fontId="6" fillId="0" borderId="41" xfId="9" applyFont="1" applyBorder="1" applyAlignment="1">
      <alignment vertical="center"/>
    </xf>
    <xf numFmtId="0" fontId="27" fillId="0" borderId="42" xfId="9" applyFont="1" applyBorder="1" applyAlignment="1">
      <alignment horizontal="left" vertical="center" indent="1"/>
    </xf>
    <xf numFmtId="0" fontId="7" fillId="0" borderId="42" xfId="9" applyFont="1" applyBorder="1" applyAlignment="1">
      <alignment vertical="center"/>
    </xf>
    <xf numFmtId="0" fontId="6" fillId="0" borderId="43" xfId="9" applyFont="1" applyBorder="1" applyAlignment="1">
      <alignment vertical="center"/>
    </xf>
    <xf numFmtId="0" fontId="6" fillId="0" borderId="0" xfId="9" applyFont="1" applyAlignment="1">
      <alignment vertical="center"/>
    </xf>
    <xf numFmtId="0" fontId="6" fillId="0" borderId="0" xfId="9" applyFont="1" applyAlignment="1">
      <alignment horizontal="left" vertical="center"/>
    </xf>
    <xf numFmtId="0" fontId="4" fillId="0" borderId="36" xfId="9" applyFont="1" applyBorder="1" applyAlignment="1">
      <alignment vertical="center"/>
    </xf>
    <xf numFmtId="0" fontId="4" fillId="0" borderId="37" xfId="9" applyFont="1" applyBorder="1" applyAlignment="1">
      <alignment vertical="center"/>
    </xf>
    <xf numFmtId="0" fontId="4" fillId="0" borderId="46" xfId="9" applyFont="1" applyBorder="1" applyAlignment="1">
      <alignment horizontal="center" vertical="center"/>
    </xf>
    <xf numFmtId="37" fontId="4" fillId="0" borderId="46" xfId="9" applyNumberFormat="1" applyFont="1" applyBorder="1" applyAlignment="1">
      <alignment horizontal="center" vertical="center"/>
    </xf>
    <xf numFmtId="0" fontId="4" fillId="0" borderId="44" xfId="9" applyFont="1" applyBorder="1" applyAlignment="1">
      <alignment vertical="center"/>
    </xf>
    <xf numFmtId="0" fontId="4" fillId="0" borderId="47" xfId="9" applyFont="1" applyBorder="1" applyAlignment="1">
      <alignment vertical="center"/>
    </xf>
    <xf numFmtId="0" fontId="4" fillId="0" borderId="40" xfId="9" applyFont="1" applyBorder="1" applyAlignment="1">
      <alignment vertical="center"/>
    </xf>
    <xf numFmtId="0" fontId="4" fillId="0" borderId="41" xfId="9" applyFont="1" applyBorder="1" applyAlignment="1">
      <alignment vertical="center"/>
    </xf>
    <xf numFmtId="1" fontId="4" fillId="0" borderId="46" xfId="9" applyNumberFormat="1" applyFont="1" applyBorder="1" applyAlignment="1">
      <alignment horizontal="center" vertical="center"/>
    </xf>
    <xf numFmtId="0" fontId="5" fillId="0" borderId="37" xfId="9" applyFont="1" applyBorder="1" applyAlignment="1">
      <alignment vertical="center"/>
    </xf>
    <xf numFmtId="0" fontId="5" fillId="0" borderId="47" xfId="9" applyFont="1" applyBorder="1" applyAlignment="1">
      <alignment vertical="center"/>
    </xf>
    <xf numFmtId="0" fontId="4" fillId="0" borderId="0" xfId="0" applyFont="1" applyAlignment="1">
      <alignment horizontal="right"/>
    </xf>
    <xf numFmtId="166" fontId="6" fillId="0" borderId="15" xfId="1" applyNumberFormat="1" applyFont="1" applyBorder="1" applyAlignment="1">
      <alignment horizontal="right" vertical="center"/>
    </xf>
    <xf numFmtId="1" fontId="7" fillId="6" borderId="17" xfId="0" applyNumberFormat="1" applyFont="1" applyFill="1" applyBorder="1" applyAlignment="1">
      <alignment horizontal="center" vertical="center"/>
    </xf>
    <xf numFmtId="0" fontId="7" fillId="6" borderId="15" xfId="0" applyFont="1" applyFill="1" applyBorder="1"/>
    <xf numFmtId="0" fontId="6" fillId="6" borderId="13" xfId="0" applyFont="1" applyFill="1" applyBorder="1"/>
    <xf numFmtId="166" fontId="6" fillId="6" borderId="15" xfId="1" applyNumberFormat="1" applyFont="1" applyFill="1" applyBorder="1" applyAlignment="1">
      <alignment vertical="center"/>
    </xf>
    <xf numFmtId="0" fontId="6" fillId="6" borderId="13" xfId="0" applyFont="1" applyFill="1" applyBorder="1" applyAlignment="1">
      <alignment vertical="center"/>
    </xf>
    <xf numFmtId="164" fontId="6" fillId="6" borderId="20" xfId="1" applyNumberFormat="1" applyFont="1" applyFill="1" applyBorder="1" applyAlignment="1"/>
    <xf numFmtId="164" fontId="6" fillId="6" borderId="12" xfId="1" applyNumberFormat="1" applyFont="1" applyFill="1" applyBorder="1" applyAlignment="1"/>
    <xf numFmtId="10" fontId="6" fillId="6" borderId="12" xfId="3" applyNumberFormat="1" applyFont="1" applyFill="1" applyBorder="1" applyAlignment="1">
      <alignment horizontal="center"/>
    </xf>
    <xf numFmtId="43" fontId="6" fillId="6" borderId="14" xfId="1" applyFont="1" applyFill="1" applyBorder="1" applyAlignment="1"/>
    <xf numFmtId="43" fontId="6" fillId="6" borderId="12" xfId="1" applyFont="1" applyFill="1" applyBorder="1" applyAlignment="1"/>
    <xf numFmtId="167" fontId="6" fillId="6" borderId="12" xfId="3" applyNumberFormat="1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1" fontId="7" fillId="7" borderId="17" xfId="0" applyNumberFormat="1" applyFont="1" applyFill="1" applyBorder="1" applyAlignment="1">
      <alignment horizontal="center" vertical="center"/>
    </xf>
    <xf numFmtId="166" fontId="6" fillId="7" borderId="15" xfId="1" applyNumberFormat="1" applyFont="1" applyFill="1" applyBorder="1" applyAlignment="1">
      <alignment vertical="center"/>
    </xf>
    <xf numFmtId="0" fontId="6" fillId="7" borderId="13" xfId="0" applyFont="1" applyFill="1" applyBorder="1" applyAlignment="1">
      <alignment vertical="center"/>
    </xf>
    <xf numFmtId="164" fontId="6" fillId="7" borderId="20" xfId="1" applyNumberFormat="1" applyFont="1" applyFill="1" applyBorder="1" applyAlignment="1"/>
    <xf numFmtId="164" fontId="6" fillId="7" borderId="12" xfId="1" applyNumberFormat="1" applyFont="1" applyFill="1" applyBorder="1" applyAlignment="1"/>
    <xf numFmtId="10" fontId="6" fillId="7" borderId="12" xfId="3" applyNumberFormat="1" applyFont="1" applyFill="1" applyBorder="1" applyAlignment="1">
      <alignment horizontal="center"/>
    </xf>
    <xf numFmtId="43" fontId="6" fillId="7" borderId="14" xfId="1" applyFont="1" applyFill="1" applyBorder="1" applyAlignment="1"/>
    <xf numFmtId="43" fontId="6" fillId="7" borderId="12" xfId="1" applyFont="1" applyFill="1" applyBorder="1" applyAlignment="1"/>
    <xf numFmtId="167" fontId="6" fillId="7" borderId="12" xfId="3" applyNumberFormat="1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1" fontId="7" fillId="8" borderId="17" xfId="0" applyNumberFormat="1" applyFont="1" applyFill="1" applyBorder="1" applyAlignment="1">
      <alignment horizontal="center" vertical="center"/>
    </xf>
    <xf numFmtId="166" fontId="6" fillId="8" borderId="15" xfId="1" applyNumberFormat="1" applyFont="1" applyFill="1" applyBorder="1" applyAlignment="1">
      <alignment vertical="center"/>
    </xf>
    <xf numFmtId="0" fontId="6" fillId="8" borderId="13" xfId="0" applyFont="1" applyFill="1" applyBorder="1" applyAlignment="1">
      <alignment vertical="center"/>
    </xf>
    <xf numFmtId="164" fontId="6" fillId="8" borderId="20" xfId="1" applyNumberFormat="1" applyFont="1" applyFill="1" applyBorder="1" applyAlignment="1"/>
    <xf numFmtId="164" fontId="6" fillId="8" borderId="12" xfId="1" applyNumberFormat="1" applyFont="1" applyFill="1" applyBorder="1" applyAlignment="1"/>
    <xf numFmtId="10" fontId="6" fillId="8" borderId="12" xfId="3" applyNumberFormat="1" applyFont="1" applyFill="1" applyBorder="1" applyAlignment="1">
      <alignment horizontal="center"/>
    </xf>
    <xf numFmtId="43" fontId="6" fillId="8" borderId="14" xfId="1" applyFont="1" applyFill="1" applyBorder="1" applyAlignment="1"/>
    <xf numFmtId="43" fontId="6" fillId="8" borderId="12" xfId="1" applyFont="1" applyFill="1" applyBorder="1" applyAlignment="1"/>
    <xf numFmtId="167" fontId="6" fillId="8" borderId="12" xfId="3" applyNumberFormat="1" applyFont="1" applyFill="1" applyBorder="1" applyAlignment="1">
      <alignment horizontal="center"/>
    </xf>
    <xf numFmtId="0" fontId="6" fillId="8" borderId="19" xfId="0" applyFont="1" applyFill="1" applyBorder="1" applyAlignment="1">
      <alignment horizontal="center"/>
    </xf>
    <xf numFmtId="0" fontId="7" fillId="7" borderId="15" xfId="0" applyFont="1" applyFill="1" applyBorder="1"/>
    <xf numFmtId="0" fontId="6" fillId="7" borderId="13" xfId="0" applyFont="1" applyFill="1" applyBorder="1"/>
    <xf numFmtId="43" fontId="0" fillId="0" borderId="0" xfId="0" applyNumberFormat="1"/>
    <xf numFmtId="10" fontId="34" fillId="0" borderId="18" xfId="3" applyNumberFormat="1" applyFont="1" applyBorder="1" applyAlignment="1">
      <alignment horizontal="left"/>
    </xf>
    <xf numFmtId="168" fontId="6" fillId="0" borderId="14" xfId="1" applyNumberFormat="1" applyFont="1" applyFill="1" applyBorder="1" applyAlignment="1"/>
    <xf numFmtId="181" fontId="6" fillId="0" borderId="14" xfId="1" applyNumberFormat="1" applyFont="1" applyFill="1" applyBorder="1" applyAlignment="1"/>
    <xf numFmtId="0" fontId="10" fillId="0" borderId="0" xfId="0" applyFont="1" applyAlignment="1">
      <alignment vertical="center"/>
    </xf>
    <xf numFmtId="0" fontId="36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10" borderId="14" xfId="0" applyFont="1" applyFill="1" applyBorder="1"/>
    <xf numFmtId="0" fontId="15" fillId="0" borderId="0" xfId="0" applyFont="1"/>
    <xf numFmtId="0" fontId="39" fillId="0" borderId="0" xfId="0" applyFont="1"/>
    <xf numFmtId="0" fontId="36" fillId="11" borderId="14" xfId="0" applyFont="1" applyFill="1" applyBorder="1"/>
    <xf numFmtId="0" fontId="36" fillId="11" borderId="15" xfId="0" applyFont="1" applyFill="1" applyBorder="1"/>
    <xf numFmtId="0" fontId="36" fillId="11" borderId="18" xfId="0" applyFont="1" applyFill="1" applyBorder="1"/>
    <xf numFmtId="0" fontId="36" fillId="11" borderId="13" xfId="0" applyFont="1" applyFill="1" applyBorder="1"/>
    <xf numFmtId="0" fontId="39" fillId="0" borderId="0" xfId="0" applyFont="1" applyAlignment="1">
      <alignment horizontal="center"/>
    </xf>
    <xf numFmtId="0" fontId="36" fillId="12" borderId="14" xfId="0" applyFont="1" applyFill="1" applyBorder="1"/>
    <xf numFmtId="0" fontId="36" fillId="12" borderId="15" xfId="0" applyFont="1" applyFill="1" applyBorder="1"/>
    <xf numFmtId="0" fontId="36" fillId="12" borderId="18" xfId="0" applyFont="1" applyFill="1" applyBorder="1"/>
    <xf numFmtId="0" fontId="36" fillId="12" borderId="13" xfId="0" applyFont="1" applyFill="1" applyBorder="1"/>
    <xf numFmtId="0" fontId="41" fillId="0" borderId="0" xfId="0" applyFont="1"/>
    <xf numFmtId="182" fontId="36" fillId="9" borderId="18" xfId="0" applyNumberFormat="1" applyFont="1" applyFill="1" applyBorder="1" applyAlignment="1">
      <alignment horizontal="left"/>
    </xf>
    <xf numFmtId="0" fontId="36" fillId="13" borderId="14" xfId="0" applyFont="1" applyFill="1" applyBorder="1"/>
    <xf numFmtId="0" fontId="36" fillId="13" borderId="15" xfId="0" applyFont="1" applyFill="1" applyBorder="1"/>
    <xf numFmtId="0" fontId="36" fillId="13" borderId="18" xfId="0" applyFont="1" applyFill="1" applyBorder="1"/>
    <xf numFmtId="0" fontId="36" fillId="13" borderId="13" xfId="0" applyFont="1" applyFill="1" applyBorder="1"/>
    <xf numFmtId="182" fontId="39" fillId="0" borderId="0" xfId="0" applyNumberFormat="1" applyFont="1" applyAlignment="1">
      <alignment horizontal="center"/>
    </xf>
    <xf numFmtId="0" fontId="36" fillId="14" borderId="14" xfId="0" applyFont="1" applyFill="1" applyBorder="1"/>
    <xf numFmtId="0" fontId="36" fillId="14" borderId="15" xfId="0" applyFont="1" applyFill="1" applyBorder="1"/>
    <xf numFmtId="0" fontId="36" fillId="14" borderId="18" xfId="0" applyFont="1" applyFill="1" applyBorder="1"/>
    <xf numFmtId="0" fontId="36" fillId="14" borderId="13" xfId="0" applyFont="1" applyFill="1" applyBorder="1"/>
    <xf numFmtId="0" fontId="36" fillId="15" borderId="14" xfId="0" applyFont="1" applyFill="1" applyBorder="1"/>
    <xf numFmtId="0" fontId="36" fillId="15" borderId="15" xfId="0" applyFont="1" applyFill="1" applyBorder="1"/>
    <xf numFmtId="0" fontId="36" fillId="15" borderId="18" xfId="0" applyFont="1" applyFill="1" applyBorder="1"/>
    <xf numFmtId="0" fontId="36" fillId="15" borderId="13" xfId="0" applyFont="1" applyFill="1" applyBorder="1"/>
    <xf numFmtId="0" fontId="36" fillId="0" borderId="0" xfId="0" applyFont="1" applyAlignment="1">
      <alignment vertical="top"/>
    </xf>
    <xf numFmtId="0" fontId="36" fillId="0" borderId="0" xfId="0" quotePrefix="1" applyFont="1" applyAlignment="1">
      <alignment horizontal="center" vertical="top"/>
    </xf>
    <xf numFmtId="0" fontId="42" fillId="9" borderId="14" xfId="0" applyFont="1" applyFill="1" applyBorder="1" applyAlignment="1">
      <alignment wrapText="1"/>
    </xf>
    <xf numFmtId="0" fontId="36" fillId="16" borderId="14" xfId="0" applyFont="1" applyFill="1" applyBorder="1"/>
    <xf numFmtId="0" fontId="36" fillId="16" borderId="15" xfId="0" applyFont="1" applyFill="1" applyBorder="1"/>
    <xf numFmtId="0" fontId="36" fillId="16" borderId="18" xfId="0" applyFont="1" applyFill="1" applyBorder="1"/>
    <xf numFmtId="0" fontId="36" fillId="16" borderId="13" xfId="0" applyFont="1" applyFill="1" applyBorder="1"/>
    <xf numFmtId="0" fontId="36" fillId="0" borderId="0" xfId="0" applyFont="1" applyAlignment="1">
      <alignment vertical="center"/>
    </xf>
    <xf numFmtId="0" fontId="36" fillId="0" borderId="0" xfId="0" quotePrefix="1" applyFont="1" applyAlignment="1">
      <alignment horizontal="center" vertical="center"/>
    </xf>
    <xf numFmtId="0" fontId="36" fillId="0" borderId="18" xfId="0" applyFont="1" applyBorder="1" applyAlignment="1">
      <alignment vertical="center"/>
    </xf>
    <xf numFmtId="0" fontId="36" fillId="0" borderId="18" xfId="0" applyFont="1" applyBorder="1"/>
    <xf numFmtId="0" fontId="36" fillId="9" borderId="14" xfId="0" applyFont="1" applyFill="1" applyBorder="1" applyAlignment="1">
      <alignment horizontal="center"/>
    </xf>
    <xf numFmtId="0" fontId="36" fillId="10" borderId="14" xfId="0" applyFont="1" applyFill="1" applyBorder="1"/>
    <xf numFmtId="0" fontId="36" fillId="10" borderId="15" xfId="0" applyFont="1" applyFill="1" applyBorder="1"/>
    <xf numFmtId="0" fontId="36" fillId="10" borderId="18" xfId="0" applyFont="1" applyFill="1" applyBorder="1"/>
    <xf numFmtId="0" fontId="36" fillId="10" borderId="13" xfId="0" applyFont="1" applyFill="1" applyBorder="1"/>
    <xf numFmtId="0" fontId="36" fillId="0" borderId="0" xfId="0" applyFont="1" applyAlignment="1">
      <alignment horizontal="left" vertical="center"/>
    </xf>
    <xf numFmtId="4" fontId="36" fillId="0" borderId="18" xfId="0" applyNumberFormat="1" applyFont="1" applyBorder="1" applyAlignment="1">
      <alignment horizontal="left"/>
    </xf>
    <xf numFmtId="43" fontId="36" fillId="9" borderId="14" xfId="1" applyFont="1" applyFill="1" applyBorder="1" applyAlignment="1">
      <alignment horizontal="center"/>
    </xf>
    <xf numFmtId="0" fontId="36" fillId="17" borderId="14" xfId="0" applyFont="1" applyFill="1" applyBorder="1"/>
    <xf numFmtId="0" fontId="36" fillId="17" borderId="15" xfId="0" applyFont="1" applyFill="1" applyBorder="1"/>
    <xf numFmtId="0" fontId="36" fillId="17" borderId="18" xfId="0" applyFont="1" applyFill="1" applyBorder="1"/>
    <xf numFmtId="0" fontId="36" fillId="17" borderId="13" xfId="0" applyFont="1" applyFill="1" applyBorder="1"/>
    <xf numFmtId="0" fontId="36" fillId="9" borderId="14" xfId="0" applyFont="1" applyFill="1" applyBorder="1" applyAlignment="1">
      <alignment vertical="center"/>
    </xf>
    <xf numFmtId="0" fontId="36" fillId="0" borderId="18" xfId="0" applyFont="1" applyBorder="1" applyAlignment="1">
      <alignment horizontal="left"/>
    </xf>
    <xf numFmtId="0" fontId="36" fillId="0" borderId="0" xfId="0" quotePrefix="1" applyFont="1"/>
    <xf numFmtId="182" fontId="36" fillId="0" borderId="18" xfId="0" applyNumberFormat="1" applyFont="1" applyBorder="1" applyAlignment="1">
      <alignment horizontal="left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vertical="center"/>
    </xf>
    <xf numFmtId="182" fontId="36" fillId="0" borderId="25" xfId="0" applyNumberFormat="1" applyFont="1" applyBorder="1" applyAlignment="1">
      <alignment horizontal="left"/>
    </xf>
    <xf numFmtId="171" fontId="11" fillId="0" borderId="0" xfId="0" applyNumberFormat="1" applyFont="1"/>
    <xf numFmtId="171" fontId="43" fillId="0" borderId="0" xfId="0" applyNumberFormat="1" applyFont="1" applyAlignment="1">
      <alignment horizontal="center"/>
    </xf>
    <xf numFmtId="180" fontId="36" fillId="0" borderId="25" xfId="1" applyNumberFormat="1" applyFont="1" applyBorder="1" applyAlignment="1">
      <alignment horizontal="left"/>
    </xf>
    <xf numFmtId="1" fontId="36" fillId="0" borderId="25" xfId="0" applyNumberFormat="1" applyFont="1" applyBorder="1" applyAlignment="1">
      <alignment horizontal="left"/>
    </xf>
    <xf numFmtId="0" fontId="41" fillId="0" borderId="0" xfId="0" applyFont="1" applyAlignment="1">
      <alignment horizontal="right"/>
    </xf>
    <xf numFmtId="180" fontId="36" fillId="9" borderId="14" xfId="1" applyNumberFormat="1" applyFont="1" applyFill="1" applyBorder="1" applyAlignment="1">
      <alignment horizontal="left"/>
    </xf>
    <xf numFmtId="0" fontId="43" fillId="0" borderId="0" xfId="0" applyFont="1" applyAlignment="1">
      <alignment horizontal="right"/>
    </xf>
    <xf numFmtId="180" fontId="36" fillId="0" borderId="18" xfId="1" applyNumberFormat="1" applyFont="1" applyBorder="1" applyAlignment="1">
      <alignment horizontal="left"/>
    </xf>
    <xf numFmtId="180" fontId="36" fillId="9" borderId="14" xfId="1" applyNumberFormat="1" applyFont="1" applyFill="1" applyBorder="1" applyAlignment="1"/>
    <xf numFmtId="180" fontId="36" fillId="4" borderId="14" xfId="1" applyNumberFormat="1" applyFont="1" applyFill="1" applyBorder="1" applyAlignment="1"/>
    <xf numFmtId="1" fontId="36" fillId="0" borderId="18" xfId="0" applyNumberFormat="1" applyFont="1" applyBorder="1"/>
    <xf numFmtId="0" fontId="43" fillId="0" borderId="0" xfId="0" applyFont="1"/>
    <xf numFmtId="2" fontId="36" fillId="0" borderId="18" xfId="0" applyNumberFormat="1" applyFont="1" applyBorder="1" applyAlignment="1">
      <alignment horizontal="left"/>
    </xf>
    <xf numFmtId="182" fontId="42" fillId="0" borderId="18" xfId="0" applyNumberFormat="1" applyFont="1" applyBorder="1" applyAlignment="1">
      <alignment horizontal="left"/>
    </xf>
    <xf numFmtId="10" fontId="36" fillId="0" borderId="18" xfId="0" applyNumberFormat="1" applyFont="1" applyBorder="1" applyAlignment="1">
      <alignment horizontal="left"/>
    </xf>
    <xf numFmtId="10" fontId="36" fillId="9" borderId="14" xfId="3" applyNumberFormat="1" applyFont="1" applyFill="1" applyBorder="1" applyAlignment="1">
      <alignment horizontal="left"/>
    </xf>
    <xf numFmtId="10" fontId="45" fillId="0" borderId="18" xfId="3" applyNumberFormat="1" applyFont="1" applyBorder="1" applyAlignment="1">
      <alignment horizontal="left"/>
    </xf>
    <xf numFmtId="10" fontId="45" fillId="4" borderId="14" xfId="3" applyNumberFormat="1" applyFont="1" applyFill="1" applyBorder="1" applyAlignment="1">
      <alignment horizontal="left"/>
    </xf>
    <xf numFmtId="0" fontId="36" fillId="0" borderId="15" xfId="0" applyFont="1" applyBorder="1" applyAlignment="1">
      <alignment vertical="center"/>
    </xf>
    <xf numFmtId="0" fontId="11" fillId="0" borderId="13" xfId="0" applyFont="1" applyBorder="1"/>
    <xf numFmtId="10" fontId="36" fillId="0" borderId="25" xfId="0" applyNumberFormat="1" applyFont="1" applyBorder="1" applyAlignment="1">
      <alignment horizontal="left"/>
    </xf>
    <xf numFmtId="0" fontId="36" fillId="0" borderId="25" xfId="0" applyFont="1" applyBorder="1" applyAlignment="1">
      <alignment horizontal="left"/>
    </xf>
    <xf numFmtId="0" fontId="36" fillId="0" borderId="33" xfId="0" applyFont="1" applyBorder="1"/>
    <xf numFmtId="10" fontId="36" fillId="0" borderId="0" xfId="0" applyNumberFormat="1" applyFont="1"/>
    <xf numFmtId="0" fontId="36" fillId="12" borderId="36" xfId="0" applyFont="1" applyFill="1" applyBorder="1"/>
    <xf numFmtId="0" fontId="11" fillId="12" borderId="37" xfId="0" applyFont="1" applyFill="1" applyBorder="1"/>
    <xf numFmtId="0" fontId="36" fillId="12" borderId="40" xfId="0" applyFont="1" applyFill="1" applyBorder="1"/>
    <xf numFmtId="0" fontId="11" fillId="12" borderId="41" xfId="0" applyFont="1" applyFill="1" applyBorder="1"/>
    <xf numFmtId="0" fontId="36" fillId="0" borderId="0" xfId="0" applyFont="1" applyAlignment="1">
      <alignment horizontal="center"/>
    </xf>
    <xf numFmtId="166" fontId="48" fillId="0" borderId="15" xfId="1" applyNumberFormat="1" applyFont="1" applyBorder="1" applyAlignment="1">
      <alignment vertical="center"/>
    </xf>
    <xf numFmtId="0" fontId="48" fillId="0" borderId="13" xfId="0" applyFont="1" applyBorder="1" applyAlignment="1">
      <alignment vertical="center"/>
    </xf>
    <xf numFmtId="164" fontId="48" fillId="0" borderId="20" xfId="1" applyNumberFormat="1" applyFont="1" applyBorder="1" applyAlignment="1"/>
    <xf numFmtId="166" fontId="48" fillId="0" borderId="12" xfId="1" applyNumberFormat="1" applyFont="1" applyBorder="1" applyAlignment="1"/>
    <xf numFmtId="167" fontId="48" fillId="0" borderId="12" xfId="3" applyNumberFormat="1" applyFont="1" applyBorder="1" applyAlignment="1">
      <alignment horizontal="center"/>
    </xf>
    <xf numFmtId="43" fontId="48" fillId="0" borderId="14" xfId="1" applyFont="1" applyFill="1" applyBorder="1" applyAlignment="1"/>
    <xf numFmtId="43" fontId="48" fillId="0" borderId="12" xfId="1" applyFont="1" applyBorder="1" applyAlignment="1"/>
    <xf numFmtId="0" fontId="48" fillId="0" borderId="19" xfId="0" applyFont="1" applyBorder="1" applyAlignment="1">
      <alignment horizontal="center"/>
    </xf>
    <xf numFmtId="0" fontId="47" fillId="0" borderId="15" xfId="0" applyFont="1" applyBorder="1"/>
    <xf numFmtId="0" fontId="47" fillId="0" borderId="13" xfId="0" applyFont="1" applyBorder="1"/>
    <xf numFmtId="0" fontId="47" fillId="0" borderId="1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4" fontId="5" fillId="0" borderId="0" xfId="0" applyNumberFormat="1" applyFont="1"/>
    <xf numFmtId="4" fontId="4" fillId="0" borderId="0" xfId="0" applyNumberFormat="1" applyFont="1" applyAlignment="1">
      <alignment vertical="center"/>
    </xf>
    <xf numFmtId="4" fontId="6" fillId="6" borderId="15" xfId="1" applyNumberFormat="1" applyFont="1" applyFill="1" applyBorder="1" applyAlignment="1">
      <alignment vertical="center"/>
    </xf>
    <xf numFmtId="4" fontId="6" fillId="0" borderId="15" xfId="1" applyNumberFormat="1" applyFont="1" applyBorder="1" applyAlignment="1">
      <alignment vertical="center"/>
    </xf>
    <xf numFmtId="4" fontId="6" fillId="0" borderId="15" xfId="1" applyNumberFormat="1" applyFont="1" applyBorder="1" applyAlignment="1">
      <alignment horizontal="right" vertical="center"/>
    </xf>
    <xf numFmtId="4" fontId="6" fillId="8" borderId="15" xfId="1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left"/>
    </xf>
    <xf numFmtId="4" fontId="6" fillId="0" borderId="0" xfId="0" applyNumberFormat="1" applyFont="1"/>
    <xf numFmtId="4" fontId="3" fillId="0" borderId="0" xfId="0" applyNumberFormat="1" applyFont="1"/>
    <xf numFmtId="4" fontId="6" fillId="0" borderId="0" xfId="1" applyNumberFormat="1" applyFont="1" applyBorder="1"/>
    <xf numFmtId="4" fontId="0" fillId="0" borderId="0" xfId="0" applyNumberFormat="1"/>
    <xf numFmtId="4" fontId="6" fillId="0" borderId="14" xfId="1" applyNumberFormat="1" applyFont="1" applyBorder="1"/>
    <xf numFmtId="4" fontId="4" fillId="0" borderId="0" xfId="0" applyNumberFormat="1" applyFont="1"/>
    <xf numFmtId="43" fontId="49" fillId="0" borderId="14" xfId="1" applyFont="1" applyFill="1" applyBorder="1" applyAlignment="1"/>
    <xf numFmtId="10" fontId="49" fillId="0" borderId="12" xfId="3" applyNumberFormat="1" applyFont="1" applyBorder="1" applyAlignment="1">
      <alignment horizontal="center"/>
    </xf>
    <xf numFmtId="0" fontId="49" fillId="0" borderId="19" xfId="0" applyFont="1" applyBorder="1" applyAlignment="1">
      <alignment horizontal="center"/>
    </xf>
    <xf numFmtId="43" fontId="49" fillId="8" borderId="14" xfId="1" applyFont="1" applyFill="1" applyBorder="1" applyAlignment="1"/>
    <xf numFmtId="43" fontId="49" fillId="8" borderId="12" xfId="1" applyFont="1" applyFill="1" applyBorder="1" applyAlignment="1"/>
    <xf numFmtId="167" fontId="49" fillId="8" borderId="12" xfId="3" applyNumberFormat="1" applyFont="1" applyFill="1" applyBorder="1" applyAlignment="1">
      <alignment horizontal="center"/>
    </xf>
    <xf numFmtId="0" fontId="49" fillId="8" borderId="19" xfId="0" applyFont="1" applyFill="1" applyBorder="1" applyAlignment="1">
      <alignment horizontal="center"/>
    </xf>
    <xf numFmtId="43" fontId="49" fillId="0" borderId="12" xfId="1" applyFont="1" applyBorder="1" applyAlignment="1"/>
    <xf numFmtId="164" fontId="50" fillId="0" borderId="23" xfId="0" applyNumberFormat="1" applyFont="1" applyBorder="1" applyAlignment="1">
      <alignment vertical="center"/>
    </xf>
    <xf numFmtId="10" fontId="50" fillId="0" borderId="23" xfId="3" applyNumberFormat="1" applyFont="1" applyBorder="1" applyAlignment="1">
      <alignment horizontal="center" vertical="center"/>
    </xf>
    <xf numFmtId="0" fontId="49" fillId="0" borderId="24" xfId="0" applyFont="1" applyBorder="1" applyAlignment="1">
      <alignment vertical="center"/>
    </xf>
    <xf numFmtId="183" fontId="4" fillId="0" borderId="0" xfId="0" applyNumberFormat="1" applyFont="1"/>
    <xf numFmtId="0" fontId="47" fillId="0" borderId="50" xfId="0" applyFont="1" applyBorder="1" applyAlignment="1">
      <alignment horizontal="center"/>
    </xf>
    <xf numFmtId="0" fontId="47" fillId="0" borderId="24" xfId="0" applyFont="1" applyBorder="1"/>
    <xf numFmtId="2" fontId="3" fillId="0" borderId="0" xfId="0" applyNumberFormat="1" applyFont="1" applyAlignment="1">
      <alignment horizontal="center"/>
    </xf>
    <xf numFmtId="164" fontId="51" fillId="0" borderId="0" xfId="0" applyNumberFormat="1" applyFont="1"/>
    <xf numFmtId="1" fontId="6" fillId="0" borderId="50" xfId="0" applyNumberFormat="1" applyFont="1" applyBorder="1" applyAlignment="1">
      <alignment horizontal="center" vertical="center"/>
    </xf>
    <xf numFmtId="0" fontId="47" fillId="0" borderId="51" xfId="0" applyFont="1" applyBorder="1"/>
    <xf numFmtId="9" fontId="3" fillId="0" borderId="22" xfId="0" applyNumberFormat="1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9" fontId="3" fillId="0" borderId="52" xfId="0" applyNumberFormat="1" applyFont="1" applyBorder="1" applyAlignment="1">
      <alignment horizontal="center"/>
    </xf>
    <xf numFmtId="0" fontId="36" fillId="0" borderId="18" xfId="1" applyNumberFormat="1" applyFont="1" applyBorder="1" applyAlignment="1">
      <alignment horizontal="left"/>
    </xf>
    <xf numFmtId="182" fontId="40" fillId="0" borderId="0" xfId="0" applyNumberFormat="1" applyFont="1" applyAlignment="1">
      <alignment horizontal="center"/>
    </xf>
    <xf numFmtId="0" fontId="39" fillId="0" borderId="25" xfId="0" applyFont="1" applyBorder="1" applyAlignment="1">
      <alignment vertical="top" wrapText="1"/>
    </xf>
    <xf numFmtId="0" fontId="46" fillId="9" borderId="20" xfId="0" applyFont="1" applyFill="1" applyBorder="1" applyAlignment="1">
      <alignment horizontal="center" vertical="center"/>
    </xf>
    <xf numFmtId="0" fontId="46" fillId="9" borderId="12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8" fillId="9" borderId="15" xfId="0" applyFont="1" applyFill="1" applyBorder="1" applyAlignment="1">
      <alignment horizontal="center"/>
    </xf>
    <xf numFmtId="0" fontId="38" fillId="9" borderId="18" xfId="0" applyFont="1" applyFill="1" applyBorder="1" applyAlignment="1">
      <alignment horizontal="center"/>
    </xf>
    <xf numFmtId="0" fontId="38" fillId="9" borderId="13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1" fillId="0" borderId="33" xfId="0" applyFont="1" applyBorder="1" applyAlignment="1">
      <alignment horizontal="center"/>
    </xf>
    <xf numFmtId="171" fontId="16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34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171" fontId="14" fillId="0" borderId="0" xfId="0" applyNumberFormat="1" applyFont="1" applyAlignment="1">
      <alignment horizont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1" fontId="11" fillId="0" borderId="18" xfId="0" applyNumberFormat="1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70" fontId="6" fillId="0" borderId="25" xfId="2" applyNumberFormat="1" applyFont="1" applyFill="1" applyBorder="1" applyAlignment="1">
      <alignment horizontal="center"/>
    </xf>
    <xf numFmtId="170" fontId="7" fillId="0" borderId="26" xfId="2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70" fontId="6" fillId="0" borderId="0" xfId="2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43" fontId="5" fillId="2" borderId="15" xfId="1" applyFont="1" applyFill="1" applyBorder="1" applyAlignment="1">
      <alignment horizontal="center"/>
    </xf>
    <xf numFmtId="43" fontId="5" fillId="2" borderId="18" xfId="1" applyFont="1" applyFill="1" applyBorder="1" applyAlignment="1">
      <alignment horizontal="center"/>
    </xf>
    <xf numFmtId="43" fontId="5" fillId="2" borderId="13" xfId="1" applyFont="1" applyFill="1" applyBorder="1" applyAlignment="1">
      <alignment horizont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164" fontId="6" fillId="0" borderId="0" xfId="2" applyNumberFormat="1" applyFont="1" applyBorder="1" applyAlignment="1">
      <alignment horizontal="center"/>
    </xf>
    <xf numFmtId="10" fontId="6" fillId="0" borderId="0" xfId="3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7" fillId="8" borderId="15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left"/>
    </xf>
    <xf numFmtId="0" fontId="7" fillId="8" borderId="13" xfId="0" applyFont="1" applyFill="1" applyBorder="1" applyAlignment="1">
      <alignment horizontal="left"/>
    </xf>
    <xf numFmtId="0" fontId="6" fillId="0" borderId="15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20" fillId="0" borderId="0" xfId="0" applyFont="1" applyAlignment="1">
      <alignment horizontal="left"/>
    </xf>
    <xf numFmtId="0" fontId="4" fillId="0" borderId="33" xfId="0" applyFont="1" applyBorder="1" applyAlignment="1">
      <alignment horizontal="left"/>
    </xf>
    <xf numFmtId="43" fontId="7" fillId="2" borderId="18" xfId="1" applyFont="1" applyFill="1" applyBorder="1" applyAlignment="1">
      <alignment horizontal="center"/>
    </xf>
    <xf numFmtId="43" fontId="7" fillId="2" borderId="13" xfId="1" applyFont="1" applyFill="1" applyBorder="1" applyAlignment="1">
      <alignment horizontal="center"/>
    </xf>
    <xf numFmtId="0" fontId="28" fillId="0" borderId="15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 indent="1"/>
    </xf>
    <xf numFmtId="0" fontId="6" fillId="0" borderId="37" xfId="0" applyFont="1" applyBorder="1" applyAlignment="1">
      <alignment horizontal="left" vertical="center" indent="1"/>
    </xf>
    <xf numFmtId="0" fontId="6" fillId="0" borderId="44" xfId="0" applyFont="1" applyBorder="1" applyAlignment="1">
      <alignment horizontal="left" vertical="center" indent="1"/>
    </xf>
    <xf numFmtId="0" fontId="6" fillId="0" borderId="47" xfId="0" applyFont="1" applyBorder="1" applyAlignment="1">
      <alignment horizontal="left" vertical="center" indent="1"/>
    </xf>
    <xf numFmtId="0" fontId="6" fillId="0" borderId="40" xfId="0" applyFont="1" applyBorder="1" applyAlignment="1">
      <alignment horizontal="left" vertical="center" indent="1"/>
    </xf>
    <xf numFmtId="0" fontId="6" fillId="0" borderId="41" xfId="0" applyFont="1" applyBorder="1" applyAlignment="1">
      <alignment horizontal="left" vertical="center" indent="1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</cellXfs>
  <cellStyles count="21">
    <cellStyle name="Comma" xfId="1" builtinId="3"/>
    <cellStyle name="Comma 10 2" xfId="14" xr:uid="{00000000-0005-0000-0000-000001000000}"/>
    <cellStyle name="Comma 2" xfId="6" xr:uid="{00000000-0005-0000-0000-000002000000}"/>
    <cellStyle name="Comma 2 3 3" xfId="16" xr:uid="{00000000-0005-0000-0000-000003000000}"/>
    <cellStyle name="Comma 2 3 4" xfId="17" xr:uid="{00000000-0005-0000-0000-000004000000}"/>
    <cellStyle name="Comma 2 4" xfId="13" xr:uid="{00000000-0005-0000-0000-000005000000}"/>
    <cellStyle name="Comma 4 3" xfId="20" xr:uid="{3A0A019C-3066-4F2B-8B22-80FC0381B050}"/>
    <cellStyle name="Comma 6 2" xfId="7" xr:uid="{00000000-0005-0000-0000-000006000000}"/>
    <cellStyle name="Comma 7" xfId="19" xr:uid="{00000000-0005-0000-0000-000007000000}"/>
    <cellStyle name="Currency" xfId="2" builtinId="4"/>
    <cellStyle name="Normal" xfId="0" builtinId="0"/>
    <cellStyle name="Normal 10" xfId="8" xr:uid="{00000000-0005-0000-0000-00000A000000}"/>
    <cellStyle name="Normal 2" xfId="9" xr:uid="{00000000-0005-0000-0000-00000B000000}"/>
    <cellStyle name="Normal 2 2" xfId="5" xr:uid="{00000000-0005-0000-0000-00000C000000}"/>
    <cellStyle name="Normal 2 3" xfId="12" xr:uid="{00000000-0005-0000-0000-00000D000000}"/>
    <cellStyle name="Normal 2 5" xfId="15" xr:uid="{00000000-0005-0000-0000-00000E000000}"/>
    <cellStyle name="Normal 3" xfId="10" xr:uid="{00000000-0005-0000-0000-00000F000000}"/>
    <cellStyle name="Normal 8 3" xfId="4" xr:uid="{00000000-0005-0000-0000-000010000000}"/>
    <cellStyle name="Normal 9 2" xfId="18" xr:uid="{00000000-0005-0000-0000-000011000000}"/>
    <cellStyle name="Percent" xfId="3" builtinId="5"/>
    <cellStyle name="Percent 2" xfId="11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142875</xdr:rowOff>
    </xdr:from>
    <xdr:to>
      <xdr:col>4</xdr:col>
      <xdr:colOff>85725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85725" y="142875"/>
          <a:ext cx="541020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5276"/>
          <a:ext cx="581024" cy="57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5</xdr:row>
      <xdr:rowOff>47625</xdr:rowOff>
    </xdr:from>
    <xdr:to>
      <xdr:col>4</xdr:col>
      <xdr:colOff>104775</xdr:colOff>
      <xdr:row>5</xdr:row>
      <xdr:rowOff>47625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 flipV="1">
          <a:off x="104775" y="1057275"/>
          <a:ext cx="541020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PH"/>
            <a:t>13+</a:t>
          </a:r>
        </a:p>
      </xdr:txBody>
    </xdr:sp>
    <xdr:clientData/>
  </xdr:twoCellAnchor>
  <xdr:twoCellAnchor>
    <xdr:from>
      <xdr:col>1</xdr:col>
      <xdr:colOff>1114425</xdr:colOff>
      <xdr:row>7</xdr:row>
      <xdr:rowOff>171449</xdr:rowOff>
    </xdr:from>
    <xdr:to>
      <xdr:col>1</xdr:col>
      <xdr:colOff>1819275</xdr:colOff>
      <xdr:row>8</xdr:row>
      <xdr:rowOff>171449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81125" y="1628774"/>
          <a:ext cx="7048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142875</xdr:rowOff>
    </xdr:from>
    <xdr:to>
      <xdr:col>4</xdr:col>
      <xdr:colOff>85725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 flipV="1">
          <a:off x="85725" y="142875"/>
          <a:ext cx="6200775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5276"/>
          <a:ext cx="581024" cy="57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5</xdr:row>
      <xdr:rowOff>47625</xdr:rowOff>
    </xdr:from>
    <xdr:to>
      <xdr:col>4</xdr:col>
      <xdr:colOff>104775</xdr:colOff>
      <xdr:row>5</xdr:row>
      <xdr:rowOff>47625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ShapeType="1"/>
        </xdr:cNvSpPr>
      </xdr:nvSpPr>
      <xdr:spPr bwMode="auto">
        <a:xfrm flipV="1">
          <a:off x="104775" y="1057275"/>
          <a:ext cx="6200775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PH"/>
            <a:t>13+</a:t>
          </a:r>
        </a:p>
      </xdr:txBody>
    </xdr:sp>
    <xdr:clientData/>
  </xdr:twoCellAnchor>
  <xdr:twoCellAnchor>
    <xdr:from>
      <xdr:col>1</xdr:col>
      <xdr:colOff>1114425</xdr:colOff>
      <xdr:row>7</xdr:row>
      <xdr:rowOff>171449</xdr:rowOff>
    </xdr:from>
    <xdr:to>
      <xdr:col>1</xdr:col>
      <xdr:colOff>1819275</xdr:colOff>
      <xdr:row>8</xdr:row>
      <xdr:rowOff>171449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381125" y="1628774"/>
          <a:ext cx="7048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16836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5276"/>
          <a:ext cx="581024" cy="57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59055" y="1095375"/>
          <a:ext cx="616836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2051685</xdr:colOff>
      <xdr:row>8</xdr:row>
      <xdr:rowOff>3809</xdr:rowOff>
    </xdr:from>
    <xdr:to>
      <xdr:col>1</xdr:col>
      <xdr:colOff>2552700</xdr:colOff>
      <xdr:row>9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318385" y="1708784"/>
          <a:ext cx="501015" cy="257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5275"/>
          <a:ext cx="67021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2051685</xdr:colOff>
      <xdr:row>8</xdr:row>
      <xdr:rowOff>3809</xdr:rowOff>
    </xdr:from>
    <xdr:to>
      <xdr:col>1</xdr:col>
      <xdr:colOff>2552700</xdr:colOff>
      <xdr:row>9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2326005" y="1687829"/>
          <a:ext cx="501015" cy="255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77833" cy="651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2051685</xdr:colOff>
      <xdr:row>8</xdr:row>
      <xdr:rowOff>3809</xdr:rowOff>
    </xdr:from>
    <xdr:to>
      <xdr:col>1</xdr:col>
      <xdr:colOff>2552700</xdr:colOff>
      <xdr:row>9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SpPr txBox="1"/>
      </xdr:nvSpPr>
      <xdr:spPr>
        <a:xfrm>
          <a:off x="2326005" y="1687829"/>
          <a:ext cx="501015" cy="255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77833" cy="651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2051685</xdr:colOff>
      <xdr:row>8</xdr:row>
      <xdr:rowOff>3809</xdr:rowOff>
    </xdr:from>
    <xdr:to>
      <xdr:col>1</xdr:col>
      <xdr:colOff>2552700</xdr:colOff>
      <xdr:row>9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SpPr txBox="1"/>
      </xdr:nvSpPr>
      <xdr:spPr>
        <a:xfrm>
          <a:off x="2326005" y="1687829"/>
          <a:ext cx="501015" cy="255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77833" cy="651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2051685</xdr:colOff>
      <xdr:row>8</xdr:row>
      <xdr:rowOff>3809</xdr:rowOff>
    </xdr:from>
    <xdr:to>
      <xdr:col>1</xdr:col>
      <xdr:colOff>2552700</xdr:colOff>
      <xdr:row>9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SpPr txBox="1"/>
      </xdr:nvSpPr>
      <xdr:spPr>
        <a:xfrm>
          <a:off x="2326005" y="1687829"/>
          <a:ext cx="501015" cy="255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77833" cy="651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2838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2051685</xdr:colOff>
      <xdr:row>8</xdr:row>
      <xdr:rowOff>3809</xdr:rowOff>
    </xdr:from>
    <xdr:to>
      <xdr:col>1</xdr:col>
      <xdr:colOff>2552700</xdr:colOff>
      <xdr:row>9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SpPr txBox="1"/>
      </xdr:nvSpPr>
      <xdr:spPr>
        <a:xfrm>
          <a:off x="2326005" y="1687829"/>
          <a:ext cx="501015" cy="255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603538</xdr:colOff>
      <xdr:row>4</xdr:row>
      <xdr:rowOff>152399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77833" cy="651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1</xdr:row>
      <xdr:rowOff>57150</xdr:rowOff>
    </xdr:from>
    <xdr:to>
      <xdr:col>6</xdr:col>
      <xdr:colOff>879232</xdr:colOff>
      <xdr:row>2</xdr:row>
      <xdr:rowOff>18825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496" t="8391" r="44529" b="16106"/>
        <a:stretch/>
      </xdr:blipFill>
      <xdr:spPr bwMode="auto">
        <a:xfrm>
          <a:off x="3743325" y="323850"/>
          <a:ext cx="1831732" cy="15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/Desktop/Users/Ernie/AppData/Local/Temp/Equipment/Plant%20and%20Equipment%20Rates%20Hire%20ACEL.xls" TargetMode="External"/><Relationship Id="rId1" Type="http://schemas.openxmlformats.org/officeDocument/2006/relationships/externalLinkPath" Target="/Users/user/Desktop/Users/Ernie/AppData/Local/Temp/Equipment/Plant%20and%20Equipment%20Rates%20Hire%20ACE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nver/Desktop/PEO_DENVER/&#160;/nblb/NCL/swa_NCLBUILDERS.xlsx" TargetMode="External"/><Relationship Id="rId1" Type="http://schemas.openxmlformats.org/officeDocument/2006/relationships/externalLinkPath" Target="/Users/Denver/Desktop/PEO_DENVER/&#160;/nblb/NCL/swa_NCLBUILDER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IP2020\CLUSTER%207%20-%20DONE\POW\Improvement%20of%20Road%20Network%20at%20Gattaran%20Disstrict%20Hospital_8M_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COLOD RENTAL RATES"/>
      <sheetName val="Equipment Rental ACEL"/>
      <sheetName val="ACEL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WA(abd)"/>
      <sheetName val="SWA_C"/>
      <sheetName val="vo1_c"/>
      <sheetName val="vo1_A"/>
      <sheetName val="summary"/>
      <sheetName val="gani"/>
    </sheetNames>
    <sheetDataSet>
      <sheetData sheetId="0" refreshError="1">
        <row r="12">
          <cell r="B12" t="str">
            <v>CONCRETING OF FARM TO MARKET ROAD ZIMINILA</v>
          </cell>
        </row>
        <row r="13">
          <cell r="B13" t="str">
            <v>CAMALANIUGAN, CAGAYAN</v>
          </cell>
        </row>
        <row r="17">
          <cell r="A17" t="str">
            <v>105(1)</v>
          </cell>
          <cell r="B17" t="str">
            <v>Sub Grade Preparation</v>
          </cell>
          <cell r="C17">
            <v>0</v>
          </cell>
          <cell r="D17">
            <v>1075.8</v>
          </cell>
          <cell r="E17" t="str">
            <v>sq.m.</v>
          </cell>
          <cell r="F17">
            <v>102.17</v>
          </cell>
          <cell r="G17">
            <v>109364.91</v>
          </cell>
        </row>
        <row r="18">
          <cell r="A18" t="str">
            <v>200(1)</v>
          </cell>
          <cell r="B18" t="str">
            <v>Aggregate Sub Base Coarse</v>
          </cell>
          <cell r="C18">
            <v>0</v>
          </cell>
          <cell r="D18">
            <v>173.25</v>
          </cell>
          <cell r="E18" t="str">
            <v>sq.m.</v>
          </cell>
          <cell r="G18">
            <v>223636.89</v>
          </cell>
        </row>
        <row r="19">
          <cell r="A19" t="str">
            <v>311(1)C</v>
          </cell>
          <cell r="B19" t="str">
            <v>PCCP</v>
          </cell>
          <cell r="C19">
            <v>0</v>
          </cell>
          <cell r="D19">
            <v>660</v>
          </cell>
          <cell r="E19" t="str">
            <v>sq.m.</v>
          </cell>
          <cell r="G19">
            <v>672973.03</v>
          </cell>
        </row>
        <row r="20">
          <cell r="A20" t="str">
            <v>B.9</v>
          </cell>
          <cell r="B20" t="str">
            <v>Mobilization/ Demobilization</v>
          </cell>
          <cell r="C20">
            <v>0</v>
          </cell>
          <cell r="D20">
            <v>1</v>
          </cell>
          <cell r="E20" t="str">
            <v>l/s</v>
          </cell>
          <cell r="G20">
            <v>25951.88</v>
          </cell>
        </row>
        <row r="21">
          <cell r="A21" t="str">
            <v>B.5</v>
          </cell>
          <cell r="B21" t="str">
            <v>Billboards and Signages</v>
          </cell>
          <cell r="C21">
            <v>0</v>
          </cell>
          <cell r="D21">
            <v>2</v>
          </cell>
          <cell r="E21" t="str">
            <v>each</v>
          </cell>
          <cell r="G21">
            <v>10196.76</v>
          </cell>
        </row>
        <row r="22">
          <cell r="A22" t="str">
            <v>B.7</v>
          </cell>
          <cell r="B22" t="str">
            <v>Occupational Health and Safety</v>
          </cell>
          <cell r="C22">
            <v>0</v>
          </cell>
          <cell r="D22">
            <v>1</v>
          </cell>
          <cell r="E22" t="str">
            <v>l/s</v>
          </cell>
          <cell r="G22">
            <v>28041.09</v>
          </cell>
        </row>
        <row r="23">
          <cell r="A23" t="str">
            <v>A.1.1(8a)</v>
          </cell>
          <cell r="B23" t="str">
            <v>Provisions of Field Office for the Engineer</v>
          </cell>
          <cell r="C23">
            <v>0</v>
          </cell>
          <cell r="D23">
            <v>1.83</v>
          </cell>
          <cell r="E23" t="str">
            <v>mos</v>
          </cell>
          <cell r="G23">
            <v>20992.58</v>
          </cell>
        </row>
        <row r="134">
          <cell r="H134" t="str">
            <v>VINCENT S. TAGUBA</v>
          </cell>
        </row>
        <row r="135">
          <cell r="H135" t="str">
            <v>Asst. Provincial Engineer- Designate</v>
          </cell>
        </row>
      </sheetData>
      <sheetData sheetId="1" refreshError="1"/>
      <sheetData sheetId="2" refreshError="1"/>
      <sheetData sheetId="3" refreshError="1">
        <row r="13">
          <cell r="D13">
            <v>102.17</v>
          </cell>
          <cell r="K13">
            <v>1075.8</v>
          </cell>
        </row>
        <row r="14">
          <cell r="D14">
            <v>1297.32</v>
          </cell>
          <cell r="K14">
            <v>173.25</v>
          </cell>
        </row>
        <row r="15">
          <cell r="D15">
            <v>1024.78</v>
          </cell>
          <cell r="K15">
            <v>660</v>
          </cell>
        </row>
        <row r="16">
          <cell r="D16">
            <v>26082.29</v>
          </cell>
          <cell r="K16">
            <v>1</v>
          </cell>
        </row>
        <row r="17">
          <cell r="D17">
            <v>5124</v>
          </cell>
          <cell r="K17">
            <v>2</v>
          </cell>
        </row>
        <row r="18">
          <cell r="D18">
            <v>28182</v>
          </cell>
          <cell r="K18">
            <v>1</v>
          </cell>
        </row>
        <row r="19">
          <cell r="D19">
            <v>11529</v>
          </cell>
          <cell r="K19">
            <v>1.83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COST"/>
      <sheetName val="DUPA"/>
      <sheetName val="DUPA (2)"/>
      <sheetName val="Calendar days (2)"/>
      <sheetName val="Calendar days"/>
      <sheetName val="ipw_"/>
      <sheetName val="101(3)c2"/>
      <sheetName val="101(4)a3"/>
      <sheetName val="102(2)"/>
      <sheetName val="FCE"/>
      <sheetName val="104(1)"/>
      <sheetName val="105(1)"/>
      <sheetName val="200(1)"/>
      <sheetName val="311"/>
      <sheetName val="101(4)a1"/>
      <sheetName val="103(1)"/>
      <sheetName val="103(1)a_"/>
      <sheetName val="404(1)RCPC"/>
      <sheetName val="404(1)_"/>
      <sheetName val="405(1)RCPC"/>
      <sheetName val="405(1)_RCPC"/>
      <sheetName val="500(1)a3"/>
      <sheetName val="103(1)a_CB"/>
      <sheetName val="103(1)a_masonry"/>
      <sheetName val="506"/>
      <sheetName val="103(1)a_RW"/>
      <sheetName val="404(1)b_RW"/>
      <sheetName val="405(1)_RW"/>
      <sheetName val="405(1)"/>
      <sheetName val="405(1)_"/>
      <sheetName val="103(1)a_BC"/>
      <sheetName val="404(1)_bc"/>
      <sheetName val="405(1)_bc_"/>
      <sheetName val="103(1)a_LD"/>
      <sheetName val="404(1)_LD"/>
      <sheetName val="405(1)_LD"/>
      <sheetName val="404(1)_parking"/>
      <sheetName val="405(1)_parking"/>
      <sheetName val="502(3)a1_CB"/>
      <sheetName val="SPL"/>
      <sheetName val="B.5"/>
      <sheetName val="B.7_cshp"/>
      <sheetName val="mobi"/>
      <sheetName val="A.1.1 (8)"/>
      <sheetName val="ipw_4M"/>
      <sheetName val="102(2)_4M"/>
      <sheetName val="104(1)_4M"/>
      <sheetName val="105(1)_4M"/>
      <sheetName val="200(1)_4M"/>
      <sheetName val="311_4M"/>
      <sheetName val="103(1)a_RW_4M"/>
      <sheetName val="404(1)b_RW_4M"/>
      <sheetName val="405(1)_RW_4M"/>
      <sheetName val="404(1)b_BC"/>
      <sheetName val="405(1)_BC"/>
      <sheetName val="B.5_4M"/>
      <sheetName val="B.7_cshp_4M"/>
      <sheetName val="mobi_4M"/>
      <sheetName val="A.1.1 (8)_4M"/>
      <sheetName val="311 transit"/>
      <sheetName val="FURNISH BOULDERS"/>
      <sheetName val="aggregates_"/>
      <sheetName val="aggregates_item200"/>
      <sheetName val="ACEL 2014"/>
      <sheetName val="ACEL"/>
      <sheetName val="LABOR"/>
      <sheetName val="materials"/>
    </sheetNames>
    <sheetDataSet>
      <sheetData sheetId="0"/>
      <sheetData sheetId="1"/>
      <sheetData sheetId="2"/>
      <sheetData sheetId="3"/>
      <sheetData sheetId="4"/>
      <sheetData sheetId="5">
        <row r="8">
          <cell r="E8" t="str">
            <v>Improvement of Road Network at Gattaran District Hospital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44">
          <cell r="H44">
            <v>555.28</v>
          </cell>
        </row>
        <row r="53">
          <cell r="H53">
            <v>588.78</v>
          </cell>
        </row>
      </sheetData>
      <sheetData sheetId="62"/>
      <sheetData sheetId="63">
        <row r="15">
          <cell r="F15">
            <v>123</v>
          </cell>
        </row>
        <row r="21">
          <cell r="F21">
            <v>1537</v>
          </cell>
        </row>
      </sheetData>
      <sheetData sheetId="64"/>
      <sheetData sheetId="65">
        <row r="4">
          <cell r="C4">
            <v>98.84</v>
          </cell>
        </row>
        <row r="6">
          <cell r="C6">
            <v>81.09</v>
          </cell>
        </row>
        <row r="7">
          <cell r="C7">
            <v>62.38</v>
          </cell>
        </row>
      </sheetData>
      <sheetData sheetId="66">
        <row r="5">
          <cell r="F5">
            <v>260</v>
          </cell>
        </row>
        <row r="16">
          <cell r="F16">
            <v>1200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49"/>
  <sheetViews>
    <sheetView view="pageBreakPreview" topLeftCell="A5" zoomScale="85" zoomScaleNormal="100" zoomScaleSheetLayoutView="85" workbookViewId="0">
      <selection activeCell="D12" sqref="D12:F12"/>
    </sheetView>
  </sheetViews>
  <sheetFormatPr defaultColWidth="9.140625" defaultRowHeight="15.75" x14ac:dyDescent="0.25"/>
  <cols>
    <col min="1" max="1" width="4" style="60" customWidth="1"/>
    <col min="2" max="2" width="43.7109375" style="60" customWidth="1"/>
    <col min="3" max="3" width="3.28515625" style="60" customWidth="1"/>
    <col min="4" max="4" width="42" style="60" customWidth="1"/>
    <col min="5" max="5" width="4.85546875" style="60" customWidth="1"/>
    <col min="6" max="6" width="9.140625" style="60"/>
    <col min="7" max="7" width="21.7109375" style="60" customWidth="1"/>
    <col min="8" max="9" width="9.140625" style="60"/>
    <col min="10" max="10" width="49.28515625" style="60" customWidth="1"/>
    <col min="11" max="12" width="1" style="60" customWidth="1"/>
    <col min="13" max="13" width="28.85546875" style="60" customWidth="1"/>
    <col min="14" max="14" width="23.42578125" style="60" customWidth="1"/>
    <col min="15" max="16384" width="9.140625" style="60"/>
  </cols>
  <sheetData>
    <row r="2" spans="1:13" x14ac:dyDescent="0.25">
      <c r="A2" s="477" t="s">
        <v>37</v>
      </c>
      <c r="B2" s="477"/>
      <c r="C2" s="477"/>
      <c r="D2" s="477"/>
      <c r="E2" s="477"/>
    </row>
    <row r="3" spans="1:13" x14ac:dyDescent="0.25">
      <c r="A3" s="478" t="s">
        <v>38</v>
      </c>
      <c r="B3" s="478"/>
      <c r="C3" s="478"/>
      <c r="D3" s="478"/>
      <c r="E3" s="478"/>
    </row>
    <row r="4" spans="1:13" x14ac:dyDescent="0.25">
      <c r="A4" s="477" t="s">
        <v>247</v>
      </c>
      <c r="B4" s="477"/>
      <c r="C4" s="477"/>
      <c r="D4" s="477"/>
      <c r="E4" s="477"/>
    </row>
    <row r="5" spans="1:13" ht="16.5" x14ac:dyDescent="0.25">
      <c r="A5" s="458" t="s">
        <v>248</v>
      </c>
      <c r="B5" s="458"/>
      <c r="C5" s="458"/>
      <c r="D5" s="458"/>
      <c r="E5" s="458"/>
    </row>
    <row r="6" spans="1:13" ht="16.5" x14ac:dyDescent="0.25">
      <c r="A6" s="61"/>
      <c r="J6" s="62" t="s">
        <v>39</v>
      </c>
      <c r="K6" s="470">
        <v>44356</v>
      </c>
      <c r="L6" s="470"/>
      <c r="M6" s="470"/>
    </row>
    <row r="7" spans="1:13" ht="18.75" x14ac:dyDescent="0.3">
      <c r="A7" s="462" t="s">
        <v>40</v>
      </c>
      <c r="B7" s="462"/>
      <c r="C7" s="462"/>
      <c r="D7" s="462"/>
      <c r="E7" s="462"/>
      <c r="F7" s="63"/>
      <c r="G7" s="63"/>
    </row>
    <row r="8" spans="1:13" x14ac:dyDescent="0.25">
      <c r="A8" s="63"/>
      <c r="B8" s="63"/>
      <c r="C8" s="63"/>
      <c r="D8" s="63"/>
      <c r="E8" s="63"/>
      <c r="F8" s="64"/>
      <c r="G8" s="64"/>
    </row>
    <row r="9" spans="1:13" x14ac:dyDescent="0.25">
      <c r="A9" s="64"/>
      <c r="B9" s="464">
        <v>45117</v>
      </c>
      <c r="C9" s="464"/>
      <c r="D9" s="464"/>
      <c r="E9" s="64"/>
      <c r="F9" s="65" t="s">
        <v>41</v>
      </c>
      <c r="G9" s="63" t="s">
        <v>42</v>
      </c>
      <c r="I9" s="60" t="s">
        <v>43</v>
      </c>
    </row>
    <row r="10" spans="1:13" x14ac:dyDescent="0.25">
      <c r="A10" s="465" t="s">
        <v>44</v>
      </c>
      <c r="B10" s="465"/>
      <c r="C10" s="66" t="s">
        <v>45</v>
      </c>
      <c r="D10" s="466" t="str">
        <f>SWA!B4</f>
        <v>Construction of Abra-Baracaoit Flat Slab Bridge</v>
      </c>
      <c r="E10" s="467"/>
      <c r="F10" s="65" t="s">
        <v>41</v>
      </c>
      <c r="G10" s="63" t="s">
        <v>42</v>
      </c>
      <c r="H10" s="63"/>
      <c r="I10" s="63" t="s">
        <v>46</v>
      </c>
      <c r="J10" s="63"/>
      <c r="K10" s="63"/>
    </row>
    <row r="11" spans="1:13" ht="27" customHeight="1" x14ac:dyDescent="0.25">
      <c r="A11" s="67"/>
      <c r="B11" s="67"/>
      <c r="C11" s="66"/>
      <c r="D11" s="468"/>
      <c r="E11" s="469"/>
      <c r="F11" s="65" t="s">
        <v>41</v>
      </c>
      <c r="G11" s="63" t="s">
        <v>42</v>
      </c>
      <c r="H11" s="63"/>
      <c r="I11" s="63"/>
      <c r="J11" s="63"/>
      <c r="K11" s="63"/>
    </row>
    <row r="12" spans="1:13" ht="17.25" customHeight="1" x14ac:dyDescent="0.25">
      <c r="A12" s="465" t="s">
        <v>47</v>
      </c>
      <c r="B12" s="465"/>
      <c r="C12" s="66" t="s">
        <v>45</v>
      </c>
      <c r="D12" s="68" t="s">
        <v>108</v>
      </c>
      <c r="E12" s="68"/>
      <c r="F12" s="65" t="s">
        <v>41</v>
      </c>
      <c r="G12" s="63" t="s">
        <v>42</v>
      </c>
      <c r="J12" s="60">
        <f>D16-D15</f>
        <v>586</v>
      </c>
    </row>
    <row r="13" spans="1:13" ht="16.5" thickBot="1" x14ac:dyDescent="0.3">
      <c r="A13" s="67" t="s">
        <v>48</v>
      </c>
      <c r="B13" s="67"/>
      <c r="C13" s="66" t="s">
        <v>45</v>
      </c>
      <c r="D13" s="69">
        <f>SWA!G43</f>
        <v>19963540.739999998</v>
      </c>
      <c r="E13" s="68"/>
      <c r="F13" s="65" t="s">
        <v>41</v>
      </c>
      <c r="G13" s="63"/>
    </row>
    <row r="14" spans="1:13" ht="16.5" x14ac:dyDescent="0.25">
      <c r="A14" s="465" t="s">
        <v>31</v>
      </c>
      <c r="B14" s="465"/>
      <c r="C14" s="66" t="s">
        <v>45</v>
      </c>
      <c r="D14" s="70" t="s">
        <v>190</v>
      </c>
      <c r="E14" s="71"/>
      <c r="F14" s="65" t="s">
        <v>41</v>
      </c>
      <c r="G14" s="63" t="s">
        <v>42</v>
      </c>
      <c r="H14" s="72"/>
      <c r="I14" s="73">
        <f>+D24-D17</f>
        <v>267</v>
      </c>
      <c r="J14" s="74" t="s">
        <v>49</v>
      </c>
      <c r="K14" s="72"/>
    </row>
    <row r="15" spans="1:13" x14ac:dyDescent="0.25">
      <c r="A15" s="75" t="s">
        <v>50</v>
      </c>
      <c r="B15" s="76" t="s">
        <v>51</v>
      </c>
      <c r="C15" s="66" t="s">
        <v>45</v>
      </c>
      <c r="D15" s="77">
        <f>D18+10-1</f>
        <v>44531</v>
      </c>
      <c r="E15" s="78" t="s">
        <v>52</v>
      </c>
      <c r="F15" s="79"/>
      <c r="G15" s="60" t="s">
        <v>53</v>
      </c>
      <c r="H15" s="72"/>
      <c r="I15" s="471" t="str">
        <f>IF(D24&gt;D17,"Beyond the Contract Duration!!!!!!!","Within Contract")</f>
        <v>Beyond the Contract Duration!!!!!!!</v>
      </c>
      <c r="J15" s="472"/>
      <c r="K15" s="72"/>
    </row>
    <row r="16" spans="1:13" ht="16.5" thickBot="1" x14ac:dyDescent="0.3">
      <c r="A16" s="75"/>
      <c r="B16" s="76"/>
      <c r="C16" s="66"/>
      <c r="D16" s="80">
        <f>+B9</f>
        <v>45117</v>
      </c>
      <c r="E16" s="81"/>
      <c r="F16" s="82"/>
      <c r="G16" s="60" t="s">
        <v>53</v>
      </c>
      <c r="H16" s="72"/>
      <c r="I16" s="473"/>
      <c r="J16" s="474"/>
      <c r="K16" s="72"/>
    </row>
    <row r="17" spans="1:13" x14ac:dyDescent="0.25">
      <c r="A17" s="75" t="s">
        <v>54</v>
      </c>
      <c r="B17" s="76" t="s">
        <v>55</v>
      </c>
      <c r="C17" s="66" t="s">
        <v>45</v>
      </c>
      <c r="D17" s="83">
        <v>320</v>
      </c>
      <c r="E17" s="84"/>
      <c r="F17" s="65" t="s">
        <v>41</v>
      </c>
      <c r="G17" s="63" t="s">
        <v>42</v>
      </c>
      <c r="H17" s="72"/>
      <c r="I17" s="72"/>
      <c r="J17" s="72"/>
      <c r="K17" s="72"/>
    </row>
    <row r="18" spans="1:13" x14ac:dyDescent="0.25">
      <c r="A18" s="75" t="s">
        <v>56</v>
      </c>
      <c r="B18" s="76" t="s">
        <v>57</v>
      </c>
      <c r="C18" s="66" t="s">
        <v>45</v>
      </c>
      <c r="D18" s="77">
        <v>44522</v>
      </c>
      <c r="E18" s="71"/>
      <c r="F18" s="79"/>
      <c r="G18" s="60" t="s">
        <v>53</v>
      </c>
      <c r="H18" s="72"/>
      <c r="I18" s="72"/>
      <c r="J18" s="85">
        <f>+D15</f>
        <v>44531</v>
      </c>
      <c r="K18" s="85">
        <v>42583</v>
      </c>
      <c r="L18" s="60">
        <f>+K18-J18</f>
        <v>-1948</v>
      </c>
    </row>
    <row r="19" spans="1:13" x14ac:dyDescent="0.25">
      <c r="A19" s="75" t="s">
        <v>58</v>
      </c>
      <c r="B19" s="76" t="s">
        <v>59</v>
      </c>
      <c r="C19" s="66" t="s">
        <v>45</v>
      </c>
      <c r="D19" s="77">
        <f>+D15+D17-1</f>
        <v>44850</v>
      </c>
      <c r="E19" s="71"/>
      <c r="F19" s="79"/>
      <c r="G19" s="60" t="s">
        <v>53</v>
      </c>
      <c r="H19" s="72"/>
      <c r="I19" s="72"/>
      <c r="J19" s="72"/>
      <c r="K19" s="72">
        <v>50.72</v>
      </c>
      <c r="L19" s="60">
        <v>19</v>
      </c>
    </row>
    <row r="20" spans="1:13" x14ac:dyDescent="0.25">
      <c r="A20" s="75" t="s">
        <v>60</v>
      </c>
      <c r="B20" s="76" t="s">
        <v>79</v>
      </c>
      <c r="C20" s="66" t="s">
        <v>45</v>
      </c>
      <c r="D20" s="71">
        <f>15+25+18+20+24+30</f>
        <v>132</v>
      </c>
      <c r="E20" s="71"/>
      <c r="F20" s="65" t="s">
        <v>41</v>
      </c>
      <c r="G20" s="63" t="s">
        <v>42</v>
      </c>
      <c r="H20" s="72"/>
      <c r="I20" s="72"/>
      <c r="J20" s="72"/>
      <c r="K20" s="72"/>
      <c r="L20" s="60">
        <f>+L18-L19</f>
        <v>-1967</v>
      </c>
    </row>
    <row r="21" spans="1:13" x14ac:dyDescent="0.25">
      <c r="A21" s="75" t="s">
        <v>61</v>
      </c>
      <c r="B21" s="76" t="s">
        <v>78</v>
      </c>
      <c r="C21" s="66" t="s">
        <v>45</v>
      </c>
      <c r="D21" s="71">
        <v>135</v>
      </c>
      <c r="E21" s="71"/>
      <c r="F21" s="65" t="s">
        <v>41</v>
      </c>
      <c r="G21" s="63" t="s">
        <v>42</v>
      </c>
      <c r="H21" s="72"/>
      <c r="I21" s="72"/>
      <c r="J21" s="85">
        <v>42602</v>
      </c>
      <c r="K21" s="85">
        <v>42633</v>
      </c>
      <c r="L21" s="60">
        <f>+K21-J21</f>
        <v>31</v>
      </c>
    </row>
    <row r="22" spans="1:13" x14ac:dyDescent="0.25">
      <c r="A22" s="75" t="s">
        <v>62</v>
      </c>
      <c r="B22" s="76" t="s">
        <v>63</v>
      </c>
      <c r="C22" s="66" t="s">
        <v>45</v>
      </c>
      <c r="D22" s="475">
        <f>+SUM(D20:D21)+D17</f>
        <v>587</v>
      </c>
      <c r="E22" s="476"/>
      <c r="F22" s="79"/>
      <c r="G22" s="60" t="s">
        <v>53</v>
      </c>
      <c r="H22" s="72"/>
      <c r="I22" s="72"/>
      <c r="J22" s="72"/>
      <c r="K22" s="72"/>
      <c r="M22" s="86">
        <f>+D24-D22</f>
        <v>0</v>
      </c>
    </row>
    <row r="23" spans="1:13" x14ac:dyDescent="0.25">
      <c r="A23" s="75" t="s">
        <v>64</v>
      </c>
      <c r="B23" s="76" t="s">
        <v>65</v>
      </c>
      <c r="C23" s="66" t="s">
        <v>45</v>
      </c>
      <c r="D23" s="77">
        <f>+D19+D21+SUM(D20:D20)</f>
        <v>45117</v>
      </c>
      <c r="E23" s="71"/>
      <c r="F23" s="79"/>
      <c r="G23" s="60" t="s">
        <v>53</v>
      </c>
      <c r="H23" s="72"/>
      <c r="I23" s="72"/>
      <c r="J23" s="72"/>
      <c r="K23" s="72"/>
    </row>
    <row r="24" spans="1:13" x14ac:dyDescent="0.25">
      <c r="A24" s="75" t="s">
        <v>66</v>
      </c>
      <c r="B24" s="76" t="s">
        <v>67</v>
      </c>
      <c r="C24" s="66" t="s">
        <v>45</v>
      </c>
      <c r="D24" s="87">
        <f>+D16-D15+1</f>
        <v>587</v>
      </c>
      <c r="E24" s="71"/>
      <c r="F24" s="79"/>
      <c r="G24" s="60" t="s">
        <v>53</v>
      </c>
      <c r="H24" s="72"/>
      <c r="I24" s="88"/>
      <c r="J24" s="72"/>
      <c r="K24" s="72"/>
    </row>
    <row r="25" spans="1:13" x14ac:dyDescent="0.25">
      <c r="A25" s="75" t="s">
        <v>68</v>
      </c>
      <c r="B25" s="76" t="s">
        <v>69</v>
      </c>
      <c r="C25" s="66" t="s">
        <v>45</v>
      </c>
      <c r="D25" s="89">
        <f ca="1">SWA!L43</f>
        <v>0.57068999999999992</v>
      </c>
      <c r="E25" s="71"/>
      <c r="F25" s="65" t="s">
        <v>41</v>
      </c>
      <c r="G25" s="63" t="s">
        <v>42</v>
      </c>
      <c r="H25" s="72"/>
      <c r="I25" s="72"/>
      <c r="J25" s="72"/>
      <c r="K25" s="72"/>
    </row>
    <row r="26" spans="1:13" x14ac:dyDescent="0.25">
      <c r="A26" s="75" t="s">
        <v>70</v>
      </c>
      <c r="B26" s="76" t="s">
        <v>71</v>
      </c>
      <c r="C26" s="66" t="s">
        <v>45</v>
      </c>
      <c r="D26" s="312">
        <v>1</v>
      </c>
      <c r="E26" s="71"/>
      <c r="F26" s="79"/>
      <c r="G26" s="60" t="s">
        <v>53</v>
      </c>
      <c r="H26" s="97"/>
      <c r="I26" s="72"/>
      <c r="J26" s="60">
        <f>(((SIN((((180*((D24-D21))/D22)-90)*(3.14159265358979/180)))+1)*50)/100)</f>
        <v>0.87507323080702126</v>
      </c>
      <c r="K26" s="72"/>
    </row>
    <row r="27" spans="1:13" x14ac:dyDescent="0.25">
      <c r="A27" s="75" t="s">
        <v>72</v>
      </c>
      <c r="B27" s="76" t="s">
        <v>73</v>
      </c>
      <c r="C27" s="66" t="s">
        <v>45</v>
      </c>
      <c r="D27" s="90">
        <f ca="1">D25-D26</f>
        <v>-0.42931000000000008</v>
      </c>
      <c r="E27" s="84"/>
      <c r="F27" s="79"/>
      <c r="G27" s="60" t="s">
        <v>53</v>
      </c>
      <c r="H27" s="72"/>
      <c r="I27" s="72"/>
      <c r="J27" s="72"/>
      <c r="K27" s="72"/>
    </row>
    <row r="28" spans="1:13" x14ac:dyDescent="0.25">
      <c r="A28" s="75" t="s">
        <v>74</v>
      </c>
      <c r="B28" s="76" t="s">
        <v>75</v>
      </c>
      <c r="C28" s="66" t="s">
        <v>45</v>
      </c>
      <c r="D28" s="84"/>
      <c r="E28" s="84"/>
      <c r="F28" s="65" t="s">
        <v>41</v>
      </c>
      <c r="G28" s="63" t="s">
        <v>42</v>
      </c>
      <c r="H28" s="72"/>
      <c r="I28" s="72"/>
      <c r="J28" s="91">
        <f ca="1">+D25-100%</f>
        <v>-0.42931000000000008</v>
      </c>
      <c r="K28" s="72"/>
    </row>
    <row r="29" spans="1:13" x14ac:dyDescent="0.25">
      <c r="A29" s="75"/>
      <c r="D29" s="463"/>
      <c r="E29" s="463"/>
      <c r="J29" s="60">
        <f>100-9.55</f>
        <v>90.45</v>
      </c>
    </row>
    <row r="30" spans="1:13" x14ac:dyDescent="0.25">
      <c r="M30" s="60">
        <f>100-69.39</f>
        <v>30.61</v>
      </c>
    </row>
    <row r="31" spans="1:13" x14ac:dyDescent="0.25">
      <c r="A31" s="60" t="s">
        <v>27</v>
      </c>
      <c r="J31" s="85">
        <v>42200</v>
      </c>
      <c r="K31" s="60">
        <f>+J31-D15</f>
        <v>-2331</v>
      </c>
    </row>
    <row r="33" spans="2:13" x14ac:dyDescent="0.25">
      <c r="K33" s="60">
        <f>649-120</f>
        <v>529</v>
      </c>
    </row>
    <row r="34" spans="2:13" x14ac:dyDescent="0.25">
      <c r="B34" s="63" t="s">
        <v>29</v>
      </c>
      <c r="D34" s="63"/>
      <c r="E34" s="63"/>
      <c r="F34" s="63"/>
      <c r="G34" s="63"/>
    </row>
    <row r="35" spans="2:13" x14ac:dyDescent="0.25">
      <c r="B35" s="60" t="s">
        <v>76</v>
      </c>
    </row>
    <row r="38" spans="2:13" x14ac:dyDescent="0.25">
      <c r="B38" s="63"/>
      <c r="K38" s="92">
        <v>1283860.56</v>
      </c>
    </row>
    <row r="39" spans="2:13" x14ac:dyDescent="0.25">
      <c r="J39" s="93" t="s">
        <v>77</v>
      </c>
      <c r="K39" s="92">
        <f ca="1">-1*(((K38*0.01*D27))/10)*(D24-D17)</f>
        <v>147163.50526263122</v>
      </c>
      <c r="M39" s="94">
        <f ca="1">((((1/100)*(D27*D13))*-1)/10)*(D24-D22)</f>
        <v>0</v>
      </c>
    </row>
    <row r="40" spans="2:13" x14ac:dyDescent="0.25">
      <c r="K40" s="92"/>
    </row>
    <row r="41" spans="2:13" x14ac:dyDescent="0.25">
      <c r="K41" s="92"/>
    </row>
    <row r="42" spans="2:13" x14ac:dyDescent="0.25">
      <c r="K42" s="92"/>
    </row>
    <row r="46" spans="2:13" x14ac:dyDescent="0.25">
      <c r="J46" s="95">
        <v>42460</v>
      </c>
    </row>
    <row r="47" spans="2:13" x14ac:dyDescent="0.25">
      <c r="J47" s="60">
        <f>180+105</f>
        <v>285</v>
      </c>
    </row>
    <row r="49" spans="10:10" x14ac:dyDescent="0.25">
      <c r="J49" s="95">
        <f>+J46+J47</f>
        <v>42745</v>
      </c>
    </row>
  </sheetData>
  <mergeCells count="14">
    <mergeCell ref="K6:M6"/>
    <mergeCell ref="A7:E7"/>
    <mergeCell ref="I15:J16"/>
    <mergeCell ref="D22:E22"/>
    <mergeCell ref="A2:E2"/>
    <mergeCell ref="A3:E3"/>
    <mergeCell ref="A4:E4"/>
    <mergeCell ref="A5:E5"/>
    <mergeCell ref="D29:E29"/>
    <mergeCell ref="B9:D9"/>
    <mergeCell ref="A10:B10"/>
    <mergeCell ref="A12:B12"/>
    <mergeCell ref="A14:B14"/>
    <mergeCell ref="D10:E11"/>
  </mergeCells>
  <pageMargins left="0.70866141732283472" right="0.70866141732283472" top="0.74803149606299213" bottom="0.74803149606299213" header="0.31496062992125984" footer="0.31496062992125984"/>
  <pageSetup paperSize="10000"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M49"/>
  <sheetViews>
    <sheetView view="pageBreakPreview" topLeftCell="A13" zoomScale="85" zoomScaleNormal="100" zoomScaleSheetLayoutView="85" workbookViewId="0">
      <selection activeCell="D12" sqref="D12:F12"/>
    </sheetView>
  </sheetViews>
  <sheetFormatPr defaultColWidth="9.140625" defaultRowHeight="15.75" x14ac:dyDescent="0.25"/>
  <cols>
    <col min="1" max="1" width="4" style="60" customWidth="1"/>
    <col min="2" max="2" width="43.7109375" style="60" customWidth="1"/>
    <col min="3" max="3" width="3.28515625" style="60" customWidth="1"/>
    <col min="4" max="4" width="42" style="60" customWidth="1"/>
    <col min="5" max="5" width="4.85546875" style="60" customWidth="1"/>
    <col min="6" max="6" width="9.140625" style="60"/>
    <col min="7" max="7" width="21.7109375" style="60" customWidth="1"/>
    <col min="8" max="9" width="9.140625" style="60"/>
    <col min="10" max="10" width="49.28515625" style="60" customWidth="1"/>
    <col min="11" max="12" width="1" style="60" customWidth="1"/>
    <col min="13" max="13" width="28.85546875" style="60" customWidth="1"/>
    <col min="14" max="14" width="23.42578125" style="60" customWidth="1"/>
    <col min="15" max="16384" width="9.140625" style="60"/>
  </cols>
  <sheetData>
    <row r="2" spans="1:13" x14ac:dyDescent="0.25">
      <c r="A2" s="477" t="s">
        <v>37</v>
      </c>
      <c r="B2" s="477"/>
      <c r="C2" s="477"/>
      <c r="D2" s="477"/>
      <c r="E2" s="477"/>
    </row>
    <row r="3" spans="1:13" x14ac:dyDescent="0.25">
      <c r="A3" s="478" t="s">
        <v>38</v>
      </c>
      <c r="B3" s="478"/>
      <c r="C3" s="478"/>
      <c r="D3" s="478"/>
      <c r="E3" s="478"/>
    </row>
    <row r="4" spans="1:13" x14ac:dyDescent="0.25">
      <c r="A4" s="477" t="s">
        <v>247</v>
      </c>
      <c r="B4" s="477"/>
      <c r="C4" s="477"/>
      <c r="D4" s="477"/>
      <c r="E4" s="477"/>
    </row>
    <row r="5" spans="1:13" ht="16.5" x14ac:dyDescent="0.25">
      <c r="A5" s="458" t="s">
        <v>248</v>
      </c>
      <c r="B5" s="458"/>
      <c r="C5" s="458"/>
      <c r="D5" s="458"/>
      <c r="E5" s="458"/>
    </row>
    <row r="6" spans="1:13" ht="16.5" x14ac:dyDescent="0.25">
      <c r="A6" s="61"/>
      <c r="J6" s="62" t="s">
        <v>39</v>
      </c>
      <c r="K6" s="470">
        <v>44356</v>
      </c>
      <c r="L6" s="470"/>
      <c r="M6" s="470"/>
    </row>
    <row r="7" spans="1:13" ht="18.75" x14ac:dyDescent="0.3">
      <c r="A7" s="462" t="s">
        <v>40</v>
      </c>
      <c r="B7" s="462"/>
      <c r="C7" s="462"/>
      <c r="D7" s="462"/>
      <c r="E7" s="462"/>
      <c r="F7" s="63"/>
      <c r="G7" s="63"/>
    </row>
    <row r="8" spans="1:13" x14ac:dyDescent="0.25">
      <c r="A8" s="63"/>
      <c r="B8" s="63"/>
      <c r="C8" s="63"/>
      <c r="D8" s="63"/>
      <c r="E8" s="63"/>
      <c r="F8" s="64"/>
      <c r="G8" s="64"/>
    </row>
    <row r="9" spans="1:13" x14ac:dyDescent="0.25">
      <c r="A9" s="64"/>
      <c r="B9" s="464">
        <f ca="1">TODAY()</f>
        <v>46183</v>
      </c>
      <c r="C9" s="464"/>
      <c r="D9" s="464"/>
      <c r="E9" s="64"/>
      <c r="F9" s="65" t="s">
        <v>41</v>
      </c>
      <c r="G9" s="63" t="s">
        <v>42</v>
      </c>
      <c r="I9" s="60" t="s">
        <v>43</v>
      </c>
    </row>
    <row r="10" spans="1:13" x14ac:dyDescent="0.25">
      <c r="A10" s="465" t="s">
        <v>44</v>
      </c>
      <c r="B10" s="465"/>
      <c r="C10" s="66" t="s">
        <v>45</v>
      </c>
      <c r="D10" s="466" t="str">
        <f>SWA!B4</f>
        <v>Construction of Abra-Baracaoit Flat Slab Bridge</v>
      </c>
      <c r="E10" s="467"/>
      <c r="F10" s="65" t="s">
        <v>41</v>
      </c>
      <c r="G10" s="63" t="s">
        <v>42</v>
      </c>
      <c r="H10" s="63"/>
      <c r="I10" s="63" t="s">
        <v>46</v>
      </c>
      <c r="J10" s="63"/>
      <c r="K10" s="63"/>
    </row>
    <row r="11" spans="1:13" ht="27" customHeight="1" x14ac:dyDescent="0.25">
      <c r="A11" s="67"/>
      <c r="B11" s="67"/>
      <c r="C11" s="66"/>
      <c r="D11" s="468"/>
      <c r="E11" s="469"/>
      <c r="F11" s="65" t="s">
        <v>41</v>
      </c>
      <c r="G11" s="63" t="s">
        <v>42</v>
      </c>
      <c r="H11" s="63"/>
      <c r="I11" s="63"/>
      <c r="J11" s="63"/>
      <c r="K11" s="63"/>
    </row>
    <row r="12" spans="1:13" ht="17.25" customHeight="1" x14ac:dyDescent="0.25">
      <c r="A12" s="465" t="s">
        <v>47</v>
      </c>
      <c r="B12" s="465"/>
      <c r="C12" s="66" t="s">
        <v>45</v>
      </c>
      <c r="D12" s="68" t="s">
        <v>108</v>
      </c>
      <c r="E12" s="68"/>
      <c r="F12" s="65" t="s">
        <v>41</v>
      </c>
      <c r="G12" s="63" t="s">
        <v>42</v>
      </c>
      <c r="J12" s="60">
        <f ca="1">D16-D15</f>
        <v>1652</v>
      </c>
    </row>
    <row r="13" spans="1:13" ht="16.5" thickBot="1" x14ac:dyDescent="0.3">
      <c r="A13" s="67" t="s">
        <v>48</v>
      </c>
      <c r="B13" s="67"/>
      <c r="C13" s="66" t="s">
        <v>45</v>
      </c>
      <c r="D13" s="69">
        <f>SWA!G43</f>
        <v>19963540.739999998</v>
      </c>
      <c r="E13" s="68"/>
      <c r="F13" s="65" t="s">
        <v>41</v>
      </c>
      <c r="G13" s="63"/>
    </row>
    <row r="14" spans="1:13" ht="16.5" x14ac:dyDescent="0.25">
      <c r="A14" s="465" t="s">
        <v>31</v>
      </c>
      <c r="B14" s="465"/>
      <c r="C14" s="66" t="s">
        <v>45</v>
      </c>
      <c r="D14" s="70" t="s">
        <v>190</v>
      </c>
      <c r="E14" s="71"/>
      <c r="F14" s="65" t="s">
        <v>41</v>
      </c>
      <c r="G14" s="63" t="s">
        <v>42</v>
      </c>
      <c r="H14" s="72"/>
      <c r="I14" s="73">
        <f ca="1">+D24-D17</f>
        <v>1333</v>
      </c>
      <c r="J14" s="74" t="s">
        <v>49</v>
      </c>
      <c r="K14" s="72"/>
    </row>
    <row r="15" spans="1:13" x14ac:dyDescent="0.25">
      <c r="A15" s="75" t="s">
        <v>50</v>
      </c>
      <c r="B15" s="76" t="s">
        <v>51</v>
      </c>
      <c r="C15" s="66" t="s">
        <v>45</v>
      </c>
      <c r="D15" s="77">
        <f>D18+10-1</f>
        <v>44531</v>
      </c>
      <c r="E15" s="78" t="s">
        <v>52</v>
      </c>
      <c r="F15" s="79"/>
      <c r="G15" s="60" t="s">
        <v>53</v>
      </c>
      <c r="H15" s="72"/>
      <c r="I15" s="471" t="str">
        <f ca="1">IF(D24&gt;D17,"Beyond the Contract Duration!!!!!!!","Within Contract")</f>
        <v>Beyond the Contract Duration!!!!!!!</v>
      </c>
      <c r="J15" s="472"/>
      <c r="K15" s="72"/>
    </row>
    <row r="16" spans="1:13" ht="16.5" thickBot="1" x14ac:dyDescent="0.3">
      <c r="A16" s="75"/>
      <c r="B16" s="76"/>
      <c r="C16" s="66"/>
      <c r="D16" s="80">
        <f ca="1">+B9</f>
        <v>46183</v>
      </c>
      <c r="E16" s="81"/>
      <c r="F16" s="82"/>
      <c r="G16" s="60" t="s">
        <v>53</v>
      </c>
      <c r="H16" s="72"/>
      <c r="I16" s="473"/>
      <c r="J16" s="474"/>
      <c r="K16" s="72"/>
    </row>
    <row r="17" spans="1:13" x14ac:dyDescent="0.25">
      <c r="A17" s="75" t="s">
        <v>54</v>
      </c>
      <c r="B17" s="76" t="s">
        <v>55</v>
      </c>
      <c r="C17" s="66" t="s">
        <v>45</v>
      </c>
      <c r="D17" s="83">
        <v>320</v>
      </c>
      <c r="E17" s="84"/>
      <c r="F17" s="65" t="s">
        <v>41</v>
      </c>
      <c r="G17" s="63" t="s">
        <v>42</v>
      </c>
      <c r="H17" s="72"/>
      <c r="I17" s="72"/>
      <c r="J17" s="72"/>
      <c r="K17" s="72"/>
    </row>
    <row r="18" spans="1:13" x14ac:dyDescent="0.25">
      <c r="A18" s="75" t="s">
        <v>56</v>
      </c>
      <c r="B18" s="76" t="s">
        <v>57</v>
      </c>
      <c r="C18" s="66" t="s">
        <v>45</v>
      </c>
      <c r="D18" s="77">
        <v>44522</v>
      </c>
      <c r="E18" s="71"/>
      <c r="F18" s="79"/>
      <c r="G18" s="60" t="s">
        <v>53</v>
      </c>
      <c r="H18" s="72"/>
      <c r="I18" s="72"/>
      <c r="J18" s="85">
        <f>+D15</f>
        <v>44531</v>
      </c>
      <c r="K18" s="85">
        <v>42583</v>
      </c>
      <c r="L18" s="60">
        <f>+K18-J18</f>
        <v>-1948</v>
      </c>
    </row>
    <row r="19" spans="1:13" x14ac:dyDescent="0.25">
      <c r="A19" s="75" t="s">
        <v>58</v>
      </c>
      <c r="B19" s="76" t="s">
        <v>59</v>
      </c>
      <c r="C19" s="66" t="s">
        <v>45</v>
      </c>
      <c r="D19" s="77">
        <f>+D15+D17-1</f>
        <v>44850</v>
      </c>
      <c r="E19" s="71"/>
      <c r="F19" s="79"/>
      <c r="G19" s="60" t="s">
        <v>53</v>
      </c>
      <c r="H19" s="72"/>
      <c r="I19" s="72"/>
      <c r="J19" s="72"/>
      <c r="K19" s="72">
        <v>50.72</v>
      </c>
      <c r="L19" s="60">
        <v>19</v>
      </c>
    </row>
    <row r="20" spans="1:13" x14ac:dyDescent="0.25">
      <c r="A20" s="75" t="s">
        <v>60</v>
      </c>
      <c r="B20" s="76" t="s">
        <v>79</v>
      </c>
      <c r="C20" s="66" t="s">
        <v>45</v>
      </c>
      <c r="D20" s="71">
        <f>15+25+18+20+24+30</f>
        <v>132</v>
      </c>
      <c r="E20" s="71"/>
      <c r="F20" s="65" t="s">
        <v>41</v>
      </c>
      <c r="G20" s="63" t="s">
        <v>42</v>
      </c>
      <c r="H20" s="72"/>
      <c r="I20" s="72"/>
      <c r="J20" s="72"/>
      <c r="K20" s="72"/>
      <c r="L20" s="60">
        <f>+L18-L19</f>
        <v>-1967</v>
      </c>
    </row>
    <row r="21" spans="1:13" x14ac:dyDescent="0.25">
      <c r="A21" s="75" t="s">
        <v>61</v>
      </c>
      <c r="B21" s="76" t="s">
        <v>78</v>
      </c>
      <c r="C21" s="66" t="s">
        <v>45</v>
      </c>
      <c r="D21" s="71">
        <v>135</v>
      </c>
      <c r="E21" s="71"/>
      <c r="F21" s="65" t="s">
        <v>41</v>
      </c>
      <c r="G21" s="63" t="s">
        <v>42</v>
      </c>
      <c r="H21" s="72"/>
      <c r="I21" s="72"/>
      <c r="J21" s="85">
        <v>42602</v>
      </c>
      <c r="K21" s="85">
        <v>42633</v>
      </c>
      <c r="L21" s="60">
        <f>+K21-J21</f>
        <v>31</v>
      </c>
    </row>
    <row r="22" spans="1:13" x14ac:dyDescent="0.25">
      <c r="A22" s="75" t="s">
        <v>62</v>
      </c>
      <c r="B22" s="76" t="s">
        <v>63</v>
      </c>
      <c r="C22" s="66" t="s">
        <v>45</v>
      </c>
      <c r="D22" s="475">
        <f>+SUM(D20:D21)+D17</f>
        <v>587</v>
      </c>
      <c r="E22" s="476"/>
      <c r="F22" s="79"/>
      <c r="G22" s="60" t="s">
        <v>53</v>
      </c>
      <c r="H22" s="72"/>
      <c r="I22" s="72"/>
      <c r="J22" s="72"/>
      <c r="K22" s="72"/>
      <c r="M22" s="86">
        <f ca="1">+D24-D22</f>
        <v>1066</v>
      </c>
    </row>
    <row r="23" spans="1:13" x14ac:dyDescent="0.25">
      <c r="A23" s="75" t="s">
        <v>64</v>
      </c>
      <c r="B23" s="76" t="s">
        <v>65</v>
      </c>
      <c r="C23" s="66" t="s">
        <v>45</v>
      </c>
      <c r="D23" s="77">
        <f>+D19+D21+SUM(D20:D20)</f>
        <v>45117</v>
      </c>
      <c r="E23" s="71"/>
      <c r="F23" s="79"/>
      <c r="G23" s="60" t="s">
        <v>53</v>
      </c>
      <c r="H23" s="72"/>
      <c r="I23" s="72"/>
      <c r="J23" s="72"/>
      <c r="K23" s="72"/>
    </row>
    <row r="24" spans="1:13" x14ac:dyDescent="0.25">
      <c r="A24" s="75" t="s">
        <v>66</v>
      </c>
      <c r="B24" s="76" t="s">
        <v>67</v>
      </c>
      <c r="C24" s="66" t="s">
        <v>45</v>
      </c>
      <c r="D24" s="87">
        <f ca="1">+D16-D15+1</f>
        <v>1653</v>
      </c>
      <c r="E24" s="71"/>
      <c r="F24" s="79"/>
      <c r="G24" s="60" t="s">
        <v>53</v>
      </c>
      <c r="H24" s="72"/>
      <c r="I24" s="88"/>
      <c r="J24" s="72"/>
      <c r="K24" s="72"/>
    </row>
    <row r="25" spans="1:13" x14ac:dyDescent="0.25">
      <c r="A25" s="75" t="s">
        <v>68</v>
      </c>
      <c r="B25" s="76" t="s">
        <v>69</v>
      </c>
      <c r="C25" s="66" t="s">
        <v>45</v>
      </c>
      <c r="D25" s="89" t="e">
        <f>#REF!</f>
        <v>#REF!</v>
      </c>
      <c r="E25" s="71"/>
      <c r="F25" s="65" t="s">
        <v>41</v>
      </c>
      <c r="G25" s="63" t="s">
        <v>42</v>
      </c>
      <c r="H25" s="72"/>
      <c r="I25" s="72"/>
      <c r="J25" s="72"/>
      <c r="K25" s="72"/>
    </row>
    <row r="26" spans="1:13" x14ac:dyDescent="0.25">
      <c r="A26" s="75" t="s">
        <v>70</v>
      </c>
      <c r="B26" s="76" t="s">
        <v>71</v>
      </c>
      <c r="C26" s="66" t="s">
        <v>45</v>
      </c>
      <c r="D26" s="312">
        <v>1</v>
      </c>
      <c r="E26" s="71"/>
      <c r="F26" s="79"/>
      <c r="G26" s="60" t="s">
        <v>53</v>
      </c>
      <c r="H26" s="97"/>
      <c r="I26" s="72"/>
      <c r="J26" s="60">
        <f ca="1">(((SIN((((180*((D24-D21))/D22)-90)*(3.14159265358979/180)))+1)*50)/100)</f>
        <v>0.63349741421983197</v>
      </c>
      <c r="K26" s="72"/>
    </row>
    <row r="27" spans="1:13" x14ac:dyDescent="0.25">
      <c r="A27" s="75" t="s">
        <v>72</v>
      </c>
      <c r="B27" s="76" t="s">
        <v>73</v>
      </c>
      <c r="C27" s="66" t="s">
        <v>45</v>
      </c>
      <c r="D27" s="90" t="e">
        <f>D25-D26</f>
        <v>#REF!</v>
      </c>
      <c r="E27" s="84"/>
      <c r="F27" s="79"/>
      <c r="G27" s="60" t="s">
        <v>53</v>
      </c>
      <c r="H27" s="72"/>
      <c r="I27" s="72"/>
      <c r="J27" s="72"/>
      <c r="K27" s="72"/>
    </row>
    <row r="28" spans="1:13" x14ac:dyDescent="0.25">
      <c r="A28" s="75" t="s">
        <v>74</v>
      </c>
      <c r="B28" s="76" t="s">
        <v>75</v>
      </c>
      <c r="C28" s="66" t="s">
        <v>45</v>
      </c>
      <c r="D28" s="84"/>
      <c r="E28" s="84"/>
      <c r="F28" s="65" t="s">
        <v>41</v>
      </c>
      <c r="G28" s="63" t="s">
        <v>42</v>
      </c>
      <c r="H28" s="72"/>
      <c r="I28" s="72"/>
      <c r="J28" s="91" t="e">
        <f>+D25-100%</f>
        <v>#REF!</v>
      </c>
      <c r="K28" s="72"/>
    </row>
    <row r="29" spans="1:13" x14ac:dyDescent="0.25">
      <c r="A29" s="75"/>
      <c r="D29" s="463"/>
      <c r="E29" s="463"/>
      <c r="J29" s="60">
        <f>100-9.55</f>
        <v>90.45</v>
      </c>
    </row>
    <row r="30" spans="1:13" x14ac:dyDescent="0.25">
      <c r="M30" s="60">
        <f>100-69.39</f>
        <v>30.61</v>
      </c>
    </row>
    <row r="31" spans="1:13" x14ac:dyDescent="0.25">
      <c r="A31" s="60" t="s">
        <v>27</v>
      </c>
      <c r="J31" s="85">
        <v>42200</v>
      </c>
      <c r="K31" s="60">
        <f>+J31-D15</f>
        <v>-2331</v>
      </c>
    </row>
    <row r="33" spans="2:13" x14ac:dyDescent="0.25">
      <c r="K33" s="60">
        <f>649-120</f>
        <v>529</v>
      </c>
    </row>
    <row r="34" spans="2:13" x14ac:dyDescent="0.25">
      <c r="B34" s="63" t="s">
        <v>29</v>
      </c>
      <c r="D34" s="63"/>
      <c r="E34" s="63"/>
      <c r="F34" s="63"/>
      <c r="G34" s="63"/>
    </row>
    <row r="35" spans="2:13" x14ac:dyDescent="0.25">
      <c r="B35" s="60" t="s">
        <v>76</v>
      </c>
    </row>
    <row r="38" spans="2:13" x14ac:dyDescent="0.25">
      <c r="B38" s="63"/>
      <c r="K38" s="92">
        <v>1283860.56</v>
      </c>
    </row>
    <row r="39" spans="2:13" x14ac:dyDescent="0.25">
      <c r="J39" s="93" t="s">
        <v>77</v>
      </c>
      <c r="K39" s="92" t="e">
        <f ca="1">-1*(((K38*0.01*D27))/10)*(D24-D17)</f>
        <v>#REF!</v>
      </c>
      <c r="M39" s="94" t="e">
        <f ca="1">((((1/100)*(D27*D13))*-1)/10)*(D24-D22)</f>
        <v>#REF!</v>
      </c>
    </row>
    <row r="40" spans="2:13" x14ac:dyDescent="0.25">
      <c r="K40" s="92"/>
    </row>
    <row r="41" spans="2:13" x14ac:dyDescent="0.25">
      <c r="K41" s="92"/>
    </row>
    <row r="42" spans="2:13" x14ac:dyDescent="0.25">
      <c r="K42" s="92"/>
    </row>
    <row r="46" spans="2:13" x14ac:dyDescent="0.25">
      <c r="J46" s="95">
        <v>42460</v>
      </c>
    </row>
    <row r="47" spans="2:13" x14ac:dyDescent="0.25">
      <c r="J47" s="60">
        <f>180+105</f>
        <v>285</v>
      </c>
    </row>
    <row r="49" spans="10:10" x14ac:dyDescent="0.25">
      <c r="J49" s="95">
        <f>+J46+J47</f>
        <v>42745</v>
      </c>
    </row>
  </sheetData>
  <mergeCells count="14">
    <mergeCell ref="K6:M6"/>
    <mergeCell ref="A7:E7"/>
    <mergeCell ref="I15:J16"/>
    <mergeCell ref="A2:E2"/>
    <mergeCell ref="A3:E3"/>
    <mergeCell ref="A4:E4"/>
    <mergeCell ref="A5:E5"/>
    <mergeCell ref="D22:E22"/>
    <mergeCell ref="D29:E29"/>
    <mergeCell ref="B9:D9"/>
    <mergeCell ref="A10:B10"/>
    <mergeCell ref="D10:E11"/>
    <mergeCell ref="A12:B12"/>
    <mergeCell ref="A14:B14"/>
  </mergeCells>
  <pageMargins left="0.70866141732283472" right="0.70866141732283472" top="0.74803149606299213" bottom="0.74803149606299213" header="0.31496062992125984" footer="0.31496062992125984"/>
  <pageSetup paperSize="9" scale="8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2:Q41"/>
  <sheetViews>
    <sheetView view="pageBreakPreview" zoomScale="115" zoomScaleNormal="100" zoomScaleSheetLayoutView="115" workbookViewId="0">
      <selection activeCell="A3" sqref="A3:F3"/>
    </sheetView>
  </sheetViews>
  <sheetFormatPr defaultColWidth="9.140625" defaultRowHeight="15.75" x14ac:dyDescent="0.25"/>
  <cols>
    <col min="1" max="1" width="4" style="60" customWidth="1"/>
    <col min="2" max="2" width="39.28515625" style="60" customWidth="1"/>
    <col min="3" max="3" width="3.28515625" style="60" customWidth="1"/>
    <col min="4" max="5" width="18.7109375" style="60" customWidth="1"/>
    <col min="6" max="6" width="9.42578125" style="60" customWidth="1"/>
    <col min="7" max="7" width="7.42578125" style="60" customWidth="1"/>
    <col min="8" max="8" width="12.7109375" style="316" customWidth="1"/>
    <col min="9" max="9" width="28.42578125" style="316" customWidth="1"/>
    <col min="10" max="10" width="11.85546875" style="60" customWidth="1"/>
    <col min="11" max="11" width="13.28515625" style="60" customWidth="1"/>
    <col min="12" max="12" width="9.140625" style="60"/>
    <col min="13" max="13" width="11.28515625" style="60" customWidth="1"/>
    <col min="14" max="16" width="9.140625" style="60"/>
    <col min="17" max="17" width="15.28515625" style="60" customWidth="1"/>
    <col min="18" max="16384" width="9.140625" style="60"/>
  </cols>
  <sheetData>
    <row r="2" spans="1:17" x14ac:dyDescent="0.25">
      <c r="A2" s="456" t="s">
        <v>37</v>
      </c>
      <c r="B2" s="456"/>
      <c r="C2" s="456"/>
      <c r="D2" s="456"/>
      <c r="E2" s="456"/>
      <c r="F2" s="456"/>
      <c r="G2" s="315"/>
    </row>
    <row r="3" spans="1:17" x14ac:dyDescent="0.25">
      <c r="A3" s="457" t="s">
        <v>38</v>
      </c>
      <c r="B3" s="457"/>
      <c r="C3" s="457"/>
      <c r="D3" s="457"/>
      <c r="E3" s="457"/>
      <c r="F3" s="457"/>
      <c r="G3" s="317"/>
    </row>
    <row r="4" spans="1:17" x14ac:dyDescent="0.25">
      <c r="A4" s="456" t="s">
        <v>247</v>
      </c>
      <c r="B4" s="456"/>
      <c r="C4" s="456"/>
      <c r="D4" s="456"/>
      <c r="E4" s="456"/>
      <c r="F4" s="456"/>
      <c r="G4" s="315"/>
    </row>
    <row r="5" spans="1:17" ht="16.5" x14ac:dyDescent="0.25">
      <c r="A5" s="458" t="s">
        <v>248</v>
      </c>
      <c r="B5" s="458"/>
      <c r="C5" s="458"/>
      <c r="D5" s="458"/>
      <c r="E5" s="458"/>
      <c r="F5" s="458"/>
      <c r="G5" s="318"/>
    </row>
    <row r="6" spans="1:17" ht="20.25" x14ac:dyDescent="0.3">
      <c r="A6" s="61"/>
      <c r="H6" s="459" t="s">
        <v>250</v>
      </c>
      <c r="I6" s="460"/>
      <c r="J6" s="460"/>
      <c r="K6" s="461"/>
      <c r="M6" s="319" t="s">
        <v>251</v>
      </c>
    </row>
    <row r="7" spans="1:17" ht="18.75" x14ac:dyDescent="0.3">
      <c r="A7" s="462" t="s">
        <v>40</v>
      </c>
      <c r="B7" s="462"/>
      <c r="C7" s="462"/>
      <c r="D7" s="462"/>
      <c r="E7" s="462"/>
      <c r="F7" s="462"/>
      <c r="G7" s="320"/>
      <c r="H7" s="321"/>
      <c r="I7" s="321"/>
      <c r="M7" s="322" t="s">
        <v>252</v>
      </c>
      <c r="N7" s="323" t="s">
        <v>253</v>
      </c>
      <c r="O7" s="324"/>
      <c r="P7" s="324"/>
      <c r="Q7" s="325"/>
    </row>
    <row r="8" spans="1:17" x14ac:dyDescent="0.25">
      <c r="A8" s="63"/>
      <c r="B8" s="63"/>
      <c r="C8" s="63"/>
      <c r="D8" s="63"/>
      <c r="E8" s="63"/>
      <c r="F8" s="63"/>
      <c r="G8" s="63"/>
      <c r="H8" s="326"/>
      <c r="I8" s="60"/>
      <c r="M8" s="327" t="s">
        <v>254</v>
      </c>
      <c r="N8" s="328" t="s">
        <v>255</v>
      </c>
      <c r="O8" s="329"/>
      <c r="P8" s="329"/>
      <c r="Q8" s="330"/>
    </row>
    <row r="9" spans="1:17" x14ac:dyDescent="0.25">
      <c r="A9" s="326"/>
      <c r="B9" s="452">
        <f>I9</f>
        <v>45117</v>
      </c>
      <c r="C9" s="452"/>
      <c r="D9" s="452"/>
      <c r="E9" s="452"/>
      <c r="F9" s="452"/>
      <c r="H9" s="331" t="s">
        <v>256</v>
      </c>
      <c r="I9" s="332">
        <v>45117</v>
      </c>
      <c r="M9" s="333" t="s">
        <v>257</v>
      </c>
      <c r="N9" s="334" t="s">
        <v>258</v>
      </c>
      <c r="O9" s="335"/>
      <c r="P9" s="335"/>
      <c r="Q9" s="336"/>
    </row>
    <row r="10" spans="1:17" x14ac:dyDescent="0.25">
      <c r="A10" s="326"/>
      <c r="B10" s="337"/>
      <c r="C10" s="337"/>
      <c r="D10" s="337"/>
      <c r="E10" s="337"/>
      <c r="F10" s="337"/>
      <c r="H10" s="331"/>
      <c r="I10" s="64"/>
      <c r="M10" s="338" t="s">
        <v>259</v>
      </c>
      <c r="N10" s="339" t="s">
        <v>260</v>
      </c>
      <c r="O10" s="340"/>
      <c r="P10" s="340"/>
      <c r="Q10" s="341"/>
    </row>
    <row r="11" spans="1:17" x14ac:dyDescent="0.25">
      <c r="A11" s="326"/>
      <c r="B11" s="337"/>
      <c r="C11" s="337"/>
      <c r="D11" s="337"/>
      <c r="E11" s="337"/>
      <c r="F11" s="337"/>
      <c r="H11" s="331"/>
      <c r="I11" s="64"/>
      <c r="M11" s="342" t="s">
        <v>261</v>
      </c>
      <c r="N11" s="343" t="s">
        <v>262</v>
      </c>
      <c r="O11" s="344"/>
      <c r="P11" s="344"/>
      <c r="Q11" s="345"/>
    </row>
    <row r="12" spans="1:17" ht="26.25" customHeight="1" x14ac:dyDescent="0.25">
      <c r="A12" s="346" t="s">
        <v>263</v>
      </c>
      <c r="B12" s="346"/>
      <c r="C12" s="347" t="s">
        <v>45</v>
      </c>
      <c r="D12" s="453" t="e">
        <f>I12</f>
        <v>#REF!</v>
      </c>
      <c r="E12" s="453"/>
      <c r="F12" s="453"/>
      <c r="H12" s="331" t="s">
        <v>256</v>
      </c>
      <c r="I12" s="348" t="e">
        <f>#REF!</f>
        <v>#REF!</v>
      </c>
      <c r="J12" s="346" t="s">
        <v>263</v>
      </c>
      <c r="M12" s="349" t="s">
        <v>264</v>
      </c>
      <c r="N12" s="350" t="s">
        <v>265</v>
      </c>
      <c r="O12" s="351"/>
      <c r="P12" s="351"/>
      <c r="Q12" s="352"/>
    </row>
    <row r="13" spans="1:17" ht="17.25" customHeight="1" x14ac:dyDescent="0.25">
      <c r="A13" s="353" t="s">
        <v>47</v>
      </c>
      <c r="B13" s="353"/>
      <c r="C13" s="354" t="s">
        <v>45</v>
      </c>
      <c r="D13" s="355" t="e">
        <f>I13</f>
        <v>#REF!</v>
      </c>
      <c r="E13" s="355"/>
      <c r="F13" s="356"/>
      <c r="H13" s="331" t="s">
        <v>256</v>
      </c>
      <c r="I13" s="357" t="e">
        <f>#REF!</f>
        <v>#REF!</v>
      </c>
      <c r="J13" s="353" t="s">
        <v>47</v>
      </c>
      <c r="M13" s="358" t="s">
        <v>266</v>
      </c>
      <c r="N13" s="359" t="s">
        <v>253</v>
      </c>
      <c r="O13" s="360"/>
      <c r="P13" s="360"/>
      <c r="Q13" s="361"/>
    </row>
    <row r="14" spans="1:17" x14ac:dyDescent="0.25">
      <c r="A14" s="362" t="s">
        <v>48</v>
      </c>
      <c r="B14" s="362"/>
      <c r="C14" s="354" t="s">
        <v>45</v>
      </c>
      <c r="D14" s="363" t="e">
        <f>I14</f>
        <v>#REF!</v>
      </c>
      <c r="E14" s="363"/>
      <c r="F14" s="363"/>
      <c r="H14" s="331" t="s">
        <v>256</v>
      </c>
      <c r="I14" s="364" t="e">
        <f>#REF!</f>
        <v>#REF!</v>
      </c>
      <c r="J14" s="362" t="s">
        <v>48</v>
      </c>
      <c r="M14" s="365" t="s">
        <v>267</v>
      </c>
      <c r="N14" s="366" t="s">
        <v>255</v>
      </c>
      <c r="O14" s="367"/>
      <c r="P14" s="367"/>
      <c r="Q14" s="368"/>
    </row>
    <row r="15" spans="1:17" s="76" customFormat="1" ht="15.6" customHeight="1" x14ac:dyDescent="0.2">
      <c r="A15" s="353" t="s">
        <v>31</v>
      </c>
      <c r="B15" s="353"/>
      <c r="C15" s="354" t="s">
        <v>45</v>
      </c>
      <c r="D15" s="355" t="str">
        <f>I15</f>
        <v>FOUR R CONSTRUCTION</v>
      </c>
      <c r="E15" s="355"/>
      <c r="F15" s="355"/>
      <c r="H15" s="331" t="s">
        <v>256</v>
      </c>
      <c r="I15" s="369" t="s">
        <v>190</v>
      </c>
      <c r="J15" s="353" t="s">
        <v>31</v>
      </c>
    </row>
    <row r="16" spans="1:17" x14ac:dyDescent="0.25">
      <c r="A16" s="362"/>
      <c r="B16" s="362"/>
      <c r="C16" s="354"/>
      <c r="D16" s="370"/>
      <c r="E16" s="370"/>
      <c r="F16" s="370"/>
      <c r="G16" s="72"/>
      <c r="H16" s="331"/>
      <c r="I16" s="60"/>
    </row>
    <row r="17" spans="1:14" x14ac:dyDescent="0.25">
      <c r="A17" s="371" t="s">
        <v>50</v>
      </c>
      <c r="B17" s="353" t="s">
        <v>51</v>
      </c>
      <c r="C17" s="354" t="s">
        <v>45</v>
      </c>
      <c r="D17" s="372">
        <f>D20+10</f>
        <v>44532</v>
      </c>
      <c r="E17" s="356" t="s">
        <v>52</v>
      </c>
      <c r="F17" s="68"/>
      <c r="H17" s="373"/>
      <c r="J17" s="72"/>
      <c r="K17" s="374"/>
    </row>
    <row r="18" spans="1:14" x14ac:dyDescent="0.25">
      <c r="A18" s="371"/>
      <c r="B18" s="353"/>
      <c r="C18" s="354"/>
      <c r="D18" s="375">
        <f>+B9</f>
        <v>45117</v>
      </c>
      <c r="E18" s="375"/>
      <c r="F18" s="375"/>
      <c r="G18" s="376"/>
      <c r="H18" s="377"/>
      <c r="J18" s="72"/>
      <c r="K18" s="374"/>
    </row>
    <row r="19" spans="1:14" x14ac:dyDescent="0.25">
      <c r="A19" s="371" t="s">
        <v>54</v>
      </c>
      <c r="B19" s="353" t="s">
        <v>268</v>
      </c>
      <c r="C19" s="354" t="s">
        <v>45</v>
      </c>
      <c r="D19" s="378">
        <f>I19</f>
        <v>320</v>
      </c>
      <c r="E19" s="379"/>
      <c r="F19" s="379"/>
      <c r="G19" s="72"/>
      <c r="H19" s="380" t="s">
        <v>256</v>
      </c>
      <c r="I19" s="381">
        <v>320</v>
      </c>
      <c r="J19" s="353" t="s">
        <v>268</v>
      </c>
    </row>
    <row r="20" spans="1:14" x14ac:dyDescent="0.25">
      <c r="A20" s="371" t="s">
        <v>56</v>
      </c>
      <c r="B20" s="353" t="s">
        <v>269</v>
      </c>
      <c r="C20" s="354" t="s">
        <v>45</v>
      </c>
      <c r="D20" s="372">
        <f>I20</f>
        <v>44522</v>
      </c>
      <c r="E20" s="372"/>
      <c r="F20" s="372"/>
      <c r="H20" s="380" t="s">
        <v>256</v>
      </c>
      <c r="I20" s="332">
        <v>44522</v>
      </c>
      <c r="J20" s="353" t="s">
        <v>269</v>
      </c>
    </row>
    <row r="21" spans="1:14" x14ac:dyDescent="0.25">
      <c r="A21" s="371" t="s">
        <v>270</v>
      </c>
      <c r="B21" s="353" t="s">
        <v>59</v>
      </c>
      <c r="C21" s="354" t="s">
        <v>45</v>
      </c>
      <c r="D21" s="375">
        <f>+D17+D19-2</f>
        <v>44850</v>
      </c>
      <c r="E21" s="375"/>
      <c r="F21" s="375"/>
      <c r="G21" s="72"/>
      <c r="H21" s="382"/>
      <c r="I21" s="72"/>
      <c r="J21" s="72"/>
    </row>
    <row r="22" spans="1:14" x14ac:dyDescent="0.25">
      <c r="A22" s="371" t="s">
        <v>58</v>
      </c>
      <c r="B22" s="353" t="s">
        <v>79</v>
      </c>
      <c r="C22" s="354" t="s">
        <v>45</v>
      </c>
      <c r="D22" s="383">
        <f>D23+I22</f>
        <v>267</v>
      </c>
      <c r="E22" s="370"/>
      <c r="F22" s="370"/>
      <c r="G22" s="72"/>
      <c r="H22" s="380" t="s">
        <v>256</v>
      </c>
      <c r="I22" s="381">
        <v>132</v>
      </c>
      <c r="J22" s="353" t="s">
        <v>79</v>
      </c>
    </row>
    <row r="23" spans="1:14" x14ac:dyDescent="0.25">
      <c r="A23" s="371" t="s">
        <v>60</v>
      </c>
      <c r="B23" s="353" t="s">
        <v>78</v>
      </c>
      <c r="C23" s="354" t="s">
        <v>45</v>
      </c>
      <c r="D23" s="383">
        <f>I23</f>
        <v>135</v>
      </c>
      <c r="E23" s="370"/>
      <c r="F23" s="370"/>
      <c r="G23" s="72"/>
      <c r="H23" s="380" t="s">
        <v>256</v>
      </c>
      <c r="I23" s="384">
        <v>135</v>
      </c>
      <c r="J23" s="353" t="s">
        <v>78</v>
      </c>
    </row>
    <row r="24" spans="1:14" x14ac:dyDescent="0.25">
      <c r="A24" s="371" t="s">
        <v>271</v>
      </c>
      <c r="B24" s="353" t="s">
        <v>272</v>
      </c>
      <c r="C24" s="354"/>
      <c r="D24" s="383">
        <f>IF(I24&gt;0,I24,0)</f>
        <v>267</v>
      </c>
      <c r="E24" s="370"/>
      <c r="F24" s="370"/>
      <c r="G24" s="72"/>
      <c r="H24" s="382" t="s">
        <v>273</v>
      </c>
      <c r="I24" s="385">
        <f>D22</f>
        <v>267</v>
      </c>
      <c r="J24" s="353" t="s">
        <v>272</v>
      </c>
    </row>
    <row r="25" spans="1:14" x14ac:dyDescent="0.25">
      <c r="A25" s="371" t="s">
        <v>274</v>
      </c>
      <c r="B25" s="353" t="s">
        <v>63</v>
      </c>
      <c r="C25" s="354" t="s">
        <v>45</v>
      </c>
      <c r="D25" s="383">
        <f>IF(I24&gt;0,I25,0)</f>
        <v>586</v>
      </c>
      <c r="E25" s="370"/>
      <c r="F25" s="386"/>
      <c r="H25" s="382" t="s">
        <v>273</v>
      </c>
      <c r="I25" s="385">
        <f>IF(D22&gt;0,D22+I19,0)-1</f>
        <v>586</v>
      </c>
      <c r="J25" s="353" t="s">
        <v>63</v>
      </c>
    </row>
    <row r="26" spans="1:14" x14ac:dyDescent="0.25">
      <c r="A26" s="371" t="s">
        <v>275</v>
      </c>
      <c r="B26" s="353" t="s">
        <v>276</v>
      </c>
      <c r="C26" s="354" t="s">
        <v>45</v>
      </c>
      <c r="D26" s="375">
        <f>IF(I24&gt;0,D21+D24,"")</f>
        <v>45117</v>
      </c>
      <c r="E26" s="375"/>
      <c r="F26" s="375"/>
      <c r="G26" s="72"/>
      <c r="H26" s="387"/>
      <c r="I26" s="72"/>
      <c r="J26" s="72"/>
    </row>
    <row r="27" spans="1:14" x14ac:dyDescent="0.25">
      <c r="A27" s="371" t="s">
        <v>277</v>
      </c>
      <c r="B27" s="353" t="s">
        <v>67</v>
      </c>
      <c r="C27" s="354" t="s">
        <v>45</v>
      </c>
      <c r="D27" s="383">
        <f>+D18-D17+1</f>
        <v>586</v>
      </c>
      <c r="E27" s="388"/>
      <c r="F27" s="388"/>
      <c r="G27" s="72"/>
      <c r="H27" s="387"/>
      <c r="I27" s="389"/>
    </row>
    <row r="28" spans="1:14" x14ac:dyDescent="0.25">
      <c r="A28" s="371" t="s">
        <v>278</v>
      </c>
      <c r="B28" s="353" t="s">
        <v>279</v>
      </c>
      <c r="C28" s="354" t="s">
        <v>45</v>
      </c>
      <c r="D28" s="390">
        <f>I28</f>
        <v>0.57068999999999992</v>
      </c>
      <c r="E28" s="390"/>
      <c r="F28" s="390"/>
      <c r="G28" s="72"/>
      <c r="H28" s="331"/>
      <c r="I28" s="391">
        <v>0.57068999999999992</v>
      </c>
      <c r="J28" s="72" t="s">
        <v>280</v>
      </c>
    </row>
    <row r="29" spans="1:14" ht="15.6" customHeight="1" x14ac:dyDescent="0.25">
      <c r="A29" s="371" t="s">
        <v>281</v>
      </c>
      <c r="B29" s="353" t="s">
        <v>282</v>
      </c>
      <c r="C29" s="354" t="s">
        <v>45</v>
      </c>
      <c r="D29" s="392">
        <f>I33</f>
        <v>1</v>
      </c>
      <c r="E29" s="392"/>
      <c r="F29" s="392"/>
      <c r="G29" s="72"/>
      <c r="H29" s="382" t="s">
        <v>273</v>
      </c>
      <c r="I29" s="393">
        <f>(((SIN((((180*((D27))/D19)-90)*(3.14159265358979/180)))+1)*50)/100)</f>
        <v>6.8632807011105135E-2</v>
      </c>
      <c r="J29" s="394" t="s">
        <v>283</v>
      </c>
      <c r="K29" s="355"/>
      <c r="L29" s="355"/>
      <c r="M29" s="68"/>
      <c r="N29" s="395"/>
    </row>
    <row r="30" spans="1:14" x14ac:dyDescent="0.25">
      <c r="A30" s="371" t="s">
        <v>284</v>
      </c>
      <c r="B30" s="353" t="s">
        <v>73</v>
      </c>
      <c r="C30" s="354" t="s">
        <v>45</v>
      </c>
      <c r="D30" s="396">
        <f>D28-D29</f>
        <v>-0.42931000000000008</v>
      </c>
      <c r="E30" s="396"/>
      <c r="F30" s="396"/>
      <c r="G30" s="72"/>
      <c r="H30" s="382" t="s">
        <v>273</v>
      </c>
      <c r="I30" s="393">
        <f>IF(I25&gt;0,(((SIN((((180*((D27))/D25)-90)*(3.14159265358979/180)))+1)*50)/100),"")</f>
        <v>1</v>
      </c>
      <c r="J30" s="394" t="s">
        <v>285</v>
      </c>
      <c r="K30" s="355"/>
      <c r="L30" s="355"/>
      <c r="M30" s="68"/>
      <c r="N30" s="395"/>
    </row>
    <row r="31" spans="1:14" x14ac:dyDescent="0.25">
      <c r="A31" s="371" t="s">
        <v>64</v>
      </c>
      <c r="B31" s="353" t="s">
        <v>75</v>
      </c>
      <c r="C31" s="354" t="s">
        <v>45</v>
      </c>
      <c r="D31" s="397"/>
      <c r="E31" s="397"/>
      <c r="F31" s="397"/>
      <c r="G31" s="72"/>
      <c r="H31" s="331"/>
      <c r="I31" s="60"/>
    </row>
    <row r="32" spans="1:14" x14ac:dyDescent="0.25">
      <c r="A32" s="371"/>
      <c r="B32" s="316"/>
      <c r="C32" s="316"/>
      <c r="D32" s="398"/>
      <c r="E32" s="398"/>
      <c r="F32" s="398"/>
      <c r="H32" s="382" t="s">
        <v>273</v>
      </c>
      <c r="I32" s="393">
        <f>D27/D19</f>
        <v>1.83125</v>
      </c>
      <c r="J32" s="394" t="s">
        <v>286</v>
      </c>
      <c r="K32" s="68"/>
      <c r="L32" s="68"/>
      <c r="M32" s="68"/>
      <c r="N32" s="395"/>
    </row>
    <row r="33" spans="1:14" x14ac:dyDescent="0.25">
      <c r="A33" s="316"/>
      <c r="B33" s="316"/>
      <c r="C33" s="316"/>
      <c r="D33" s="316"/>
      <c r="E33" s="316"/>
      <c r="F33" s="316"/>
      <c r="H33" s="382" t="s">
        <v>273</v>
      </c>
      <c r="I33" s="393">
        <v>1</v>
      </c>
      <c r="J33" s="394" t="s">
        <v>287</v>
      </c>
      <c r="K33" s="68"/>
      <c r="L33" s="68"/>
      <c r="M33" s="68"/>
      <c r="N33" s="395"/>
    </row>
    <row r="34" spans="1:14" x14ac:dyDescent="0.25">
      <c r="E34" s="316"/>
      <c r="F34" s="316"/>
      <c r="H34" s="399"/>
    </row>
    <row r="35" spans="1:14" x14ac:dyDescent="0.25">
      <c r="A35" s="316"/>
      <c r="B35" s="353" t="s">
        <v>27</v>
      </c>
      <c r="C35" s="316"/>
      <c r="D35" s="353" t="s">
        <v>288</v>
      </c>
      <c r="E35" s="316"/>
      <c r="F35" s="316"/>
      <c r="H35" s="454" t="s">
        <v>289</v>
      </c>
      <c r="I35" s="400" t="s">
        <v>290</v>
      </c>
      <c r="J35" s="401"/>
    </row>
    <row r="36" spans="1:14" x14ac:dyDescent="0.25">
      <c r="A36" s="316"/>
      <c r="B36" s="316"/>
      <c r="C36" s="316"/>
      <c r="D36" s="316"/>
      <c r="E36" s="316"/>
      <c r="F36" s="316"/>
      <c r="H36" s="455"/>
      <c r="I36" s="402" t="s">
        <v>291</v>
      </c>
      <c r="J36" s="403"/>
    </row>
    <row r="37" spans="1:14" x14ac:dyDescent="0.25">
      <c r="A37" s="316"/>
      <c r="B37" s="316"/>
      <c r="C37" s="316"/>
      <c r="D37" s="316"/>
      <c r="E37" s="326"/>
      <c r="F37" s="326"/>
      <c r="G37" s="63"/>
      <c r="H37" s="321"/>
      <c r="I37" s="321"/>
    </row>
    <row r="38" spans="1:14" x14ac:dyDescent="0.25">
      <c r="A38" s="316"/>
      <c r="B38" s="321" t="s">
        <v>29</v>
      </c>
      <c r="C38" s="316"/>
      <c r="D38" s="321" t="s">
        <v>80</v>
      </c>
      <c r="E38" s="404"/>
      <c r="F38" s="404"/>
    </row>
    <row r="39" spans="1:14" x14ac:dyDescent="0.25">
      <c r="B39" s="316" t="s">
        <v>32</v>
      </c>
      <c r="C39" s="316"/>
      <c r="D39" s="316" t="s">
        <v>292</v>
      </c>
    </row>
    <row r="41" spans="1:14" x14ac:dyDescent="0.25">
      <c r="B41" s="63"/>
    </row>
  </sheetData>
  <mergeCells count="9">
    <mergeCell ref="B9:F9"/>
    <mergeCell ref="D12:F12"/>
    <mergeCell ref="H35:H36"/>
    <mergeCell ref="A2:F2"/>
    <mergeCell ref="A3:F3"/>
    <mergeCell ref="A4:F4"/>
    <mergeCell ref="A5:F5"/>
    <mergeCell ref="H6:K6"/>
    <mergeCell ref="A7:F7"/>
  </mergeCells>
  <printOptions horizontalCentered="1"/>
  <pageMargins left="0.51181102362204722" right="0.51181102362204722" top="1.1417322834645669" bottom="0.74803149606299213" header="0.31496062992125984" footer="0.31496062992125984"/>
  <pageSetup paperSize="14" scale="9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9"/>
  <sheetViews>
    <sheetView view="pageBreakPreview" zoomScaleNormal="100" zoomScaleSheetLayoutView="100" workbookViewId="0">
      <pane xSplit="3" topLeftCell="D1" activePane="topRight" state="frozen"/>
      <selection activeCell="D12" sqref="D12:F12"/>
      <selection pane="topRight" activeCell="D12" sqref="D12:F12"/>
    </sheetView>
  </sheetViews>
  <sheetFormatPr defaultRowHeight="15" x14ac:dyDescent="0.25"/>
  <cols>
    <col min="1" max="1" width="13.28515625" customWidth="1"/>
    <col min="2" max="2" width="24.42578125" customWidth="1"/>
    <col min="3" max="3" width="22.5703125" customWidth="1"/>
    <col min="4" max="4" width="11.5703125" customWidth="1"/>
    <col min="5" max="5" width="7.28515625" customWidth="1"/>
    <col min="6" max="6" width="12.42578125" customWidth="1"/>
    <col min="7" max="7" width="16.140625" customWidth="1"/>
    <col min="8" max="8" width="8.28515625" customWidth="1"/>
    <col min="9" max="9" width="13.7109375" customWidth="1"/>
    <col min="10" max="11" width="15.42578125" customWidth="1"/>
    <col min="12" max="12" width="11" customWidth="1"/>
    <col min="13" max="13" width="14" customWidth="1"/>
    <col min="14" max="14" width="15.140625" bestFit="1" customWidth="1"/>
    <col min="15" max="15" width="8.7109375" style="1" customWidth="1"/>
    <col min="16" max="16" width="10.28515625" style="1" customWidth="1"/>
    <col min="17" max="17" width="11.7109375" customWidth="1"/>
    <col min="18" max="18" width="11" bestFit="1" customWidth="1"/>
    <col min="19" max="19" width="11.7109375" bestFit="1" customWidth="1"/>
    <col min="20" max="20" width="12.85546875" bestFit="1" customWidth="1"/>
  </cols>
  <sheetData>
    <row r="1" spans="1:19" ht="21" customHeight="1" x14ac:dyDescent="0.25">
      <c r="A1" s="103"/>
      <c r="B1" s="502" t="s">
        <v>96</v>
      </c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</row>
    <row r="2" spans="1:19" x14ac:dyDescent="0.25">
      <c r="A2" s="2"/>
      <c r="B2" s="479" t="s">
        <v>293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</row>
    <row r="3" spans="1:19" x14ac:dyDescent="0.25">
      <c r="A3" s="2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</row>
    <row r="4" spans="1:19" s="5" customFormat="1" ht="13.15" customHeight="1" x14ac:dyDescent="0.25">
      <c r="A4" s="3" t="s">
        <v>191</v>
      </c>
      <c r="B4" s="4" t="s">
        <v>193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/>
      <c r="O4" s="1"/>
      <c r="P4" s="1"/>
      <c r="Q4"/>
    </row>
    <row r="5" spans="1:19" s="5" customFormat="1" ht="13.15" customHeight="1" x14ac:dyDescent="0.25">
      <c r="A5" s="275" t="s">
        <v>192</v>
      </c>
      <c r="B5" s="6" t="str">
        <f>swa_BC!B5</f>
        <v>Gonzaga, Cagayan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/>
      <c r="O5" s="1"/>
      <c r="P5" s="1"/>
      <c r="Q5"/>
    </row>
    <row r="6" spans="1:19" s="5" customFormat="1" ht="13.15" customHeight="1" thickBot="1" x14ac:dyDescent="0.3">
      <c r="A6" s="2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/>
      <c r="O6" s="1"/>
      <c r="P6" s="1"/>
    </row>
    <row r="7" spans="1:19" s="5" customFormat="1" ht="13.15" customHeight="1" x14ac:dyDescent="0.25">
      <c r="A7" s="8" t="s">
        <v>0</v>
      </c>
      <c r="B7" s="484" t="s">
        <v>1</v>
      </c>
      <c r="C7" s="485"/>
      <c r="D7" s="488" t="s">
        <v>2</v>
      </c>
      <c r="E7" s="489"/>
      <c r="F7" s="101" t="s">
        <v>3</v>
      </c>
      <c r="G7" s="101" t="s">
        <v>4</v>
      </c>
      <c r="H7" s="9" t="s">
        <v>5</v>
      </c>
      <c r="I7" s="490" t="s">
        <v>6</v>
      </c>
      <c r="J7" s="491"/>
      <c r="K7" s="492"/>
      <c r="L7" s="101" t="s">
        <v>5</v>
      </c>
      <c r="M7" s="10" t="s">
        <v>7</v>
      </c>
      <c r="N7"/>
      <c r="O7" s="1"/>
      <c r="P7" s="1"/>
      <c r="Q7"/>
    </row>
    <row r="8" spans="1:19" s="5" customFormat="1" ht="13.15" customHeight="1" x14ac:dyDescent="0.25">
      <c r="A8" s="12" t="s">
        <v>8</v>
      </c>
      <c r="B8" s="486"/>
      <c r="C8" s="487"/>
      <c r="D8" s="493" t="s">
        <v>9</v>
      </c>
      <c r="E8" s="494"/>
      <c r="F8" s="102" t="s">
        <v>10</v>
      </c>
      <c r="G8" s="102" t="s">
        <v>11</v>
      </c>
      <c r="H8" s="13" t="s">
        <v>12</v>
      </c>
      <c r="I8" s="14" t="s">
        <v>13</v>
      </c>
      <c r="J8" s="15" t="s">
        <v>14</v>
      </c>
      <c r="K8" s="16" t="s">
        <v>15</v>
      </c>
      <c r="L8" s="102" t="s">
        <v>12</v>
      </c>
      <c r="M8" s="17" t="s">
        <v>16</v>
      </c>
      <c r="N8" s="131" t="e">
        <f>#REF!/6.1</f>
        <v>#REF!</v>
      </c>
      <c r="O8" s="1" t="e">
        <f>N8*2</f>
        <v>#REF!</v>
      </c>
      <c r="P8" s="1"/>
      <c r="Q8"/>
      <c r="R8" t="s">
        <v>114</v>
      </c>
      <c r="S8"/>
    </row>
    <row r="9" spans="1:19" s="5" customFormat="1" ht="13.15" customHeight="1" x14ac:dyDescent="0.25">
      <c r="A9" s="18"/>
      <c r="B9" s="19"/>
      <c r="C9" s="20"/>
      <c r="D9" s="495" t="s">
        <v>17</v>
      </c>
      <c r="E9" s="496"/>
      <c r="F9" s="496"/>
      <c r="G9" s="496"/>
      <c r="H9" s="21"/>
      <c r="I9" s="22"/>
      <c r="J9" s="22"/>
      <c r="K9" s="23"/>
      <c r="L9" s="24"/>
      <c r="M9" s="25"/>
      <c r="N9">
        <v>650</v>
      </c>
      <c r="O9" s="1">
        <v>1320</v>
      </c>
      <c r="P9" s="1">
        <f>O9/2</f>
        <v>660</v>
      </c>
      <c r="Q9" s="26" t="s">
        <v>115</v>
      </c>
      <c r="R9" s="27"/>
      <c r="S9" s="26" t="s">
        <v>116</v>
      </c>
    </row>
    <row r="10" spans="1:19" s="5" customFormat="1" ht="13.15" customHeight="1" x14ac:dyDescent="0.25">
      <c r="A10" s="277" t="s">
        <v>194</v>
      </c>
      <c r="B10" s="278" t="s">
        <v>198</v>
      </c>
      <c r="C10" s="279"/>
      <c r="D10" s="280"/>
      <c r="E10" s="281"/>
      <c r="F10" s="282"/>
      <c r="G10" s="283"/>
      <c r="H10" s="284"/>
      <c r="I10" s="285"/>
      <c r="J10" s="286"/>
      <c r="K10" s="285"/>
      <c r="L10" s="287"/>
      <c r="M10" s="288"/>
      <c r="N10"/>
      <c r="O10" s="1"/>
      <c r="P10" s="1"/>
      <c r="Q10" s="26"/>
      <c r="R10" s="27"/>
      <c r="S10" s="26"/>
    </row>
    <row r="11" spans="1:19" s="5" customFormat="1" ht="13.15" customHeight="1" x14ac:dyDescent="0.25">
      <c r="A11" s="122" t="s">
        <v>195</v>
      </c>
      <c r="B11" s="29" t="s">
        <v>196</v>
      </c>
      <c r="C11" s="30"/>
      <c r="D11" s="31">
        <v>10.67</v>
      </c>
      <c r="E11" s="32" t="s">
        <v>241</v>
      </c>
      <c r="F11" s="104">
        <v>5775</v>
      </c>
      <c r="G11" s="33">
        <f t="shared" ref="G11:G20" si="0">ROUND(F11*D11,2)</f>
        <v>61619.25</v>
      </c>
      <c r="H11" s="37">
        <f>ROUND((G11/$G$43),5)</f>
        <v>3.0899999999999999E-3</v>
      </c>
      <c r="I11" s="35">
        <v>49295.4</v>
      </c>
      <c r="J11" s="35">
        <f>K11-I11</f>
        <v>0</v>
      </c>
      <c r="K11" s="35">
        <f>G11*0.8</f>
        <v>49295.4</v>
      </c>
      <c r="L11" s="37">
        <f>ROUND(K11/G43,5)</f>
        <v>2.47E-3</v>
      </c>
      <c r="M11" s="38" t="str">
        <f>IF(L11=H11,"COMPLETED","On-going")</f>
        <v>On-going</v>
      </c>
      <c r="N11" s="311">
        <f>4.9*F11</f>
        <v>28297.500000000004</v>
      </c>
      <c r="O11" s="1"/>
      <c r="P11" s="1"/>
      <c r="Q11" s="26"/>
      <c r="R11" s="27"/>
      <c r="S11" s="26"/>
    </row>
    <row r="12" spans="1:19" s="5" customFormat="1" ht="13.15" customHeight="1" x14ac:dyDescent="0.25">
      <c r="A12" s="277" t="s">
        <v>197</v>
      </c>
      <c r="B12" s="278" t="s">
        <v>199</v>
      </c>
      <c r="C12" s="279"/>
      <c r="D12" s="280"/>
      <c r="E12" s="281"/>
      <c r="F12" s="282"/>
      <c r="G12" s="283"/>
      <c r="H12" s="284"/>
      <c r="I12" s="285"/>
      <c r="J12" s="286"/>
      <c r="K12" s="285"/>
      <c r="L12" s="287"/>
      <c r="M12" s="288"/>
      <c r="N12"/>
      <c r="O12" s="1"/>
      <c r="P12" s="1"/>
      <c r="Q12" s="26"/>
      <c r="R12" s="27"/>
      <c r="S12" s="26"/>
    </row>
    <row r="13" spans="1:19" s="5" customFormat="1" ht="13.15" customHeight="1" x14ac:dyDescent="0.25">
      <c r="A13" s="122" t="s">
        <v>200</v>
      </c>
      <c r="B13" s="29" t="s">
        <v>101</v>
      </c>
      <c r="C13" s="30"/>
      <c r="D13" s="31">
        <v>2</v>
      </c>
      <c r="E13" s="32" t="s">
        <v>36</v>
      </c>
      <c r="F13" s="104">
        <v>11655</v>
      </c>
      <c r="G13" s="33">
        <f t="shared" si="0"/>
        <v>23310</v>
      </c>
      <c r="H13" s="37">
        <f>ROUND((G13/$G$43),5)</f>
        <v>1.17E-3</v>
      </c>
      <c r="I13" s="35">
        <v>11655</v>
      </c>
      <c r="J13" s="35">
        <f>K13-I13</f>
        <v>0</v>
      </c>
      <c r="K13" s="35">
        <f>F13*1</f>
        <v>11655</v>
      </c>
      <c r="L13" s="37">
        <f>ROUND(K13/G43,5)</f>
        <v>5.8E-4</v>
      </c>
      <c r="M13" s="38" t="str">
        <f>IF(L13=H13,"COMPLETED","On-going")</f>
        <v>On-going</v>
      </c>
      <c r="N13"/>
      <c r="O13" s="1"/>
      <c r="P13" s="1"/>
      <c r="Q13" s="26"/>
      <c r="R13" s="27"/>
      <c r="S13" s="26"/>
    </row>
    <row r="14" spans="1:19" s="5" customFormat="1" ht="13.15" customHeight="1" x14ac:dyDescent="0.25">
      <c r="A14" s="122" t="s">
        <v>99</v>
      </c>
      <c r="B14" s="29" t="s">
        <v>111</v>
      </c>
      <c r="C14" s="30"/>
      <c r="D14" s="276" t="s">
        <v>244</v>
      </c>
      <c r="E14" s="32" t="s">
        <v>242</v>
      </c>
      <c r="F14" s="104">
        <v>49665</v>
      </c>
      <c r="G14" s="33">
        <f>F14</f>
        <v>49665</v>
      </c>
      <c r="H14" s="37">
        <f>ROUND((G14/$G$43),5)</f>
        <v>2.49E-3</v>
      </c>
      <c r="I14" s="35">
        <v>39732</v>
      </c>
      <c r="J14" s="35">
        <f>K14-I14</f>
        <v>0</v>
      </c>
      <c r="K14" s="35">
        <f>G14*0.8</f>
        <v>39732</v>
      </c>
      <c r="L14" s="37">
        <f>ROUND(K14/G43,5)</f>
        <v>1.99E-3</v>
      </c>
      <c r="M14" s="38" t="str">
        <f>IF(L14=H14,"COMPLETED","On-going")</f>
        <v>On-going</v>
      </c>
      <c r="N14" s="311">
        <f>0.5*F14</f>
        <v>24832.5</v>
      </c>
      <c r="O14" s="1"/>
      <c r="P14" s="1"/>
      <c r="Q14" s="26"/>
      <c r="R14" s="27"/>
      <c r="S14" s="26"/>
    </row>
    <row r="15" spans="1:19" s="5" customFormat="1" ht="13.15" customHeight="1" x14ac:dyDescent="0.25">
      <c r="A15" s="122" t="s">
        <v>100</v>
      </c>
      <c r="B15" s="29" t="s">
        <v>102</v>
      </c>
      <c r="C15" s="30"/>
      <c r="D15" s="276" t="s">
        <v>244</v>
      </c>
      <c r="E15" s="32" t="s">
        <v>242</v>
      </c>
      <c r="F15" s="104">
        <v>175000</v>
      </c>
      <c r="G15" s="33">
        <f>F15</f>
        <v>175000</v>
      </c>
      <c r="H15" s="37">
        <f>ROUND((G15/$G$43),5)</f>
        <v>8.77E-3</v>
      </c>
      <c r="I15" s="35">
        <v>87500</v>
      </c>
      <c r="J15" s="313">
        <f>K15-I15</f>
        <v>0</v>
      </c>
      <c r="K15" s="35">
        <f>0.5*G15</f>
        <v>87500</v>
      </c>
      <c r="L15" s="37">
        <f>ROUND(K15/G43,5)</f>
        <v>4.3800000000000002E-3</v>
      </c>
      <c r="M15" s="38" t="str">
        <f>IF(L15=H15,"COMPLETED","On-going")</f>
        <v>On-going</v>
      </c>
      <c r="N15"/>
      <c r="O15" s="1"/>
      <c r="P15" s="1"/>
      <c r="Q15" s="26"/>
      <c r="R15" s="27"/>
      <c r="S15" s="26"/>
    </row>
    <row r="16" spans="1:19" s="5" customFormat="1" ht="13.15" customHeight="1" x14ac:dyDescent="0.25">
      <c r="A16" s="299" t="s">
        <v>201</v>
      </c>
      <c r="B16" s="503" t="s">
        <v>202</v>
      </c>
      <c r="C16" s="504"/>
      <c r="D16" s="300"/>
      <c r="E16" s="301"/>
      <c r="F16" s="302"/>
      <c r="G16" s="303"/>
      <c r="H16" s="304"/>
      <c r="I16" s="305"/>
      <c r="J16" s="306"/>
      <c r="K16" s="305"/>
      <c r="L16" s="307"/>
      <c r="M16" s="308"/>
      <c r="N16"/>
      <c r="O16" s="1"/>
      <c r="P16" s="1"/>
      <c r="Q16" s="26"/>
      <c r="R16" s="27"/>
      <c r="S16" s="26"/>
    </row>
    <row r="17" spans="1:20" s="5" customFormat="1" ht="13.15" customHeight="1" x14ac:dyDescent="0.25">
      <c r="A17" s="289" t="s">
        <v>203</v>
      </c>
      <c r="B17" s="309" t="s">
        <v>204</v>
      </c>
      <c r="C17" s="310"/>
      <c r="D17" s="290"/>
      <c r="E17" s="291"/>
      <c r="F17" s="292"/>
      <c r="G17" s="293"/>
      <c r="H17" s="294"/>
      <c r="I17" s="295"/>
      <c r="J17" s="296"/>
      <c r="K17" s="295"/>
      <c r="L17" s="297"/>
      <c r="M17" s="298"/>
      <c r="N17"/>
      <c r="O17" s="1"/>
      <c r="P17" s="1"/>
      <c r="Q17" s="26"/>
      <c r="R17" s="27"/>
      <c r="S17" s="26"/>
    </row>
    <row r="18" spans="1:20" s="5" customFormat="1" ht="13.15" customHeight="1" x14ac:dyDescent="0.25">
      <c r="A18" s="122" t="s">
        <v>205</v>
      </c>
      <c r="B18" s="29" t="s">
        <v>207</v>
      </c>
      <c r="C18" s="30"/>
      <c r="D18" s="31">
        <v>1871.15</v>
      </c>
      <c r="E18" s="32" t="s">
        <v>103</v>
      </c>
      <c r="F18" s="104">
        <v>142.59</v>
      </c>
      <c r="G18" s="33">
        <f t="shared" si="0"/>
        <v>266807.28000000003</v>
      </c>
      <c r="H18" s="37">
        <f>ROUND((G18/$G$43),5)</f>
        <v>1.336E-2</v>
      </c>
      <c r="I18" s="35">
        <v>186765.1</v>
      </c>
      <c r="J18" s="314">
        <f>K18-I18</f>
        <v>0</v>
      </c>
      <c r="K18" s="35">
        <f>ROUND(0.7*G18,2)</f>
        <v>186765.1</v>
      </c>
      <c r="L18" s="37">
        <f>ROUND(K18/G43,5)</f>
        <v>9.3600000000000003E-3</v>
      </c>
      <c r="M18" s="38" t="str">
        <f>IF(L18=H18,"COMPLETED","On-going")</f>
        <v>On-going</v>
      </c>
      <c r="N18"/>
      <c r="O18" s="1"/>
      <c r="P18" s="1"/>
      <c r="Q18" s="26"/>
      <c r="R18" s="27"/>
      <c r="S18" s="26"/>
    </row>
    <row r="19" spans="1:20" s="5" customFormat="1" ht="13.15" customHeight="1" x14ac:dyDescent="0.25">
      <c r="A19" s="122" t="s">
        <v>206</v>
      </c>
      <c r="B19" s="29" t="s">
        <v>208</v>
      </c>
      <c r="C19" s="30"/>
      <c r="D19" s="31">
        <v>743.28</v>
      </c>
      <c r="E19" s="32" t="s">
        <v>103</v>
      </c>
      <c r="F19" s="104">
        <v>111.2</v>
      </c>
      <c r="G19" s="33">
        <f t="shared" si="0"/>
        <v>82652.740000000005</v>
      </c>
      <c r="H19" s="37">
        <f>ROUND((G19/$G$43),5)</f>
        <v>4.1399999999999996E-3</v>
      </c>
      <c r="I19" s="35">
        <v>57856.92</v>
      </c>
      <c r="J19" s="314">
        <f t="shared" ref="J19:J24" si="1">K19-I19</f>
        <v>0</v>
      </c>
      <c r="K19" s="35">
        <f>ROUND(0.7*G19,2)</f>
        <v>57856.92</v>
      </c>
      <c r="L19" s="37">
        <f>ROUND(K19/G43,5)</f>
        <v>2.8999999999999998E-3</v>
      </c>
      <c r="M19" s="38" t="str">
        <f>IF(L19=H19,"COMPLETED","On-going")</f>
        <v>On-going</v>
      </c>
      <c r="N19" s="311">
        <f>371.64*F19</f>
        <v>41326.368000000002</v>
      </c>
      <c r="O19" s="1"/>
      <c r="P19" s="1"/>
      <c r="Q19" s="26"/>
      <c r="R19" s="27"/>
      <c r="S19" s="26"/>
    </row>
    <row r="20" spans="1:20" s="5" customFormat="1" ht="13.15" customHeight="1" x14ac:dyDescent="0.25">
      <c r="A20" s="122" t="s">
        <v>97</v>
      </c>
      <c r="B20" s="29" t="s">
        <v>209</v>
      </c>
      <c r="C20" s="30"/>
      <c r="D20" s="31">
        <v>2481.5</v>
      </c>
      <c r="E20" s="32" t="s">
        <v>104</v>
      </c>
      <c r="F20" s="104">
        <v>17.440000000000001</v>
      </c>
      <c r="G20" s="33">
        <f t="shared" si="0"/>
        <v>43277.36</v>
      </c>
      <c r="H20" s="37">
        <f>ROUND((G20/$G$43),5)</f>
        <v>2.1700000000000001E-3</v>
      </c>
      <c r="I20" s="35">
        <v>30294.15</v>
      </c>
      <c r="J20" s="314">
        <f t="shared" si="1"/>
        <v>0</v>
      </c>
      <c r="K20" s="35">
        <f>ROUND(G20*0.7,2)</f>
        <v>30294.15</v>
      </c>
      <c r="L20" s="37">
        <f>ROUND(K20/G43,5)</f>
        <v>1.5200000000000001E-3</v>
      </c>
      <c r="M20" s="38" t="str">
        <f>IF(L20=H20,"COMPLETED","On-going")</f>
        <v>On-going</v>
      </c>
      <c r="N20" s="311">
        <f>1240.75*F20</f>
        <v>21638.68</v>
      </c>
      <c r="O20" s="1"/>
      <c r="P20" s="1"/>
      <c r="Q20" s="26"/>
      <c r="R20" s="27"/>
      <c r="S20" s="26"/>
    </row>
    <row r="21" spans="1:20" s="5" customFormat="1" ht="13.15" customHeight="1" x14ac:dyDescent="0.25">
      <c r="A21" s="289" t="s">
        <v>210</v>
      </c>
      <c r="B21" s="309" t="s">
        <v>211</v>
      </c>
      <c r="C21" s="310"/>
      <c r="D21" s="290"/>
      <c r="E21" s="291"/>
      <c r="F21" s="292"/>
      <c r="G21" s="293"/>
      <c r="H21" s="294"/>
      <c r="I21" s="295"/>
      <c r="J21" s="296"/>
      <c r="K21" s="295"/>
      <c r="L21" s="297"/>
      <c r="M21" s="298"/>
      <c r="N21"/>
      <c r="O21" s="1"/>
      <c r="P21" s="1"/>
      <c r="Q21" s="26"/>
      <c r="R21" s="27"/>
      <c r="S21" s="26"/>
    </row>
    <row r="22" spans="1:20" s="5" customFormat="1" ht="13.15" customHeight="1" x14ac:dyDescent="0.25">
      <c r="A22" s="122" t="s">
        <v>98</v>
      </c>
      <c r="B22" s="29" t="s">
        <v>110</v>
      </c>
      <c r="C22" s="30"/>
      <c r="D22" s="31">
        <v>760.33</v>
      </c>
      <c r="E22" s="32" t="s">
        <v>103</v>
      </c>
      <c r="F22" s="104">
        <v>684.79</v>
      </c>
      <c r="G22" s="33">
        <f>ROUND(F22*D22,2)</f>
        <v>520666.38</v>
      </c>
      <c r="H22" s="37">
        <f>ROUND((G22/$G$43),5)</f>
        <v>2.6079999999999999E-2</v>
      </c>
      <c r="I22" s="35">
        <v>225764.99</v>
      </c>
      <c r="J22" s="314">
        <f t="shared" si="1"/>
        <v>0</v>
      </c>
      <c r="K22" s="35">
        <f>ROUND((177.25*0.2*5*F22)+(177.25*0.43*F22*2),2)</f>
        <v>225764.99</v>
      </c>
      <c r="L22" s="37">
        <f>ROUND(K22/G43,5)</f>
        <v>1.1310000000000001E-2</v>
      </c>
      <c r="M22" s="38" t="str">
        <f>IF(L22=H22,"COMPLETED","On-going")</f>
        <v>On-going</v>
      </c>
      <c r="N22" s="311">
        <f>380.165*F22</f>
        <v>260333.19034999999</v>
      </c>
      <c r="O22" s="39">
        <v>0.8</v>
      </c>
      <c r="P22" s="1"/>
      <c r="Q22" s="40">
        <f t="shared" ref="Q22:Q40" si="2">D22*F22</f>
        <v>520666.38069999998</v>
      </c>
      <c r="R22" s="40">
        <f>ROUND($R$9*Q22,2)</f>
        <v>0</v>
      </c>
      <c r="S22" s="40">
        <f>Q22-R22</f>
        <v>520666.38069999998</v>
      </c>
      <c r="T22" s="1">
        <v>40384.71</v>
      </c>
    </row>
    <row r="23" spans="1:20" s="5" customFormat="1" ht="13.9" customHeight="1" x14ac:dyDescent="0.25">
      <c r="A23" s="289" t="s">
        <v>212</v>
      </c>
      <c r="B23" s="309" t="s">
        <v>213</v>
      </c>
      <c r="C23" s="310"/>
      <c r="D23" s="290"/>
      <c r="E23" s="291"/>
      <c r="F23" s="292"/>
      <c r="G23" s="293"/>
      <c r="H23" s="294"/>
      <c r="I23" s="295"/>
      <c r="J23" s="296"/>
      <c r="K23" s="295"/>
      <c r="L23" s="297"/>
      <c r="M23" s="298"/>
      <c r="N23"/>
      <c r="O23" s="39">
        <v>0.8</v>
      </c>
      <c r="P23" s="1"/>
      <c r="Q23" s="40">
        <f t="shared" si="2"/>
        <v>0</v>
      </c>
      <c r="R23" s="40">
        <f t="shared" ref="R23:R40" si="3">ROUND($R$9*Q23,2)</f>
        <v>0</v>
      </c>
      <c r="S23" s="40">
        <f t="shared" ref="S23:S40" si="4">Q23-R23</f>
        <v>0</v>
      </c>
      <c r="T23" s="1">
        <v>23203.8</v>
      </c>
    </row>
    <row r="24" spans="1:20" s="5" customFormat="1" ht="13.9" customHeight="1" x14ac:dyDescent="0.25">
      <c r="A24" s="122">
        <f>swa_BC!A12</f>
        <v>0</v>
      </c>
      <c r="B24" s="29" t="str">
        <f>swa_BC!B12</f>
        <v>Mobilization/ Demobilization</v>
      </c>
      <c r="C24" s="30"/>
      <c r="D24" s="31">
        <v>1772.5</v>
      </c>
      <c r="E24" s="32" t="str">
        <f>swa_BC!E12</f>
        <v>sq.m</v>
      </c>
      <c r="F24" s="104">
        <v>1248.3499999999999</v>
      </c>
      <c r="G24" s="33">
        <f>ROUND(F24*D24,2)</f>
        <v>2212700.38</v>
      </c>
      <c r="H24" s="37">
        <f>ROUND((G24/$G$43),5)</f>
        <v>0.11083999999999999</v>
      </c>
      <c r="I24" s="35">
        <v>1106350.19</v>
      </c>
      <c r="J24" s="314">
        <f t="shared" ca="1" si="1"/>
        <v>0</v>
      </c>
      <c r="K24" s="35">
        <f ca="1">K24-I24</f>
        <v>0</v>
      </c>
      <c r="L24" s="37">
        <f ca="1">ROUND(K24/G43,5)</f>
        <v>7.7929999999999999E-2</v>
      </c>
      <c r="M24" s="38" t="str">
        <f ca="1">IF(L24=H24,"COMPLETED","On-going")</f>
        <v>On-going</v>
      </c>
      <c r="N24" s="311">
        <f>(443.125+180)*F24*2</f>
        <v>1555756.1875</v>
      </c>
      <c r="O24" s="1">
        <f>443.125/2.5</f>
        <v>177.25</v>
      </c>
      <c r="P24" s="1"/>
      <c r="Q24" s="40">
        <f t="shared" si="2"/>
        <v>2212700.375</v>
      </c>
      <c r="R24" s="40">
        <f t="shared" si="3"/>
        <v>0</v>
      </c>
      <c r="S24" s="40">
        <f t="shared" si="4"/>
        <v>2212700.375</v>
      </c>
      <c r="T24" s="1">
        <v>61058.41</v>
      </c>
    </row>
    <row r="25" spans="1:20" s="5" customFormat="1" ht="13.9" customHeight="1" x14ac:dyDescent="0.25">
      <c r="A25" s="299" t="s">
        <v>214</v>
      </c>
      <c r="B25" s="503" t="s">
        <v>215</v>
      </c>
      <c r="C25" s="504"/>
      <c r="D25" s="300"/>
      <c r="E25" s="301"/>
      <c r="F25" s="302"/>
      <c r="G25" s="303"/>
      <c r="H25" s="304"/>
      <c r="I25" s="305"/>
      <c r="J25" s="306"/>
      <c r="K25" s="305"/>
      <c r="L25" s="307"/>
      <c r="M25" s="308"/>
      <c r="N25" s="41"/>
      <c r="O25" s="1"/>
      <c r="P25" s="1"/>
      <c r="Q25" s="40">
        <f t="shared" si="2"/>
        <v>0</v>
      </c>
      <c r="R25" s="40">
        <f t="shared" si="3"/>
        <v>0</v>
      </c>
      <c r="S25" s="40">
        <f t="shared" si="4"/>
        <v>0</v>
      </c>
      <c r="T25" s="1">
        <v>1127300.56</v>
      </c>
    </row>
    <row r="26" spans="1:20" s="5" customFormat="1" ht="13.9" customHeight="1" x14ac:dyDescent="0.2">
      <c r="A26" s="289" t="s">
        <v>216</v>
      </c>
      <c r="B26" s="309" t="s">
        <v>204</v>
      </c>
      <c r="C26" s="310"/>
      <c r="D26" s="290"/>
      <c r="E26" s="291"/>
      <c r="F26" s="292"/>
      <c r="G26" s="293"/>
      <c r="H26" s="294"/>
      <c r="I26" s="295"/>
      <c r="J26" s="296"/>
      <c r="K26" s="295"/>
      <c r="L26" s="297"/>
      <c r="M26" s="298"/>
      <c r="N26" s="1"/>
      <c r="O26" s="1"/>
      <c r="P26" s="1"/>
      <c r="Q26" s="40">
        <f t="shared" si="2"/>
        <v>0</v>
      </c>
      <c r="R26" s="40">
        <f t="shared" si="3"/>
        <v>0</v>
      </c>
      <c r="S26" s="40">
        <f t="shared" si="4"/>
        <v>0</v>
      </c>
      <c r="T26" s="1">
        <v>3199178.36</v>
      </c>
    </row>
    <row r="27" spans="1:20" s="5" customFormat="1" ht="13.9" customHeight="1" x14ac:dyDescent="0.2">
      <c r="A27" s="122" t="s">
        <v>217</v>
      </c>
      <c r="B27" s="29" t="s">
        <v>107</v>
      </c>
      <c r="C27" s="30"/>
      <c r="D27" s="31">
        <v>83.28</v>
      </c>
      <c r="E27" s="32" t="str">
        <f>swa_BC!E15</f>
        <v>cu.m</v>
      </c>
      <c r="F27" s="104">
        <v>127.85</v>
      </c>
      <c r="G27" s="33">
        <f>ROUND(F27*D27,2)</f>
        <v>10647.35</v>
      </c>
      <c r="H27" s="37">
        <f>ROUND((G27/$G$43),5)</f>
        <v>5.2999999999999998E-4</v>
      </c>
      <c r="I27" s="35"/>
      <c r="J27" s="36"/>
      <c r="K27" s="35"/>
      <c r="L27" s="37">
        <f>ROUND(K27/G43,5)</f>
        <v>0</v>
      </c>
      <c r="M27" s="38" t="s">
        <v>245</v>
      </c>
      <c r="N27" s="1">
        <f>G27</f>
        <v>10647.35</v>
      </c>
      <c r="O27" s="1"/>
      <c r="P27" s="1"/>
      <c r="Q27" s="40"/>
      <c r="R27" s="40"/>
      <c r="S27" s="40"/>
      <c r="T27" s="1"/>
    </row>
    <row r="28" spans="1:20" s="5" customFormat="1" ht="13.9" customHeight="1" x14ac:dyDescent="0.2">
      <c r="A28" s="122" t="s">
        <v>219</v>
      </c>
      <c r="B28" s="29" t="s">
        <v>220</v>
      </c>
      <c r="C28" s="30"/>
      <c r="D28" s="276" t="s">
        <v>244</v>
      </c>
      <c r="E28" s="32" t="s">
        <v>242</v>
      </c>
      <c r="F28" s="104">
        <v>3120000</v>
      </c>
      <c r="G28" s="33">
        <f>F28</f>
        <v>3120000</v>
      </c>
      <c r="H28" s="37">
        <f>ROUND((G28/$G$43),5)</f>
        <v>0.15628</v>
      </c>
      <c r="I28" s="35">
        <v>2340000</v>
      </c>
      <c r="J28" s="35">
        <f>K28-I28</f>
        <v>0</v>
      </c>
      <c r="K28" s="35">
        <f>0.75*G28</f>
        <v>2340000</v>
      </c>
      <c r="L28" s="37">
        <f>ROUND(K28/G43,5)</f>
        <v>0.11720999999999999</v>
      </c>
      <c r="M28" s="38" t="str">
        <f>IF(L28=H28,"COMPLETED","On-going")</f>
        <v>On-going</v>
      </c>
      <c r="N28" s="1">
        <f>G28</f>
        <v>3120000</v>
      </c>
      <c r="O28" s="1"/>
      <c r="P28" s="1"/>
      <c r="Q28" s="40"/>
      <c r="R28" s="40"/>
      <c r="S28" s="40"/>
      <c r="T28" s="1"/>
    </row>
    <row r="29" spans="1:20" s="5" customFormat="1" ht="13.9" customHeight="1" x14ac:dyDescent="0.2">
      <c r="A29" s="289" t="s">
        <v>218</v>
      </c>
      <c r="B29" s="309" t="s">
        <v>221</v>
      </c>
      <c r="C29" s="310"/>
      <c r="D29" s="290"/>
      <c r="E29" s="291"/>
      <c r="F29" s="292"/>
      <c r="G29" s="293"/>
      <c r="H29" s="294"/>
      <c r="I29" s="295"/>
      <c r="J29" s="296"/>
      <c r="K29" s="295"/>
      <c r="L29" s="297"/>
      <c r="M29" s="298"/>
      <c r="N29" s="1"/>
      <c r="O29" s="1"/>
      <c r="P29" s="1"/>
      <c r="Q29" s="40"/>
      <c r="R29" s="40"/>
      <c r="S29" s="40"/>
      <c r="T29" s="1"/>
    </row>
    <row r="30" spans="1:20" s="5" customFormat="1" ht="13.9" customHeight="1" x14ac:dyDescent="0.2">
      <c r="A30" s="122" t="s">
        <v>222</v>
      </c>
      <c r="B30" s="29" t="s">
        <v>223</v>
      </c>
      <c r="C30" s="30"/>
      <c r="D30" s="31">
        <v>784</v>
      </c>
      <c r="E30" s="32" t="s">
        <v>113</v>
      </c>
      <c r="F30" s="104">
        <v>5449.5</v>
      </c>
      <c r="G30" s="33">
        <f>ROUND(F30*D30,2)</f>
        <v>4272408</v>
      </c>
      <c r="H30" s="37">
        <f>ROUND((G30/$G$43),5)</f>
        <v>0.21401000000000001</v>
      </c>
      <c r="I30" s="35">
        <v>3269700</v>
      </c>
      <c r="J30" s="35">
        <f>K30-I30</f>
        <v>0</v>
      </c>
      <c r="K30" s="35">
        <f>N30</f>
        <v>3269700</v>
      </c>
      <c r="L30" s="37">
        <f>ROUND(K30/G43,5)</f>
        <v>0.16378000000000001</v>
      </c>
      <c r="M30" s="38" t="str">
        <f t="shared" ref="M30:M35" si="5">IF(L30=H30,"COMPLETED","On-going")</f>
        <v>On-going</v>
      </c>
      <c r="N30" s="1">
        <f>600*F30</f>
        <v>3269700</v>
      </c>
      <c r="O30" s="1">
        <f>50*12</f>
        <v>600</v>
      </c>
      <c r="P30" s="1"/>
      <c r="Q30" s="40"/>
      <c r="R30" s="40"/>
      <c r="S30" s="40"/>
      <c r="T30" s="1"/>
    </row>
    <row r="31" spans="1:20" s="5" customFormat="1" ht="13.9" customHeight="1" x14ac:dyDescent="0.2">
      <c r="A31" s="122" t="s">
        <v>224</v>
      </c>
      <c r="B31" s="29" t="s">
        <v>225</v>
      </c>
      <c r="C31" s="30"/>
      <c r="D31" s="31">
        <v>539</v>
      </c>
      <c r="E31" s="32" t="s">
        <v>113</v>
      </c>
      <c r="F31" s="104">
        <v>2106.23</v>
      </c>
      <c r="G31" s="33">
        <f>ROUND(F31*D31,2)</f>
        <v>1135257.97</v>
      </c>
      <c r="H31" s="37">
        <f>ROUND((G31/$G$43),5)</f>
        <v>5.6869999999999997E-2</v>
      </c>
      <c r="I31" s="35">
        <v>631869</v>
      </c>
      <c r="J31" s="35">
        <f>K31-I31</f>
        <v>0</v>
      </c>
      <c r="K31" s="35">
        <f>N31</f>
        <v>631869</v>
      </c>
      <c r="L31" s="37">
        <f>ROUND(K31/G43,5)</f>
        <v>3.1649999999999998E-2</v>
      </c>
      <c r="M31" s="38" t="str">
        <f t="shared" si="5"/>
        <v>On-going</v>
      </c>
      <c r="N31" s="1">
        <f>25*12*F31</f>
        <v>631869</v>
      </c>
      <c r="O31" s="1"/>
      <c r="P31" s="1"/>
      <c r="Q31" s="40"/>
      <c r="R31" s="40"/>
      <c r="S31" s="40"/>
      <c r="T31" s="1"/>
    </row>
    <row r="32" spans="1:20" ht="13.9" customHeight="1" x14ac:dyDescent="0.25">
      <c r="A32" s="122" t="s">
        <v>226</v>
      </c>
      <c r="B32" s="29" t="s">
        <v>227</v>
      </c>
      <c r="C32" s="30"/>
      <c r="D32" s="31">
        <v>16</v>
      </c>
      <c r="E32" s="32" t="s">
        <v>113</v>
      </c>
      <c r="F32" s="104">
        <v>7308</v>
      </c>
      <c r="G32" s="33">
        <f>ROUND(F32*D32,2)</f>
        <v>116928</v>
      </c>
      <c r="H32" s="37">
        <f>ROUND((G32/$G$43),5)</f>
        <v>5.8599999999999998E-3</v>
      </c>
      <c r="I32" s="35">
        <v>109620</v>
      </c>
      <c r="J32" s="35">
        <f>K32-I32</f>
        <v>0</v>
      </c>
      <c r="K32" s="35">
        <f>F32*15</f>
        <v>109620</v>
      </c>
      <c r="L32" s="37">
        <f>ROUND(K32/G43,5)</f>
        <v>5.4900000000000001E-3</v>
      </c>
      <c r="M32" s="38" t="str">
        <f t="shared" si="5"/>
        <v>On-going</v>
      </c>
      <c r="N32" s="42">
        <f>G32</f>
        <v>116928</v>
      </c>
      <c r="Q32" s="40">
        <f t="shared" si="2"/>
        <v>116928</v>
      </c>
      <c r="R32" s="40">
        <f t="shared" si="3"/>
        <v>0</v>
      </c>
      <c r="S32" s="40">
        <f t="shared" si="4"/>
        <v>116928</v>
      </c>
      <c r="T32" s="1">
        <v>32303.68</v>
      </c>
    </row>
    <row r="33" spans="1:20" s="5" customFormat="1" ht="13.9" customHeight="1" x14ac:dyDescent="0.25">
      <c r="A33" s="289" t="s">
        <v>228</v>
      </c>
      <c r="B33" s="309" t="s">
        <v>229</v>
      </c>
      <c r="C33" s="310"/>
      <c r="D33" s="290"/>
      <c r="E33" s="291"/>
      <c r="F33" s="292"/>
      <c r="G33" s="293"/>
      <c r="H33" s="294"/>
      <c r="I33" s="295"/>
      <c r="J33" s="296"/>
      <c r="K33" s="295"/>
      <c r="L33" s="297"/>
      <c r="M33" s="298"/>
      <c r="N33"/>
      <c r="O33" s="39"/>
      <c r="P33" s="1"/>
      <c r="Q33" s="40">
        <f t="shared" si="2"/>
        <v>0</v>
      </c>
      <c r="R33" s="40">
        <f t="shared" si="3"/>
        <v>0</v>
      </c>
      <c r="S33" s="40">
        <f t="shared" si="4"/>
        <v>0</v>
      </c>
      <c r="T33" s="1">
        <v>23203.8</v>
      </c>
    </row>
    <row r="34" spans="1:20" s="5" customFormat="1" ht="13.9" customHeight="1" x14ac:dyDescent="0.25">
      <c r="A34" s="122" t="s">
        <v>230</v>
      </c>
      <c r="B34" s="29" t="s">
        <v>240</v>
      </c>
      <c r="C34" s="30"/>
      <c r="D34" s="31">
        <v>35236.81</v>
      </c>
      <c r="E34" s="32" t="s">
        <v>243</v>
      </c>
      <c r="F34" s="104">
        <v>90.34</v>
      </c>
      <c r="G34" s="33">
        <f>ROUND(F34*D34,2)</f>
        <v>3183293.42</v>
      </c>
      <c r="H34" s="37">
        <f>ROUND((G34/$G$43),5)</f>
        <v>0.15945999999999999</v>
      </c>
      <c r="I34" s="35">
        <v>1206153.94</v>
      </c>
      <c r="J34" s="35">
        <f>K34-I34</f>
        <v>257063.16519999993</v>
      </c>
      <c r="K34" s="35">
        <f>N34</f>
        <v>1463217.1051999999</v>
      </c>
      <c r="L34" s="37">
        <f>ROUND(K34/G43,5)</f>
        <v>7.3289999999999994E-2</v>
      </c>
      <c r="M34" s="38" t="str">
        <f t="shared" si="5"/>
        <v>On-going</v>
      </c>
      <c r="N34" s="311">
        <f>Q34*4*F34</f>
        <v>1463217.1051999999</v>
      </c>
      <c r="O34" s="1">
        <v>4740.1949999999997</v>
      </c>
      <c r="P34" s="1">
        <v>691</v>
      </c>
      <c r="Q34" s="40">
        <f>O34-P34</f>
        <v>4049.1949999999997</v>
      </c>
      <c r="R34" s="40">
        <f t="shared" si="3"/>
        <v>0</v>
      </c>
      <c r="S34" s="40">
        <f t="shared" si="4"/>
        <v>4049.1949999999997</v>
      </c>
      <c r="T34" s="1">
        <v>61058.41</v>
      </c>
    </row>
    <row r="35" spans="1:20" s="5" customFormat="1" ht="13.9" customHeight="1" x14ac:dyDescent="0.25">
      <c r="A35" s="122" t="s">
        <v>231</v>
      </c>
      <c r="B35" s="29" t="s">
        <v>236</v>
      </c>
      <c r="C35" s="30"/>
      <c r="D35" s="31">
        <v>250.79</v>
      </c>
      <c r="E35" s="32" t="s">
        <v>103</v>
      </c>
      <c r="F35" s="104">
        <v>10432.84</v>
      </c>
      <c r="G35" s="33">
        <f>ROUND(F35*D35,2)</f>
        <v>2616451.94</v>
      </c>
      <c r="H35" s="37">
        <f>ROUND((G35/$G$43),5)</f>
        <v>0.13106000000000001</v>
      </c>
      <c r="I35" s="35">
        <f>ROUND(735723.88,2)</f>
        <v>735723.88</v>
      </c>
      <c r="J35" s="35">
        <f>K35-I35</f>
        <v>598406.83351999975</v>
      </c>
      <c r="K35" s="35">
        <f>N35</f>
        <v>1334130.7135199998</v>
      </c>
      <c r="L35" s="37">
        <f>ROUND(K35/G43,5)</f>
        <v>6.6830000000000001E-2</v>
      </c>
      <c r="M35" s="38" t="str">
        <f t="shared" si="5"/>
        <v>On-going</v>
      </c>
      <c r="N35" s="311">
        <f>((O35*4)+(4.67*5))*F35</f>
        <v>1334130.7135199998</v>
      </c>
      <c r="O35" s="1">
        <f>21.462+4.67</f>
        <v>26.131999999999998</v>
      </c>
      <c r="P35" s="1"/>
      <c r="Q35" s="40"/>
      <c r="R35" s="40"/>
      <c r="S35" s="40"/>
      <c r="T35" s="1"/>
    </row>
    <row r="36" spans="1:20" s="5" customFormat="1" ht="13.9" customHeight="1" x14ac:dyDescent="0.25">
      <c r="A36" s="289" t="s">
        <v>232</v>
      </c>
      <c r="B36" s="309" t="s">
        <v>233</v>
      </c>
      <c r="C36" s="310"/>
      <c r="D36" s="290"/>
      <c r="E36" s="291"/>
      <c r="F36" s="292"/>
      <c r="G36" s="293"/>
      <c r="H36" s="294"/>
      <c r="I36" s="295"/>
      <c r="J36" s="296"/>
      <c r="K36" s="295"/>
      <c r="L36" s="297"/>
      <c r="M36" s="298"/>
      <c r="N36"/>
      <c r="O36" s="1">
        <v>4.6719999999999997</v>
      </c>
      <c r="P36" s="1"/>
      <c r="Q36" s="40"/>
      <c r="R36" s="40"/>
      <c r="S36" s="40"/>
      <c r="T36" s="1"/>
    </row>
    <row r="37" spans="1:20" s="5" customFormat="1" ht="13.9" customHeight="1" x14ac:dyDescent="0.25">
      <c r="A37" s="122" t="s">
        <v>234</v>
      </c>
      <c r="B37" s="29" t="s">
        <v>240</v>
      </c>
      <c r="C37" s="30"/>
      <c r="D37" s="31">
        <v>7375.11</v>
      </c>
      <c r="E37" s="32" t="s">
        <v>243</v>
      </c>
      <c r="F37" s="104">
        <v>88.98</v>
      </c>
      <c r="G37" s="33">
        <f>ROUND(F37*D37,2)</f>
        <v>656237.29</v>
      </c>
      <c r="H37" s="37">
        <f>ROUND((G37/$G$43),5)</f>
        <v>3.2870000000000003E-2</v>
      </c>
      <c r="I37" s="35"/>
      <c r="J37" s="36"/>
      <c r="K37" s="35">
        <f>J37-I37</f>
        <v>0</v>
      </c>
      <c r="L37" s="37">
        <f>ROUND(K37/G43,5)</f>
        <v>0</v>
      </c>
      <c r="M37" s="38" t="s">
        <v>245</v>
      </c>
      <c r="N37"/>
      <c r="O37" s="1"/>
      <c r="P37" s="1"/>
      <c r="Q37" s="40"/>
      <c r="R37" s="40"/>
      <c r="S37" s="40"/>
      <c r="T37" s="1"/>
    </row>
    <row r="38" spans="1:20" s="5" customFormat="1" ht="13.9" customHeight="1" x14ac:dyDescent="0.25">
      <c r="A38" s="122" t="s">
        <v>235</v>
      </c>
      <c r="B38" s="29" t="s">
        <v>237</v>
      </c>
      <c r="C38" s="30"/>
      <c r="D38" s="31">
        <v>136.68</v>
      </c>
      <c r="E38" s="32" t="s">
        <v>103</v>
      </c>
      <c r="F38" s="104">
        <v>6860.58</v>
      </c>
      <c r="G38" s="33">
        <f>ROUND(F38*D38,2)</f>
        <v>937704.07</v>
      </c>
      <c r="H38" s="37">
        <f>ROUND((G38/$G$43),5)</f>
        <v>4.6969999999999998E-2</v>
      </c>
      <c r="I38" s="35"/>
      <c r="J38" s="36"/>
      <c r="K38" s="35">
        <f>J38-I38</f>
        <v>0</v>
      </c>
      <c r="L38" s="37">
        <f>ROUND(K38/G43,5)</f>
        <v>0</v>
      </c>
      <c r="M38" s="38" t="s">
        <v>245</v>
      </c>
      <c r="N38"/>
      <c r="O38" s="1"/>
      <c r="P38" s="1"/>
      <c r="Q38" s="40"/>
      <c r="R38" s="40"/>
      <c r="S38" s="40"/>
      <c r="T38" s="1"/>
    </row>
    <row r="39" spans="1:20" s="5" customFormat="1" ht="13.9" customHeight="1" x14ac:dyDescent="0.25">
      <c r="A39" s="289" t="s">
        <v>238</v>
      </c>
      <c r="B39" s="309" t="s">
        <v>239</v>
      </c>
      <c r="C39" s="310"/>
      <c r="D39" s="290"/>
      <c r="E39" s="291"/>
      <c r="F39" s="292"/>
      <c r="G39" s="293"/>
      <c r="H39" s="294"/>
      <c r="I39" s="295"/>
      <c r="J39" s="296"/>
      <c r="K39" s="295"/>
      <c r="L39" s="297"/>
      <c r="M39" s="298"/>
      <c r="N39" s="41"/>
      <c r="O39" s="1"/>
      <c r="P39" s="1"/>
      <c r="Q39" s="40">
        <f t="shared" si="2"/>
        <v>0</v>
      </c>
      <c r="R39" s="40">
        <f t="shared" si="3"/>
        <v>0</v>
      </c>
      <c r="S39" s="40">
        <f t="shared" si="4"/>
        <v>0</v>
      </c>
      <c r="T39" s="1">
        <v>1127300.56</v>
      </c>
    </row>
    <row r="40" spans="1:20" s="5" customFormat="1" ht="13.9" customHeight="1" x14ac:dyDescent="0.2">
      <c r="A40" s="122" t="s">
        <v>234</v>
      </c>
      <c r="B40" s="29" t="s">
        <v>240</v>
      </c>
      <c r="C40" s="30"/>
      <c r="D40" s="31">
        <v>3194.34</v>
      </c>
      <c r="E40" s="32" t="s">
        <v>243</v>
      </c>
      <c r="F40" s="104">
        <v>100.33</v>
      </c>
      <c r="G40" s="33">
        <f>ROUND(F40*D40,2)</f>
        <v>320488.13</v>
      </c>
      <c r="H40" s="37">
        <f>ROUND((G40/$G$43),5)</f>
        <v>1.6049999999999998E-2</v>
      </c>
      <c r="I40" s="35"/>
      <c r="J40" s="36"/>
      <c r="K40" s="35">
        <f>J40-I40</f>
        <v>0</v>
      </c>
      <c r="L40" s="37">
        <f>ROUND(K40/G43,5)</f>
        <v>0</v>
      </c>
      <c r="M40" s="38" t="s">
        <v>245</v>
      </c>
      <c r="N40" s="1">
        <v>11</v>
      </c>
      <c r="O40" s="1"/>
      <c r="P40" s="1"/>
      <c r="Q40" s="40">
        <f t="shared" si="2"/>
        <v>320488.13219999999</v>
      </c>
      <c r="R40" s="40">
        <f t="shared" si="3"/>
        <v>0</v>
      </c>
      <c r="S40" s="40">
        <f t="shared" si="4"/>
        <v>320488.13219999999</v>
      </c>
      <c r="T40" s="1">
        <v>3199178.36</v>
      </c>
    </row>
    <row r="41" spans="1:20" s="5" customFormat="1" ht="13.15" customHeight="1" x14ac:dyDescent="0.25">
      <c r="A41" s="122" t="s">
        <v>235</v>
      </c>
      <c r="B41" s="29" t="s">
        <v>237</v>
      </c>
      <c r="C41" s="30"/>
      <c r="D41" s="31">
        <v>18.71</v>
      </c>
      <c r="E41" s="32" t="s">
        <v>103</v>
      </c>
      <c r="F41" s="104">
        <v>8467.4599999999991</v>
      </c>
      <c r="G41" s="33">
        <f>ROUND(F41*D41,2)</f>
        <v>158426.18</v>
      </c>
      <c r="H41" s="37">
        <f>ROUND((G41/$G$43),5)</f>
        <v>7.9399999999999991E-3</v>
      </c>
      <c r="I41" s="35"/>
      <c r="J41" s="36"/>
      <c r="K41" s="35">
        <f>J41-I41</f>
        <v>0</v>
      </c>
      <c r="L41" s="37">
        <f>ROUND(K41/G43,5)</f>
        <v>0</v>
      </c>
      <c r="M41" s="38" t="s">
        <v>245</v>
      </c>
      <c r="N41"/>
      <c r="O41" s="1"/>
      <c r="P41" s="1"/>
      <c r="Q41" s="40"/>
      <c r="R41" s="40"/>
      <c r="S41" s="40"/>
    </row>
    <row r="42" spans="1:20" s="5" customFormat="1" ht="13.15" customHeight="1" thickBot="1" x14ac:dyDescent="0.3">
      <c r="A42" s="122"/>
      <c r="B42" s="29"/>
      <c r="C42" s="30"/>
      <c r="D42" s="31"/>
      <c r="E42" s="32"/>
      <c r="F42" s="104"/>
      <c r="G42" s="33"/>
      <c r="H42" s="37"/>
      <c r="I42" s="35"/>
      <c r="J42" s="36"/>
      <c r="K42" s="35"/>
      <c r="L42" s="37"/>
      <c r="M42" s="38"/>
      <c r="N42"/>
      <c r="O42" s="1"/>
      <c r="P42" s="1"/>
      <c r="Q42" s="40"/>
      <c r="R42" s="40"/>
      <c r="S42" s="40"/>
    </row>
    <row r="43" spans="1:20" s="5" customFormat="1" ht="13.15" customHeight="1" thickBot="1" x14ac:dyDescent="0.25">
      <c r="A43" s="498" t="s">
        <v>18</v>
      </c>
      <c r="B43" s="499"/>
      <c r="C43" s="499"/>
      <c r="D43" s="499"/>
      <c r="E43" s="499"/>
      <c r="F43" s="43"/>
      <c r="G43" s="44">
        <f>SUM(G11:G42)</f>
        <v>19963540.739999998</v>
      </c>
      <c r="H43" s="45">
        <f>SUM(H11:H41)</f>
        <v>1.0000099999999998</v>
      </c>
      <c r="I43" s="44">
        <v>9625181.9900000002</v>
      </c>
      <c r="J43" s="44">
        <f ca="1">SUM(J11:J42)</f>
        <v>855469.99871999968</v>
      </c>
      <c r="K43" s="44">
        <f ca="1">SUM(K11:K42)</f>
        <v>11393156.563369999</v>
      </c>
      <c r="L43" s="114">
        <f ca="1">SUM(L11:L41)</f>
        <v>0.57068999999999992</v>
      </c>
      <c r="M43" s="46"/>
      <c r="N43" s="47"/>
      <c r="O43" s="1"/>
      <c r="P43" s="1"/>
      <c r="Q43" s="48">
        <f>SUM(Q22:Q40)</f>
        <v>3174832.0828999998</v>
      </c>
      <c r="R43" s="49">
        <f>SUM(R22:R40)</f>
        <v>0</v>
      </c>
      <c r="S43" s="40">
        <f>SUM(S22:S40)</f>
        <v>3174832.0828999998</v>
      </c>
      <c r="T43" s="40">
        <f>SUM(T22:T40)</f>
        <v>8894170.6499999985</v>
      </c>
    </row>
    <row r="44" spans="1:20" s="5" customFormat="1" ht="13.15" customHeight="1" x14ac:dyDescent="0.2">
      <c r="A44" s="50"/>
      <c r="B44" s="50"/>
      <c r="C44" s="50"/>
      <c r="D44" s="50"/>
      <c r="E44" s="50"/>
      <c r="F44" s="51"/>
      <c r="G44" s="51"/>
      <c r="H44" s="52"/>
      <c r="I44" s="51"/>
      <c r="J44" s="51"/>
      <c r="K44" s="51"/>
      <c r="L44" s="51"/>
      <c r="M44" s="53"/>
      <c r="O44" s="1"/>
      <c r="P44" s="1"/>
      <c r="Q44" s="40">
        <f>ROUND(Q43*R9,2)</f>
        <v>0</v>
      </c>
    </row>
    <row r="45" spans="1:20" s="5" customFormat="1" ht="13.15" customHeight="1" x14ac:dyDescent="0.2">
      <c r="A45" s="53"/>
      <c r="B45" s="53"/>
      <c r="C45" s="53"/>
      <c r="D45" s="53"/>
      <c r="E45" s="53"/>
      <c r="F45" s="51"/>
      <c r="G45" s="51"/>
      <c r="H45" s="51"/>
      <c r="I45" s="53"/>
      <c r="J45" s="53"/>
      <c r="K45" s="53"/>
      <c r="L45" s="53"/>
      <c r="M45" s="53"/>
      <c r="O45" s="1"/>
      <c r="P45" s="1"/>
      <c r="Q45" s="40">
        <f>Q43-Q44</f>
        <v>3174832.0828999998</v>
      </c>
    </row>
    <row r="46" spans="1:20" s="5" customFormat="1" ht="13.15" customHeight="1" x14ac:dyDescent="0.25">
      <c r="A46" s="53"/>
      <c r="B46" s="53"/>
      <c r="C46" s="53"/>
      <c r="E46" s="53"/>
      <c r="F46" s="53" t="s">
        <v>19</v>
      </c>
      <c r="I46" s="501">
        <f ca="1">L43</f>
        <v>0.57068999999999992</v>
      </c>
      <c r="J46" s="501"/>
      <c r="K46" s="54"/>
      <c r="L46" s="53"/>
      <c r="M46" s="53"/>
      <c r="O46" s="1"/>
      <c r="P46" s="1"/>
      <c r="Q46" s="40">
        <f>Q44-Q45</f>
        <v>-3174832.0828999998</v>
      </c>
    </row>
    <row r="47" spans="1:20" s="5" customFormat="1" ht="13.15" customHeight="1" x14ac:dyDescent="0.2">
      <c r="A47" s="53"/>
      <c r="B47" s="53"/>
      <c r="C47" s="53"/>
      <c r="E47" s="53"/>
      <c r="F47" s="55" t="s">
        <v>20</v>
      </c>
      <c r="I47" s="483">
        <f>G43</f>
        <v>19963540.739999998</v>
      </c>
      <c r="J47" s="483"/>
      <c r="K47" s="53"/>
      <c r="L47" s="53" t="s">
        <v>179</v>
      </c>
      <c r="M47" s="51"/>
      <c r="O47" s="1"/>
      <c r="P47" s="1"/>
    </row>
    <row r="48" spans="1:20" s="5" customFormat="1" ht="13.15" customHeight="1" x14ac:dyDescent="0.2">
      <c r="A48" s="53"/>
      <c r="B48" s="56"/>
      <c r="C48" s="56"/>
      <c r="E48" s="53"/>
      <c r="F48" s="55" t="s">
        <v>21</v>
      </c>
      <c r="I48" s="483">
        <f ca="1">J43</f>
        <v>855469.99871999968</v>
      </c>
      <c r="J48" s="483"/>
      <c r="K48" s="51"/>
      <c r="L48" s="53"/>
      <c r="M48" s="53"/>
      <c r="O48" s="1"/>
      <c r="P48" s="1"/>
    </row>
    <row r="49" spans="1:19" s="5" customFormat="1" ht="13.15" customHeight="1" thickBot="1" x14ac:dyDescent="0.25">
      <c r="A49" s="53"/>
      <c r="E49" s="56" t="s">
        <v>22</v>
      </c>
      <c r="F49" s="55" t="s">
        <v>23</v>
      </c>
      <c r="I49" s="480"/>
      <c r="J49" s="480"/>
      <c r="K49" s="51"/>
      <c r="L49" s="53"/>
      <c r="M49" s="53"/>
      <c r="O49" s="1"/>
      <c r="P49" s="1"/>
    </row>
    <row r="50" spans="1:19" s="5" customFormat="1" ht="13.15" customHeight="1" x14ac:dyDescent="0.2">
      <c r="A50" s="53"/>
      <c r="B50" s="53"/>
      <c r="C50" s="53"/>
      <c r="E50" s="53"/>
      <c r="F50" s="55" t="s">
        <v>24</v>
      </c>
      <c r="I50" s="481">
        <f ca="1">SUM(J43-I49)</f>
        <v>855469.99871999968</v>
      </c>
      <c r="J50" s="481"/>
      <c r="K50" s="51"/>
      <c r="L50" s="53"/>
      <c r="M50" s="53"/>
      <c r="O50" s="1"/>
      <c r="P50" s="1"/>
    </row>
    <row r="51" spans="1:19" s="5" customFormat="1" ht="13.15" customHeight="1" x14ac:dyDescent="0.2">
      <c r="A51" s="53"/>
      <c r="B51" s="53"/>
      <c r="C51" s="53"/>
      <c r="E51" s="53"/>
      <c r="F51" s="55"/>
      <c r="I51" s="57"/>
      <c r="J51" s="57"/>
      <c r="K51" s="51"/>
      <c r="L51" s="53"/>
      <c r="M51" s="53"/>
      <c r="O51" s="1"/>
      <c r="P51" s="1"/>
    </row>
    <row r="52" spans="1:19" ht="12.6" customHeight="1" x14ac:dyDescent="0.25">
      <c r="A52" s="2" t="s">
        <v>26</v>
      </c>
      <c r="C52" s="2" t="s">
        <v>86</v>
      </c>
      <c r="G52" s="99" t="s">
        <v>249</v>
      </c>
      <c r="H52" s="99"/>
      <c r="K52" s="99" t="s">
        <v>28</v>
      </c>
      <c r="L52" s="99"/>
      <c r="S52" s="2"/>
    </row>
    <row r="53" spans="1:19" ht="12.6" customHeight="1" x14ac:dyDescent="0.25">
      <c r="A53" s="2"/>
      <c r="B53" s="2"/>
      <c r="C53" s="2"/>
      <c r="G53" s="99"/>
      <c r="H53" s="99"/>
      <c r="I53" s="2"/>
      <c r="K53" s="99"/>
      <c r="L53" s="99"/>
      <c r="O53" s="58"/>
      <c r="P53" s="58"/>
      <c r="Q53" s="2"/>
      <c r="S53" s="2"/>
    </row>
    <row r="54" spans="1:19" ht="12.6" customHeight="1" x14ac:dyDescent="0.25">
      <c r="A54" s="2"/>
      <c r="B54" s="2"/>
      <c r="C54" s="2"/>
      <c r="G54" s="99"/>
      <c r="H54" s="99"/>
      <c r="I54" s="2"/>
      <c r="K54" s="99"/>
      <c r="L54" s="99"/>
      <c r="O54" s="58"/>
      <c r="P54" s="58"/>
      <c r="Q54" s="2"/>
      <c r="S54" s="2"/>
    </row>
    <row r="55" spans="1:19" ht="12.6" customHeight="1" x14ac:dyDescent="0.25">
      <c r="A55" s="2"/>
      <c r="B55" s="2"/>
      <c r="C55" s="2"/>
      <c r="G55" s="99"/>
      <c r="H55" s="99"/>
      <c r="I55" s="2"/>
      <c r="K55" s="99"/>
      <c r="L55" s="99"/>
      <c r="O55" s="58"/>
      <c r="P55" s="58"/>
      <c r="Q55" s="2"/>
      <c r="S55" s="2"/>
    </row>
    <row r="56" spans="1:19" ht="12.6" customHeight="1" x14ac:dyDescent="0.25">
      <c r="A56" s="4" t="s">
        <v>29</v>
      </c>
      <c r="B56" s="4"/>
      <c r="C56" s="4" t="s">
        <v>80</v>
      </c>
      <c r="F56" s="4"/>
      <c r="G56" s="96" t="s">
        <v>246</v>
      </c>
      <c r="H56" s="96"/>
      <c r="I56" s="4"/>
      <c r="K56" s="96" t="s">
        <v>30</v>
      </c>
      <c r="L56" s="96"/>
      <c r="N56" s="4"/>
    </row>
    <row r="57" spans="1:19" ht="12.6" customHeight="1" x14ac:dyDescent="0.25">
      <c r="A57" s="2" t="s">
        <v>32</v>
      </c>
      <c r="B57" s="2"/>
      <c r="C57" s="2" t="s">
        <v>81</v>
      </c>
      <c r="F57" s="2"/>
      <c r="G57" s="99" t="s">
        <v>93</v>
      </c>
      <c r="H57" s="99"/>
      <c r="I57" s="2"/>
      <c r="K57" s="99" t="s">
        <v>33</v>
      </c>
      <c r="L57" s="99"/>
      <c r="N57" s="2"/>
    </row>
    <row r="58" spans="1:19" ht="12.6" customHeight="1" x14ac:dyDescent="0.25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2"/>
    </row>
    <row r="59" spans="1:19" ht="21" customHeight="1" x14ac:dyDescent="0.25">
      <c r="A59" s="103"/>
      <c r="B59" s="502" t="str">
        <f>B1</f>
        <v>STATEMENT OF WORK ACCOMPLISHMENT</v>
      </c>
      <c r="C59" s="502"/>
      <c r="D59" s="502"/>
      <c r="E59" s="502"/>
      <c r="F59" s="502"/>
      <c r="G59" s="502"/>
      <c r="H59" s="502"/>
      <c r="I59" s="502"/>
      <c r="J59" s="502"/>
      <c r="K59" s="502"/>
      <c r="L59" s="502"/>
      <c r="M59" s="502"/>
    </row>
    <row r="60" spans="1:19" x14ac:dyDescent="0.25">
      <c r="A60" s="2"/>
      <c r="B60" s="479" t="s">
        <v>84</v>
      </c>
      <c r="C60" s="479"/>
      <c r="D60" s="479"/>
      <c r="E60" s="479"/>
      <c r="F60" s="479"/>
      <c r="G60" s="479"/>
      <c r="H60" s="479"/>
      <c r="I60" s="479"/>
      <c r="J60" s="479"/>
      <c r="K60" s="479"/>
      <c r="L60" s="479"/>
      <c r="M60" s="479"/>
    </row>
    <row r="61" spans="1:19" x14ac:dyDescent="0.25">
      <c r="A61" s="2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</row>
    <row r="62" spans="1:19" x14ac:dyDescent="0.25">
      <c r="A62" s="3" t="s">
        <v>83</v>
      </c>
      <c r="B62" s="4" t="str">
        <f>'[2]SWA(abd)'!B12</f>
        <v>CONCRETING OF FARM TO MARKET ROAD ZIMINILA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9" x14ac:dyDescent="0.25">
      <c r="A63" s="2"/>
      <c r="B63" s="6" t="str">
        <f>'[2]SWA(abd)'!B13</f>
        <v>CAMALANIUGAN, CAGAYAN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9" ht="15.75" thickBot="1" x14ac:dyDescent="0.3">
      <c r="A64" s="2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</row>
    <row r="65" spans="1:19" x14ac:dyDescent="0.25">
      <c r="A65" s="8" t="s">
        <v>0</v>
      </c>
      <c r="B65" s="484" t="s">
        <v>1</v>
      </c>
      <c r="C65" s="485"/>
      <c r="D65" s="488" t="s">
        <v>2</v>
      </c>
      <c r="E65" s="489"/>
      <c r="F65" s="101" t="s">
        <v>3</v>
      </c>
      <c r="G65" s="101" t="s">
        <v>4</v>
      </c>
      <c r="H65" s="9" t="s">
        <v>5</v>
      </c>
      <c r="I65" s="490" t="s">
        <v>6</v>
      </c>
      <c r="J65" s="491"/>
      <c r="K65" s="492"/>
      <c r="L65" s="101" t="s">
        <v>5</v>
      </c>
      <c r="M65" s="10" t="s">
        <v>7</v>
      </c>
    </row>
    <row r="66" spans="1:19" x14ac:dyDescent="0.25">
      <c r="A66" s="12" t="s">
        <v>8</v>
      </c>
      <c r="B66" s="486"/>
      <c r="C66" s="487"/>
      <c r="D66" s="493" t="s">
        <v>9</v>
      </c>
      <c r="E66" s="494"/>
      <c r="F66" s="102" t="s">
        <v>10</v>
      </c>
      <c r="G66" s="102" t="s">
        <v>11</v>
      </c>
      <c r="H66" s="13" t="s">
        <v>12</v>
      </c>
      <c r="I66" s="14" t="s">
        <v>13</v>
      </c>
      <c r="J66" s="15" t="s">
        <v>14</v>
      </c>
      <c r="K66" s="16" t="s">
        <v>15</v>
      </c>
      <c r="L66" s="102" t="s">
        <v>12</v>
      </c>
      <c r="M66" s="17" t="s">
        <v>16</v>
      </c>
    </row>
    <row r="67" spans="1:19" ht="13.15" customHeight="1" x14ac:dyDescent="0.25">
      <c r="A67" s="18"/>
      <c r="B67" s="19"/>
      <c r="C67" s="20"/>
      <c r="D67" s="495" t="s">
        <v>17</v>
      </c>
      <c r="E67" s="496"/>
      <c r="F67" s="496"/>
      <c r="G67" s="497"/>
      <c r="H67" s="108"/>
      <c r="I67" s="22"/>
      <c r="J67" s="22"/>
      <c r="K67" s="23"/>
      <c r="L67" s="24"/>
      <c r="M67" s="25"/>
      <c r="R67" s="109">
        <v>0.16</v>
      </c>
    </row>
    <row r="68" spans="1:19" ht="13.15" customHeight="1" x14ac:dyDescent="0.25">
      <c r="A68" s="110" t="str">
        <f>'[2]SWA(abd)'!A17</f>
        <v>105(1)</v>
      </c>
      <c r="B68" s="111" t="str">
        <f>'[2]SWA(abd)'!B17:C17</f>
        <v>Sub Grade Preparation</v>
      </c>
      <c r="C68" s="30"/>
      <c r="D68" s="112">
        <f>'[2]SWA(abd)'!D17</f>
        <v>1075.8</v>
      </c>
      <c r="E68" s="15" t="str">
        <f>'[2]SWA(abd)'!E17</f>
        <v>sq.m.</v>
      </c>
      <c r="F68" s="59">
        <f>'[2]SWA(abd)'!F17</f>
        <v>102.17</v>
      </c>
      <c r="G68" s="104">
        <f>'[2]SWA(abd)'!G17</f>
        <v>109364.91</v>
      </c>
      <c r="H68" s="113">
        <f t="shared" ref="H68:H74" si="6">(G68/$G$75)*100</f>
        <v>10.022837773851711</v>
      </c>
      <c r="I68" s="35"/>
      <c r="J68" s="36"/>
      <c r="K68" s="35">
        <f t="shared" ref="K68:K74" si="7">I68+J68</f>
        <v>0</v>
      </c>
      <c r="L68" s="37" t="e">
        <f>ROUND(K68/#REF!,4)</f>
        <v>#REF!</v>
      </c>
      <c r="M68" s="38" t="s">
        <v>90</v>
      </c>
      <c r="Q68" s="40">
        <f t="shared" ref="Q68:Q74" si="8">D68*F68</f>
        <v>109914.486</v>
      </c>
      <c r="R68" s="40">
        <f>Q68*$R$67</f>
        <v>17586.317760000002</v>
      </c>
      <c r="S68" s="40">
        <f>Q68-R68</f>
        <v>92328.168239999999</v>
      </c>
    </row>
    <row r="69" spans="1:19" ht="13.15" customHeight="1" x14ac:dyDescent="0.25">
      <c r="A69" s="110" t="str">
        <f>'[2]SWA(abd)'!A18</f>
        <v>200(1)</v>
      </c>
      <c r="B69" s="111" t="str">
        <f>'[2]SWA(abd)'!B18:C18</f>
        <v>Aggregate Sub Base Coarse</v>
      </c>
      <c r="C69" s="30"/>
      <c r="D69" s="112">
        <f>'[2]SWA(abd)'!D18</f>
        <v>173.25</v>
      </c>
      <c r="E69" s="15" t="str">
        <f>'[2]SWA(abd)'!E18</f>
        <v>sq.m.</v>
      </c>
      <c r="F69" s="104">
        <v>804.58</v>
      </c>
      <c r="G69" s="104">
        <f>'[2]SWA(abd)'!G18</f>
        <v>223636.89</v>
      </c>
      <c r="H69" s="113">
        <f t="shared" si="6"/>
        <v>20.495388042825802</v>
      </c>
      <c r="I69" s="35"/>
      <c r="J69" s="36"/>
      <c r="K69" s="35">
        <f t="shared" si="7"/>
        <v>0</v>
      </c>
      <c r="L69" s="37">
        <f t="shared" ref="L69:L74" si="9">ROUND(K69/$G$75,4)</f>
        <v>0</v>
      </c>
      <c r="M69" s="38" t="s">
        <v>90</v>
      </c>
      <c r="Q69" s="40">
        <f t="shared" si="8"/>
        <v>139393.48500000002</v>
      </c>
      <c r="R69" s="40">
        <f t="shared" ref="R69:R74" si="10">Q69*$R$67</f>
        <v>22302.957600000002</v>
      </c>
      <c r="S69" s="40">
        <f t="shared" ref="S69:S74" si="11">Q69-R69</f>
        <v>117090.52740000002</v>
      </c>
    </row>
    <row r="70" spans="1:19" ht="13.15" customHeight="1" x14ac:dyDescent="0.25">
      <c r="A70" s="110" t="str">
        <f>'[2]SWA(abd)'!A19</f>
        <v>311(1)C</v>
      </c>
      <c r="B70" s="111" t="str">
        <f>'[2]SWA(abd)'!B19:C19</f>
        <v>PCCP</v>
      </c>
      <c r="C70" s="30"/>
      <c r="D70" s="112">
        <f>'[2]SWA(abd)'!D19</f>
        <v>660</v>
      </c>
      <c r="E70" s="15" t="str">
        <f>'[2]SWA(abd)'!E19</f>
        <v>sq.m.</v>
      </c>
      <c r="F70" s="104">
        <v>72.959999999999994</v>
      </c>
      <c r="G70" s="104">
        <f>'[2]SWA(abd)'!G19</f>
        <v>672973.03</v>
      </c>
      <c r="H70" s="113">
        <f t="shared" si="6"/>
        <v>61.675170819117767</v>
      </c>
      <c r="I70" s="35"/>
      <c r="J70" s="36"/>
      <c r="K70" s="35">
        <f t="shared" si="7"/>
        <v>0</v>
      </c>
      <c r="L70" s="37">
        <f t="shared" si="9"/>
        <v>0</v>
      </c>
      <c r="M70" s="38" t="s">
        <v>90</v>
      </c>
      <c r="O70" s="1" t="e">
        <f>0.2*#REF!</f>
        <v>#REF!</v>
      </c>
      <c r="P70" s="1" t="e">
        <f>0.95*#REF!</f>
        <v>#REF!</v>
      </c>
      <c r="Q70" s="40">
        <f t="shared" si="8"/>
        <v>48153.599999999999</v>
      </c>
      <c r="R70" s="40">
        <f t="shared" si="10"/>
        <v>7704.576</v>
      </c>
      <c r="S70" s="40">
        <f t="shared" si="11"/>
        <v>40449.023999999998</v>
      </c>
    </row>
    <row r="71" spans="1:19" ht="13.15" customHeight="1" x14ac:dyDescent="0.25">
      <c r="A71" s="110" t="str">
        <f>'[2]SWA(abd)'!A20</f>
        <v>B.9</v>
      </c>
      <c r="B71" s="111" t="str">
        <f>'[2]SWA(abd)'!B20:C20</f>
        <v>Mobilization/ Demobilization</v>
      </c>
      <c r="C71" s="30"/>
      <c r="D71" s="112">
        <f>'[2]SWA(abd)'!D20</f>
        <v>1</v>
      </c>
      <c r="E71" s="15" t="str">
        <f>'[2]SWA(abd)'!E20</f>
        <v>l/s</v>
      </c>
      <c r="F71" s="112">
        <v>128.93</v>
      </c>
      <c r="G71" s="104">
        <f>'[2]SWA(abd)'!G20</f>
        <v>25951.88</v>
      </c>
      <c r="H71" s="113">
        <f t="shared" si="6"/>
        <v>2.3783815409025322</v>
      </c>
      <c r="I71" s="35"/>
      <c r="J71" s="36"/>
      <c r="K71" s="35">
        <f t="shared" si="7"/>
        <v>0</v>
      </c>
      <c r="L71" s="37">
        <f t="shared" si="9"/>
        <v>0</v>
      </c>
      <c r="M71" s="38" t="s">
        <v>90</v>
      </c>
      <c r="O71" s="1">
        <v>604.87</v>
      </c>
      <c r="P71" s="1" t="e">
        <f>0.95*#REF!</f>
        <v>#REF!</v>
      </c>
      <c r="Q71" s="40">
        <f t="shared" si="8"/>
        <v>128.93</v>
      </c>
      <c r="R71" s="40">
        <f t="shared" si="10"/>
        <v>20.628800000000002</v>
      </c>
      <c r="S71" s="40">
        <f t="shared" si="11"/>
        <v>108.30120000000001</v>
      </c>
    </row>
    <row r="72" spans="1:19" ht="13.15" customHeight="1" x14ac:dyDescent="0.25">
      <c r="A72" s="110" t="str">
        <f>'[2]SWA(abd)'!A21</f>
        <v>B.5</v>
      </c>
      <c r="B72" s="111" t="str">
        <f>'[2]SWA(abd)'!B21:C21</f>
        <v>Billboards and Signages</v>
      </c>
      <c r="C72" s="30"/>
      <c r="D72" s="112">
        <f>'[2]SWA(abd)'!D21</f>
        <v>2</v>
      </c>
      <c r="E72" s="15" t="str">
        <f>'[2]SWA(abd)'!E21</f>
        <v>each</v>
      </c>
      <c r="F72" s="112">
        <v>18.37</v>
      </c>
      <c r="G72" s="104">
        <f>'[2]SWA(abd)'!G21</f>
        <v>10196.76</v>
      </c>
      <c r="H72" s="113">
        <f t="shared" si="6"/>
        <v>0.93449051710370512</v>
      </c>
      <c r="I72" s="35"/>
      <c r="J72" s="36"/>
      <c r="K72" s="35">
        <f t="shared" si="7"/>
        <v>0</v>
      </c>
      <c r="L72" s="37">
        <f t="shared" si="9"/>
        <v>0</v>
      </c>
      <c r="M72" s="38" t="s">
        <v>90</v>
      </c>
      <c r="O72" s="1" t="e">
        <f>0.2*#REF!</f>
        <v>#REF!</v>
      </c>
      <c r="P72" s="1" t="e">
        <f>0.95*#REF!</f>
        <v>#REF!</v>
      </c>
      <c r="Q72" s="40">
        <f t="shared" si="8"/>
        <v>36.74</v>
      </c>
      <c r="R72" s="40">
        <f t="shared" si="10"/>
        <v>5.8784000000000001</v>
      </c>
      <c r="S72" s="40">
        <f t="shared" si="11"/>
        <v>30.861600000000003</v>
      </c>
    </row>
    <row r="73" spans="1:19" ht="13.15" customHeight="1" x14ac:dyDescent="0.25">
      <c r="A73" s="110" t="str">
        <f>'[2]SWA(abd)'!A22</f>
        <v>B.7</v>
      </c>
      <c r="B73" s="111" t="str">
        <f>'[2]SWA(abd)'!B22:C22</f>
        <v>Occupational Health and Safety</v>
      </c>
      <c r="C73" s="30"/>
      <c r="D73" s="112">
        <f>'[2]SWA(abd)'!D22</f>
        <v>1</v>
      </c>
      <c r="E73" s="15" t="str">
        <f>'[2]SWA(abd)'!E22</f>
        <v>l/s</v>
      </c>
      <c r="F73" s="112">
        <v>1208.8900000000001</v>
      </c>
      <c r="G73" s="104">
        <f>'[2]SWA(abd)'!G22</f>
        <v>28041.09</v>
      </c>
      <c r="H73" s="113">
        <f t="shared" si="6"/>
        <v>2.5698489220351886</v>
      </c>
      <c r="I73" s="35"/>
      <c r="J73" s="36"/>
      <c r="K73" s="35">
        <f t="shared" si="7"/>
        <v>0</v>
      </c>
      <c r="L73" s="37">
        <f t="shared" si="9"/>
        <v>0</v>
      </c>
      <c r="M73" s="38" t="s">
        <v>90</v>
      </c>
      <c r="O73" s="1" t="e">
        <f>0.2*#REF!</f>
        <v>#REF!</v>
      </c>
      <c r="P73" s="1" t="e">
        <f>0.9*#REF!</f>
        <v>#REF!</v>
      </c>
      <c r="Q73" s="40">
        <f t="shared" si="8"/>
        <v>1208.8900000000001</v>
      </c>
      <c r="R73" s="40">
        <f t="shared" si="10"/>
        <v>193.42240000000001</v>
      </c>
      <c r="S73" s="40">
        <f t="shared" si="11"/>
        <v>1015.4676000000001</v>
      </c>
    </row>
    <row r="74" spans="1:19" ht="13.15" customHeight="1" thickBot="1" x14ac:dyDescent="0.3">
      <c r="A74" s="110" t="str">
        <f>'[2]SWA(abd)'!A23</f>
        <v>A.1.1(8a)</v>
      </c>
      <c r="B74" s="111" t="str">
        <f>'[2]SWA(abd)'!B23:C23</f>
        <v>Provisions of Field Office for the Engineer</v>
      </c>
      <c r="C74" s="30"/>
      <c r="D74" s="112">
        <f>'[2]SWA(abd)'!D23</f>
        <v>1.83</v>
      </c>
      <c r="E74" s="15" t="str">
        <f>'[2]SWA(abd)'!E23</f>
        <v>mos</v>
      </c>
      <c r="F74" s="104">
        <v>1291.19</v>
      </c>
      <c r="G74" s="104">
        <f>'[2]SWA(abd)'!G23</f>
        <v>20992.58</v>
      </c>
      <c r="H74" s="113">
        <f t="shared" si="6"/>
        <v>1.9238823841632928</v>
      </c>
      <c r="I74" s="35"/>
      <c r="J74" s="36"/>
      <c r="K74" s="35">
        <f t="shared" si="7"/>
        <v>0</v>
      </c>
      <c r="L74" s="37">
        <f t="shared" si="9"/>
        <v>0</v>
      </c>
      <c r="M74" s="38" t="s">
        <v>90</v>
      </c>
      <c r="O74" s="1">
        <f>350*3.05</f>
        <v>1067.5</v>
      </c>
      <c r="Q74" s="40">
        <f t="shared" si="8"/>
        <v>2362.8777</v>
      </c>
      <c r="R74" s="40">
        <f t="shared" si="10"/>
        <v>378.06043199999999</v>
      </c>
      <c r="S74" s="40">
        <f t="shared" si="11"/>
        <v>1984.817268</v>
      </c>
    </row>
    <row r="75" spans="1:19" s="47" customFormat="1" ht="13.15" customHeight="1" thickBot="1" x14ac:dyDescent="0.25">
      <c r="A75" s="498" t="s">
        <v>18</v>
      </c>
      <c r="B75" s="499"/>
      <c r="C75" s="499"/>
      <c r="D75" s="499"/>
      <c r="E75" s="499"/>
      <c r="F75" s="43"/>
      <c r="G75" s="44">
        <f t="shared" ref="G75:L75" si="12">SUM(G68:G74)</f>
        <v>1091157.1400000001</v>
      </c>
      <c r="H75" s="44">
        <f t="shared" si="12"/>
        <v>100.00000000000001</v>
      </c>
      <c r="I75" s="44">
        <f t="shared" si="12"/>
        <v>0</v>
      </c>
      <c r="J75" s="44">
        <f t="shared" si="12"/>
        <v>0</v>
      </c>
      <c r="K75" s="44">
        <f t="shared" si="12"/>
        <v>0</v>
      </c>
      <c r="L75" s="114" t="e">
        <f t="shared" si="12"/>
        <v>#REF!</v>
      </c>
      <c r="M75" s="46"/>
      <c r="O75" s="49"/>
      <c r="P75" s="49"/>
      <c r="Q75" s="48">
        <f>SUM(Q68:Q74)</f>
        <v>301199.00870000001</v>
      </c>
      <c r="R75" s="40">
        <f>SUM(R68:R74)</f>
        <v>48191.841392000002</v>
      </c>
      <c r="S75" s="49">
        <f>SUM(S68:S74)</f>
        <v>253007.16730800003</v>
      </c>
    </row>
    <row r="76" spans="1:19" s="5" customFormat="1" ht="13.15" customHeight="1" x14ac:dyDescent="0.2">
      <c r="A76" s="50"/>
      <c r="B76" s="50"/>
      <c r="C76" s="50"/>
      <c r="D76" s="50"/>
      <c r="E76" s="50"/>
      <c r="F76" s="51"/>
      <c r="G76" s="52"/>
      <c r="H76" s="52"/>
      <c r="I76" s="51"/>
      <c r="J76" s="51"/>
      <c r="K76" s="51"/>
      <c r="L76" s="51"/>
      <c r="M76" s="53"/>
      <c r="O76" s="1" t="e">
        <f>0.85*#REF!</f>
        <v>#REF!</v>
      </c>
      <c r="P76" s="1"/>
      <c r="Q76" s="40">
        <f>Q75*0.0065</f>
        <v>1957.7935565499999</v>
      </c>
    </row>
    <row r="77" spans="1:19" s="5" customFormat="1" ht="13.15" customHeight="1" x14ac:dyDescent="0.2">
      <c r="A77" s="53"/>
      <c r="B77" s="53"/>
      <c r="C77" s="53"/>
      <c r="D77" s="53"/>
      <c r="E77" s="53"/>
      <c r="F77" s="51"/>
      <c r="G77" s="51"/>
      <c r="H77" s="51"/>
      <c r="I77" s="53"/>
      <c r="J77" s="53"/>
      <c r="K77" s="53"/>
      <c r="L77" s="53"/>
      <c r="M77" s="53"/>
      <c r="O77" s="1"/>
      <c r="P77" s="1"/>
      <c r="Q77" s="40">
        <f>Q75-Q76</f>
        <v>299241.21514345001</v>
      </c>
    </row>
    <row r="78" spans="1:19" s="5" customFormat="1" ht="13.15" customHeight="1" x14ac:dyDescent="0.25">
      <c r="A78" s="53"/>
      <c r="B78" s="53"/>
      <c r="C78" s="53"/>
      <c r="E78" s="53"/>
      <c r="F78" s="53" t="s">
        <v>19</v>
      </c>
      <c r="I78" s="500" t="e">
        <f>L75*100</f>
        <v>#REF!</v>
      </c>
      <c r="J78" s="500"/>
      <c r="K78" s="54" t="s">
        <v>12</v>
      </c>
      <c r="L78" s="53"/>
      <c r="M78" s="53"/>
      <c r="O78" s="1"/>
      <c r="P78" s="1"/>
    </row>
    <row r="79" spans="1:19" s="5" customFormat="1" ht="13.15" customHeight="1" x14ac:dyDescent="0.2">
      <c r="A79" s="53"/>
      <c r="B79" s="53"/>
      <c r="C79" s="53"/>
      <c r="E79" s="53"/>
      <c r="F79" s="55" t="s">
        <v>20</v>
      </c>
      <c r="I79" s="483">
        <f>ROUND(G75,2)</f>
        <v>1091157.1399999999</v>
      </c>
      <c r="J79" s="483"/>
      <c r="K79" s="53"/>
      <c r="L79" s="53"/>
      <c r="M79" s="51"/>
      <c r="O79" s="1"/>
      <c r="P79" s="1"/>
    </row>
    <row r="80" spans="1:19" s="5" customFormat="1" ht="13.15" customHeight="1" x14ac:dyDescent="0.2">
      <c r="A80" s="53"/>
      <c r="B80" s="56"/>
      <c r="C80" s="56"/>
      <c r="E80" s="53"/>
      <c r="F80" s="55" t="s">
        <v>21</v>
      </c>
      <c r="I80" s="483">
        <f>J75</f>
        <v>0</v>
      </c>
      <c r="J80" s="483"/>
      <c r="K80" s="51"/>
      <c r="L80" s="53"/>
      <c r="M80" s="53"/>
      <c r="O80" s="1"/>
      <c r="P80" s="1"/>
    </row>
    <row r="81" spans="1:19" s="5" customFormat="1" ht="13.15" customHeight="1" thickBot="1" x14ac:dyDescent="0.25">
      <c r="A81" s="53"/>
      <c r="E81" s="56" t="s">
        <v>22</v>
      </c>
      <c r="F81" s="55" t="s">
        <v>23</v>
      </c>
      <c r="I81" s="480"/>
      <c r="J81" s="480"/>
      <c r="K81" s="51"/>
      <c r="L81" s="53"/>
      <c r="M81" s="53"/>
      <c r="O81" s="1"/>
      <c r="P81" s="1"/>
    </row>
    <row r="82" spans="1:19" s="5" customFormat="1" ht="13.15" customHeight="1" x14ac:dyDescent="0.2">
      <c r="A82" s="53"/>
      <c r="B82" s="53"/>
      <c r="C82" s="53"/>
      <c r="E82" s="53"/>
      <c r="F82" s="55" t="s">
        <v>24</v>
      </c>
      <c r="I82" s="481">
        <f>SUM(J75-I81)</f>
        <v>0</v>
      </c>
      <c r="J82" s="481"/>
      <c r="K82" s="51"/>
      <c r="L82" s="53"/>
      <c r="M82" s="53"/>
      <c r="O82" s="1"/>
      <c r="P82" s="1"/>
    </row>
    <row r="84" spans="1:19" ht="12.6" customHeight="1" x14ac:dyDescent="0.25">
      <c r="A84" s="99" t="s">
        <v>25</v>
      </c>
      <c r="B84" s="2"/>
      <c r="C84" s="2" t="s">
        <v>26</v>
      </c>
      <c r="F84" s="2" t="s">
        <v>86</v>
      </c>
      <c r="G84" s="2"/>
      <c r="J84" s="100" t="s">
        <v>28</v>
      </c>
      <c r="S84" s="2"/>
    </row>
    <row r="85" spans="1:19" ht="12.6" customHeight="1" x14ac:dyDescent="0.25">
      <c r="A85" s="99"/>
      <c r="B85" s="2"/>
      <c r="C85" s="2"/>
      <c r="D85" s="2"/>
      <c r="F85" s="2"/>
      <c r="G85" s="2"/>
      <c r="I85" s="2"/>
      <c r="J85" s="2"/>
      <c r="K85" s="2"/>
      <c r="L85" s="2"/>
      <c r="O85" s="58"/>
      <c r="P85" s="58"/>
      <c r="Q85" s="2"/>
      <c r="S85" s="2"/>
    </row>
    <row r="86" spans="1:19" ht="12.6" customHeight="1" x14ac:dyDescent="0.25">
      <c r="A86" s="2"/>
      <c r="B86" s="2"/>
      <c r="C86" s="2"/>
      <c r="D86" s="2"/>
      <c r="F86" s="2"/>
      <c r="G86" s="2"/>
      <c r="I86" s="2"/>
      <c r="J86" s="2"/>
      <c r="K86" s="2"/>
      <c r="L86" s="2"/>
      <c r="O86" s="58"/>
      <c r="P86" s="58"/>
      <c r="Q86" s="2"/>
      <c r="S86" s="2"/>
    </row>
    <row r="87" spans="1:19" ht="12.6" customHeight="1" x14ac:dyDescent="0.25">
      <c r="A87" s="2"/>
      <c r="B87" s="2"/>
      <c r="C87" s="2"/>
      <c r="D87" s="2"/>
      <c r="F87" s="2"/>
      <c r="G87" s="2"/>
      <c r="I87" s="2"/>
      <c r="J87" s="2"/>
      <c r="K87" s="2"/>
      <c r="L87" s="2"/>
      <c r="O87" s="58"/>
      <c r="P87" s="58"/>
      <c r="Q87" s="2"/>
      <c r="S87" s="2"/>
    </row>
    <row r="88" spans="1:19" ht="12.6" customHeight="1" x14ac:dyDescent="0.25">
      <c r="A88" s="482" t="s">
        <v>91</v>
      </c>
      <c r="B88" s="482"/>
      <c r="C88" s="482" t="s">
        <v>87</v>
      </c>
      <c r="D88" s="482"/>
      <c r="E88" s="482"/>
      <c r="F88" s="482" t="s">
        <v>29</v>
      </c>
      <c r="G88" s="482"/>
      <c r="H88" s="482"/>
      <c r="I88" s="4"/>
      <c r="J88" s="482" t="s">
        <v>30</v>
      </c>
      <c r="K88" s="482"/>
      <c r="L88" s="482"/>
      <c r="N88" s="4"/>
    </row>
    <row r="89" spans="1:19" ht="12.6" customHeight="1" x14ac:dyDescent="0.25">
      <c r="A89" s="479" t="s">
        <v>31</v>
      </c>
      <c r="B89" s="479"/>
      <c r="C89" s="479" t="s">
        <v>88</v>
      </c>
      <c r="D89" s="479"/>
      <c r="E89" s="479"/>
      <c r="F89" s="479" t="s">
        <v>32</v>
      </c>
      <c r="G89" s="479"/>
      <c r="H89" s="479"/>
      <c r="I89" s="2"/>
      <c r="J89" s="479" t="s">
        <v>33</v>
      </c>
      <c r="K89" s="479"/>
      <c r="L89" s="479"/>
      <c r="N89" s="2"/>
    </row>
  </sheetData>
  <mergeCells count="36">
    <mergeCell ref="B1:M1"/>
    <mergeCell ref="B2:M2"/>
    <mergeCell ref="B7:C8"/>
    <mergeCell ref="D7:E7"/>
    <mergeCell ref="I7:K7"/>
    <mergeCell ref="D8:E8"/>
    <mergeCell ref="B60:M60"/>
    <mergeCell ref="D9:G9"/>
    <mergeCell ref="A43:E43"/>
    <mergeCell ref="I46:J46"/>
    <mergeCell ref="I47:J47"/>
    <mergeCell ref="I48:J48"/>
    <mergeCell ref="I49:J49"/>
    <mergeCell ref="I50:J50"/>
    <mergeCell ref="B59:M59"/>
    <mergeCell ref="B16:C16"/>
    <mergeCell ref="B25:C25"/>
    <mergeCell ref="I80:J80"/>
    <mergeCell ref="B65:C66"/>
    <mergeCell ref="D65:E65"/>
    <mergeCell ref="I65:K65"/>
    <mergeCell ref="D66:E66"/>
    <mergeCell ref="D67:G67"/>
    <mergeCell ref="A75:E75"/>
    <mergeCell ref="I78:J78"/>
    <mergeCell ref="I79:J79"/>
    <mergeCell ref="A89:B89"/>
    <mergeCell ref="C89:E89"/>
    <mergeCell ref="F89:H89"/>
    <mergeCell ref="J89:L89"/>
    <mergeCell ref="I81:J81"/>
    <mergeCell ref="I82:J82"/>
    <mergeCell ref="A88:B88"/>
    <mergeCell ref="C88:E88"/>
    <mergeCell ref="F88:H88"/>
    <mergeCell ref="J88:L88"/>
  </mergeCells>
  <printOptions horizontalCentered="1" verticalCentered="1"/>
  <pageMargins left="3.937007874015748E-2" right="3.937007874015748E-2" top="0.15748031496062992" bottom="0.15748031496062992" header="0.31496062992125984" footer="0.31496062992125984"/>
  <pageSetup paperSize="14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Q41"/>
  <sheetViews>
    <sheetView tabSelected="1" view="pageBreakPreview" zoomScaleNormal="100" zoomScaleSheetLayoutView="100" workbookViewId="0">
      <selection activeCell="H17" sqref="H17"/>
    </sheetView>
  </sheetViews>
  <sheetFormatPr defaultColWidth="9.140625" defaultRowHeight="15.75" x14ac:dyDescent="0.25"/>
  <cols>
    <col min="1" max="1" width="4" style="60" customWidth="1"/>
    <col min="2" max="2" width="39.28515625" style="60" customWidth="1"/>
    <col min="3" max="3" width="3.28515625" style="60" customWidth="1"/>
    <col min="4" max="5" width="18.7109375" style="60" customWidth="1"/>
    <col min="6" max="6" width="9.42578125" style="60" customWidth="1"/>
    <col min="7" max="7" width="7.42578125" style="60" customWidth="1"/>
    <col min="8" max="8" width="12.7109375" style="316" customWidth="1"/>
    <col min="9" max="9" width="28.42578125" style="316" customWidth="1"/>
    <col min="10" max="10" width="11.85546875" style="60" customWidth="1"/>
    <col min="11" max="11" width="13.28515625" style="60" customWidth="1"/>
    <col min="12" max="12" width="9.140625" style="60"/>
    <col min="13" max="13" width="11.28515625" style="60" customWidth="1"/>
    <col min="14" max="16" width="9.140625" style="60"/>
    <col min="17" max="17" width="15.28515625" style="60" customWidth="1"/>
    <col min="18" max="16384" width="9.140625" style="60"/>
  </cols>
  <sheetData>
    <row r="2" spans="1:17" x14ac:dyDescent="0.25">
      <c r="A2" s="456" t="s">
        <v>37</v>
      </c>
      <c r="B2" s="456"/>
      <c r="C2" s="456"/>
      <c r="D2" s="456"/>
      <c r="E2" s="456"/>
      <c r="F2" s="456"/>
      <c r="G2" s="315"/>
    </row>
    <row r="3" spans="1:17" x14ac:dyDescent="0.25">
      <c r="A3" s="457" t="s">
        <v>38</v>
      </c>
      <c r="B3" s="457"/>
      <c r="C3" s="457"/>
      <c r="D3" s="457"/>
      <c r="E3" s="457"/>
      <c r="F3" s="457"/>
      <c r="G3" s="317"/>
    </row>
    <row r="4" spans="1:17" x14ac:dyDescent="0.25">
      <c r="A4" s="456" t="s">
        <v>247</v>
      </c>
      <c r="B4" s="456"/>
      <c r="C4" s="456"/>
      <c r="D4" s="456"/>
      <c r="E4" s="456"/>
      <c r="F4" s="456"/>
      <c r="G4" s="315"/>
    </row>
    <row r="5" spans="1:17" ht="16.5" x14ac:dyDescent="0.25">
      <c r="A5" s="458" t="s">
        <v>248</v>
      </c>
      <c r="B5" s="458"/>
      <c r="C5" s="458"/>
      <c r="D5" s="458"/>
      <c r="E5" s="458"/>
      <c r="F5" s="458"/>
      <c r="G5" s="318"/>
    </row>
    <row r="6" spans="1:17" ht="20.25" x14ac:dyDescent="0.3">
      <c r="A6" s="61"/>
      <c r="H6" s="459" t="s">
        <v>250</v>
      </c>
      <c r="I6" s="460"/>
      <c r="J6" s="460"/>
      <c r="K6" s="461"/>
      <c r="M6" s="319" t="s">
        <v>251</v>
      </c>
    </row>
    <row r="7" spans="1:17" ht="18.75" x14ac:dyDescent="0.3">
      <c r="A7" s="462" t="s">
        <v>40</v>
      </c>
      <c r="B7" s="462"/>
      <c r="C7" s="462"/>
      <c r="D7" s="462"/>
      <c r="E7" s="462"/>
      <c r="F7" s="462"/>
      <c r="G7" s="320"/>
      <c r="H7" s="321"/>
      <c r="I7" s="321"/>
      <c r="M7" s="322" t="s">
        <v>252</v>
      </c>
      <c r="N7" s="323" t="s">
        <v>253</v>
      </c>
      <c r="O7" s="324"/>
      <c r="P7" s="324"/>
      <c r="Q7" s="325"/>
    </row>
    <row r="8" spans="1:17" x14ac:dyDescent="0.25">
      <c r="A8" s="63"/>
      <c r="B8" s="63"/>
      <c r="C8" s="63"/>
      <c r="D8" s="63"/>
      <c r="E8" s="63"/>
      <c r="F8" s="63"/>
      <c r="G8" s="63"/>
      <c r="H8" s="326"/>
      <c r="I8" s="60"/>
      <c r="M8" s="327" t="s">
        <v>254</v>
      </c>
      <c r="N8" s="328" t="s">
        <v>255</v>
      </c>
      <c r="O8" s="329"/>
      <c r="P8" s="329"/>
      <c r="Q8" s="330"/>
    </row>
    <row r="9" spans="1:17" x14ac:dyDescent="0.25">
      <c r="A9" s="326"/>
      <c r="B9" s="452">
        <f>I9</f>
        <v>46080</v>
      </c>
      <c r="C9" s="452"/>
      <c r="D9" s="452"/>
      <c r="E9" s="452"/>
      <c r="F9" s="452"/>
      <c r="H9" s="331" t="s">
        <v>256</v>
      </c>
      <c r="I9" s="332">
        <v>46080</v>
      </c>
      <c r="M9" s="333" t="s">
        <v>257</v>
      </c>
      <c r="N9" s="334" t="s">
        <v>258</v>
      </c>
      <c r="O9" s="335"/>
      <c r="P9" s="335"/>
      <c r="Q9" s="336"/>
    </row>
    <row r="10" spans="1:17" x14ac:dyDescent="0.25">
      <c r="A10" s="326"/>
      <c r="B10" s="337"/>
      <c r="C10" s="337"/>
      <c r="D10" s="337"/>
      <c r="E10" s="337"/>
      <c r="F10" s="337"/>
      <c r="H10" s="331"/>
      <c r="I10" s="64"/>
      <c r="M10" s="338" t="s">
        <v>259</v>
      </c>
      <c r="N10" s="339" t="s">
        <v>260</v>
      </c>
      <c r="O10" s="340"/>
      <c r="P10" s="340"/>
      <c r="Q10" s="341"/>
    </row>
    <row r="11" spans="1:17" x14ac:dyDescent="0.25">
      <c r="A11" s="326"/>
      <c r="B11" s="337"/>
      <c r="C11" s="337"/>
      <c r="D11" s="337"/>
      <c r="E11" s="337"/>
      <c r="F11" s="337"/>
      <c r="H11" s="331"/>
      <c r="I11" s="64"/>
      <c r="M11" s="342" t="s">
        <v>261</v>
      </c>
      <c r="N11" s="343" t="s">
        <v>262</v>
      </c>
      <c r="O11" s="344"/>
      <c r="P11" s="344"/>
      <c r="Q11" s="345"/>
    </row>
    <row r="12" spans="1:17" ht="42.6" customHeight="1" x14ac:dyDescent="0.25">
      <c r="A12" s="346" t="s">
        <v>263</v>
      </c>
      <c r="B12" s="346"/>
      <c r="C12" s="347" t="s">
        <v>45</v>
      </c>
      <c r="D12" s="453" t="str">
        <f>I12</f>
        <v>REPAIR OF VICENTE TRINIDAD NATIONAL HIGH SCHOOL GYMNASIUM, IGUIG, CAGAYAN</v>
      </c>
      <c r="E12" s="453"/>
      <c r="F12" s="453"/>
      <c r="H12" s="331" t="s">
        <v>256</v>
      </c>
      <c r="I12" s="348" t="s">
        <v>348</v>
      </c>
      <c r="J12" s="346" t="s">
        <v>263</v>
      </c>
      <c r="M12" s="349" t="s">
        <v>264</v>
      </c>
      <c r="N12" s="350" t="s">
        <v>265</v>
      </c>
      <c r="O12" s="351"/>
      <c r="P12" s="351"/>
      <c r="Q12" s="352"/>
    </row>
    <row r="13" spans="1:17" ht="17.25" customHeight="1" x14ac:dyDescent="0.25">
      <c r="A13" s="353" t="s">
        <v>47</v>
      </c>
      <c r="B13" s="353"/>
      <c r="C13" s="354" t="s">
        <v>45</v>
      </c>
      <c r="D13" s="355" t="str">
        <f>I13</f>
        <v>Iguig, Cagayan</v>
      </c>
      <c r="E13" s="355"/>
      <c r="F13" s="356"/>
      <c r="H13" s="331" t="s">
        <v>256</v>
      </c>
      <c r="I13" s="348" t="s">
        <v>349</v>
      </c>
      <c r="J13" s="353" t="s">
        <v>47</v>
      </c>
      <c r="M13" s="358" t="s">
        <v>266</v>
      </c>
      <c r="N13" s="359" t="s">
        <v>253</v>
      </c>
      <c r="O13" s="360"/>
      <c r="P13" s="360"/>
      <c r="Q13" s="361"/>
    </row>
    <row r="14" spans="1:17" x14ac:dyDescent="0.25">
      <c r="A14" s="362" t="s">
        <v>48</v>
      </c>
      <c r="B14" s="362"/>
      <c r="C14" s="354" t="s">
        <v>45</v>
      </c>
      <c r="D14" s="363">
        <f>I14</f>
        <v>2396212.4</v>
      </c>
      <c r="E14" s="363"/>
      <c r="F14" s="363"/>
      <c r="H14" s="331" t="s">
        <v>256</v>
      </c>
      <c r="I14" s="348">
        <v>2396212.4</v>
      </c>
      <c r="J14" s="362" t="s">
        <v>48</v>
      </c>
      <c r="M14" s="365" t="s">
        <v>267</v>
      </c>
      <c r="N14" s="366" t="s">
        <v>255</v>
      </c>
      <c r="O14" s="367"/>
      <c r="P14" s="367"/>
      <c r="Q14" s="368"/>
    </row>
    <row r="15" spans="1:17" s="76" customFormat="1" ht="15.6" customHeight="1" x14ac:dyDescent="0.2">
      <c r="A15" s="353" t="s">
        <v>31</v>
      </c>
      <c r="B15" s="353"/>
      <c r="C15" s="354" t="s">
        <v>45</v>
      </c>
      <c r="D15" s="355" t="str">
        <f>I15</f>
        <v>TS Construction</v>
      </c>
      <c r="E15" s="355"/>
      <c r="F15" s="355"/>
      <c r="H15" s="331" t="s">
        <v>256</v>
      </c>
      <c r="I15" s="348" t="s">
        <v>350</v>
      </c>
      <c r="J15" s="353" t="s">
        <v>31</v>
      </c>
    </row>
    <row r="16" spans="1:17" x14ac:dyDescent="0.25">
      <c r="A16" s="362"/>
      <c r="B16" s="362"/>
      <c r="C16" s="354"/>
      <c r="D16" s="370"/>
      <c r="E16" s="370"/>
      <c r="F16" s="370"/>
      <c r="G16" s="72"/>
      <c r="H16" s="331"/>
      <c r="I16" s="60"/>
    </row>
    <row r="17" spans="1:14" x14ac:dyDescent="0.25">
      <c r="A17" s="371" t="s">
        <v>50</v>
      </c>
      <c r="B17" s="353" t="s">
        <v>51</v>
      </c>
      <c r="C17" s="354" t="s">
        <v>45</v>
      </c>
      <c r="D17" s="372">
        <f>D20+9</f>
        <v>45892</v>
      </c>
      <c r="E17" s="356" t="s">
        <v>52</v>
      </c>
      <c r="F17" s="68"/>
      <c r="H17" s="373"/>
      <c r="J17" s="72"/>
      <c r="K17" s="374"/>
    </row>
    <row r="18" spans="1:14" x14ac:dyDescent="0.25">
      <c r="A18" s="371"/>
      <c r="B18" s="353"/>
      <c r="C18" s="354"/>
      <c r="D18" s="375">
        <f>+B9</f>
        <v>46080</v>
      </c>
      <c r="E18" s="375"/>
      <c r="F18" s="375"/>
      <c r="G18" s="376"/>
      <c r="H18" s="377"/>
      <c r="J18" s="72"/>
      <c r="K18" s="374"/>
    </row>
    <row r="19" spans="1:14" x14ac:dyDescent="0.25">
      <c r="A19" s="371" t="s">
        <v>54</v>
      </c>
      <c r="B19" s="353" t="s">
        <v>268</v>
      </c>
      <c r="C19" s="354" t="s">
        <v>45</v>
      </c>
      <c r="D19" s="378">
        <f>I19</f>
        <v>144</v>
      </c>
      <c r="E19" s="379"/>
      <c r="F19" s="379"/>
      <c r="G19" s="72"/>
      <c r="H19" s="380" t="s">
        <v>256</v>
      </c>
      <c r="I19" s="381">
        <v>144</v>
      </c>
      <c r="J19" s="353" t="s">
        <v>268</v>
      </c>
    </row>
    <row r="20" spans="1:14" x14ac:dyDescent="0.25">
      <c r="A20" s="371" t="s">
        <v>56</v>
      </c>
      <c r="B20" s="353" t="s">
        <v>269</v>
      </c>
      <c r="C20" s="354" t="s">
        <v>45</v>
      </c>
      <c r="D20" s="372">
        <f>I20</f>
        <v>45883</v>
      </c>
      <c r="E20" s="372"/>
      <c r="F20" s="372"/>
      <c r="H20" s="380" t="s">
        <v>256</v>
      </c>
      <c r="I20" s="332">
        <v>45883</v>
      </c>
      <c r="J20" s="353" t="s">
        <v>269</v>
      </c>
    </row>
    <row r="21" spans="1:14" x14ac:dyDescent="0.25">
      <c r="A21" s="371" t="s">
        <v>270</v>
      </c>
      <c r="B21" s="353" t="s">
        <v>59</v>
      </c>
      <c r="C21" s="354" t="s">
        <v>45</v>
      </c>
      <c r="D21" s="375">
        <f>+D17+D19</f>
        <v>46036</v>
      </c>
      <c r="E21" s="375"/>
      <c r="F21" s="375"/>
      <c r="G21" s="72"/>
      <c r="H21" s="382"/>
      <c r="I21" s="72"/>
      <c r="J21" s="72"/>
    </row>
    <row r="22" spans="1:14" x14ac:dyDescent="0.25">
      <c r="A22" s="371" t="s">
        <v>58</v>
      </c>
      <c r="B22" s="353" t="s">
        <v>79</v>
      </c>
      <c r="C22" s="354" t="s">
        <v>45</v>
      </c>
      <c r="D22" s="383">
        <f>I22</f>
        <v>47</v>
      </c>
      <c r="E22" s="370"/>
      <c r="F22" s="370"/>
      <c r="G22" s="72"/>
      <c r="H22" s="380" t="s">
        <v>256</v>
      </c>
      <c r="I22" s="381">
        <v>47</v>
      </c>
      <c r="J22" s="353" t="s">
        <v>79</v>
      </c>
    </row>
    <row r="23" spans="1:14" x14ac:dyDescent="0.25">
      <c r="A23" s="371" t="s">
        <v>60</v>
      </c>
      <c r="B23" s="353" t="s">
        <v>78</v>
      </c>
      <c r="C23" s="354" t="s">
        <v>45</v>
      </c>
      <c r="D23" s="383">
        <f>I23</f>
        <v>0</v>
      </c>
      <c r="E23" s="370"/>
      <c r="F23" s="370"/>
      <c r="G23" s="72"/>
      <c r="H23" s="380" t="s">
        <v>256</v>
      </c>
      <c r="I23" s="384"/>
      <c r="J23" s="353" t="s">
        <v>78</v>
      </c>
    </row>
    <row r="24" spans="1:14" x14ac:dyDescent="0.25">
      <c r="A24" s="371" t="s">
        <v>271</v>
      </c>
      <c r="B24" s="353" t="s">
        <v>272</v>
      </c>
      <c r="C24" s="354"/>
      <c r="D24" s="383">
        <f>IF(I24&gt;0,I24,0)</f>
        <v>47</v>
      </c>
      <c r="E24" s="370"/>
      <c r="F24" s="370"/>
      <c r="G24" s="72"/>
      <c r="H24" s="382" t="s">
        <v>273</v>
      </c>
      <c r="I24" s="385">
        <f>D22</f>
        <v>47</v>
      </c>
      <c r="J24" s="353" t="s">
        <v>272</v>
      </c>
    </row>
    <row r="25" spans="1:14" x14ac:dyDescent="0.25">
      <c r="A25" s="371" t="s">
        <v>274</v>
      </c>
      <c r="B25" s="353" t="s">
        <v>63</v>
      </c>
      <c r="C25" s="354" t="s">
        <v>45</v>
      </c>
      <c r="D25" s="383">
        <f>IF(I24&gt;0,I25,0)</f>
        <v>191</v>
      </c>
      <c r="E25" s="370"/>
      <c r="F25" s="386"/>
      <c r="H25" s="382" t="s">
        <v>273</v>
      </c>
      <c r="I25" s="385">
        <f>IF(D22&gt;0,D22+I19,0)</f>
        <v>191</v>
      </c>
      <c r="J25" s="353" t="s">
        <v>63</v>
      </c>
    </row>
    <row r="26" spans="1:14" x14ac:dyDescent="0.25">
      <c r="A26" s="371" t="s">
        <v>275</v>
      </c>
      <c r="B26" s="353" t="s">
        <v>276</v>
      </c>
      <c r="C26" s="354" t="s">
        <v>45</v>
      </c>
      <c r="D26" s="375">
        <f>D21+D24</f>
        <v>46083</v>
      </c>
      <c r="E26" s="375"/>
      <c r="F26" s="375"/>
      <c r="G26" s="72"/>
      <c r="H26" s="387"/>
      <c r="I26" s="72"/>
      <c r="J26" s="72"/>
    </row>
    <row r="27" spans="1:14" x14ac:dyDescent="0.25">
      <c r="A27" s="371" t="s">
        <v>277</v>
      </c>
      <c r="B27" s="353" t="s">
        <v>67</v>
      </c>
      <c r="C27" s="354" t="s">
        <v>45</v>
      </c>
      <c r="D27" s="383">
        <f>+D18-D17-D23</f>
        <v>188</v>
      </c>
      <c r="E27" s="388"/>
      <c r="F27" s="388"/>
      <c r="G27" s="72"/>
      <c r="H27" s="387"/>
      <c r="I27" s="389"/>
    </row>
    <row r="28" spans="1:14" x14ac:dyDescent="0.25">
      <c r="A28" s="371" t="s">
        <v>278</v>
      </c>
      <c r="B28" s="353" t="s">
        <v>279</v>
      </c>
      <c r="C28" s="354" t="s">
        <v>45</v>
      </c>
      <c r="D28" s="390" t="e">
        <f>#REF!</f>
        <v>#REF!</v>
      </c>
      <c r="E28" s="390"/>
      <c r="F28" s="390"/>
      <c r="G28" s="72"/>
      <c r="H28" s="331"/>
      <c r="I28" s="391" t="e">
        <f>#REF!</f>
        <v>#REF!</v>
      </c>
      <c r="J28" s="72" t="s">
        <v>280</v>
      </c>
    </row>
    <row r="29" spans="1:14" ht="15.6" customHeight="1" x14ac:dyDescent="0.25">
      <c r="A29" s="371" t="s">
        <v>281</v>
      </c>
      <c r="B29" s="353" t="s">
        <v>282</v>
      </c>
      <c r="C29" s="354" t="s">
        <v>45</v>
      </c>
      <c r="D29" s="392">
        <f>I30</f>
        <v>1</v>
      </c>
      <c r="E29" s="392"/>
      <c r="F29" s="392"/>
      <c r="G29" s="72"/>
      <c r="H29" s="382" t="s">
        <v>273</v>
      </c>
      <c r="I29" s="393">
        <f>(((SIN((((180*((D27))/D19)-90)*(3.14159265358979/180)))+1)*50)/100)</f>
        <v>0.78678821817552413</v>
      </c>
      <c r="J29" s="394" t="s">
        <v>283</v>
      </c>
      <c r="K29" s="355"/>
      <c r="L29" s="355"/>
      <c r="M29" s="68"/>
      <c r="N29" s="395"/>
    </row>
    <row r="30" spans="1:14" x14ac:dyDescent="0.25">
      <c r="A30" s="371" t="s">
        <v>284</v>
      </c>
      <c r="B30" s="353" t="s">
        <v>73</v>
      </c>
      <c r="C30" s="354" t="s">
        <v>45</v>
      </c>
      <c r="D30" s="396" t="e">
        <f>D28-D29</f>
        <v>#REF!</v>
      </c>
      <c r="E30" s="396"/>
      <c r="F30" s="396"/>
      <c r="G30" s="72"/>
      <c r="H30" s="382" t="s">
        <v>273</v>
      </c>
      <c r="I30" s="393">
        <f>I33</f>
        <v>1</v>
      </c>
      <c r="J30" s="394" t="s">
        <v>285</v>
      </c>
      <c r="K30" s="355"/>
      <c r="L30" s="355"/>
      <c r="M30" s="68"/>
      <c r="N30" s="395"/>
    </row>
    <row r="31" spans="1:14" x14ac:dyDescent="0.25">
      <c r="A31" s="371" t="s">
        <v>64</v>
      </c>
      <c r="B31" s="353" t="s">
        <v>75</v>
      </c>
      <c r="C31" s="354" t="s">
        <v>45</v>
      </c>
      <c r="D31" s="397"/>
      <c r="E31" s="397"/>
      <c r="F31" s="397"/>
      <c r="G31" s="72"/>
      <c r="H31" s="331"/>
      <c r="I31" s="60"/>
    </row>
    <row r="32" spans="1:14" x14ac:dyDescent="0.25">
      <c r="A32" s="371"/>
      <c r="B32" s="316"/>
      <c r="C32" s="316"/>
      <c r="D32" s="398"/>
      <c r="E32" s="398"/>
      <c r="F32" s="398"/>
      <c r="H32" s="382" t="s">
        <v>273</v>
      </c>
      <c r="I32" s="393">
        <f>D27/D19</f>
        <v>1.3055555555555556</v>
      </c>
      <c r="J32" s="394" t="s">
        <v>286</v>
      </c>
      <c r="K32" s="68"/>
      <c r="L32" s="68"/>
      <c r="M32" s="68"/>
      <c r="N32" s="395"/>
    </row>
    <row r="33" spans="1:14" x14ac:dyDescent="0.25">
      <c r="A33" s="316"/>
      <c r="B33" s="316"/>
      <c r="C33" s="316"/>
      <c r="D33" s="316"/>
      <c r="E33" s="316"/>
      <c r="F33" s="316"/>
      <c r="H33" s="382" t="s">
        <v>273</v>
      </c>
      <c r="I33" s="393">
        <v>1</v>
      </c>
      <c r="J33" s="394" t="s">
        <v>287</v>
      </c>
      <c r="K33" s="68"/>
      <c r="L33" s="68"/>
      <c r="M33" s="68"/>
      <c r="N33" s="395"/>
    </row>
    <row r="34" spans="1:14" x14ac:dyDescent="0.25">
      <c r="E34" s="316"/>
      <c r="F34" s="316"/>
      <c r="H34" s="399"/>
    </row>
    <row r="35" spans="1:14" x14ac:dyDescent="0.25">
      <c r="A35" s="316"/>
      <c r="B35" s="353" t="s">
        <v>27</v>
      </c>
      <c r="C35" s="316"/>
      <c r="D35" s="353" t="s">
        <v>288</v>
      </c>
      <c r="E35" s="316"/>
      <c r="F35" s="316"/>
      <c r="H35" s="454" t="s">
        <v>289</v>
      </c>
      <c r="I35" s="400" t="s">
        <v>290</v>
      </c>
      <c r="J35" s="401"/>
    </row>
    <row r="36" spans="1:14" x14ac:dyDescent="0.25">
      <c r="A36" s="316"/>
      <c r="B36" s="316"/>
      <c r="C36" s="316"/>
      <c r="D36" s="316"/>
      <c r="E36" s="316"/>
      <c r="F36" s="316"/>
      <c r="H36" s="455"/>
      <c r="I36" s="402" t="s">
        <v>291</v>
      </c>
      <c r="J36" s="403"/>
    </row>
    <row r="37" spans="1:14" x14ac:dyDescent="0.25">
      <c r="A37" s="316"/>
      <c r="B37" s="316"/>
      <c r="C37" s="316"/>
      <c r="D37" s="316"/>
      <c r="E37" s="326"/>
      <c r="F37" s="326"/>
      <c r="G37" s="63"/>
      <c r="H37" s="321"/>
      <c r="I37" s="321"/>
    </row>
    <row r="38" spans="1:14" x14ac:dyDescent="0.25">
      <c r="A38" s="316"/>
      <c r="B38" s="321" t="s">
        <v>347</v>
      </c>
      <c r="C38" s="316"/>
      <c r="D38" s="321" t="s">
        <v>296</v>
      </c>
      <c r="E38" s="404"/>
      <c r="F38" s="404"/>
    </row>
    <row r="39" spans="1:14" x14ac:dyDescent="0.25">
      <c r="B39" s="316" t="s">
        <v>32</v>
      </c>
      <c r="C39" s="316"/>
      <c r="D39" s="316" t="s">
        <v>297</v>
      </c>
    </row>
    <row r="41" spans="1:14" x14ac:dyDescent="0.25">
      <c r="B41" s="63"/>
    </row>
  </sheetData>
  <mergeCells count="9">
    <mergeCell ref="B9:F9"/>
    <mergeCell ref="D12:F12"/>
    <mergeCell ref="H35:H36"/>
    <mergeCell ref="A2:F2"/>
    <mergeCell ref="A3:F3"/>
    <mergeCell ref="A4:F4"/>
    <mergeCell ref="A5:F5"/>
    <mergeCell ref="H6:K6"/>
    <mergeCell ref="A7:F7"/>
  </mergeCells>
  <printOptions horizontalCentered="1"/>
  <pageMargins left="0.51181102362204722" right="0.51181102362204722" top="1.1417322834645669" bottom="0.74803149606299213" header="0.31496062992125984" footer="0.31496062992125984"/>
  <pageSetup paperSize="14" scale="9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2D050"/>
  </sheetPr>
  <dimension ref="A2:Q41"/>
  <sheetViews>
    <sheetView view="pageBreakPreview" topLeftCell="C17" zoomScaleNormal="100" zoomScaleSheetLayoutView="100" workbookViewId="0">
      <selection activeCell="I28" sqref="I28"/>
    </sheetView>
  </sheetViews>
  <sheetFormatPr defaultColWidth="9.140625" defaultRowHeight="15.75" x14ac:dyDescent="0.25"/>
  <cols>
    <col min="1" max="1" width="4" style="60" customWidth="1"/>
    <col min="2" max="2" width="39.28515625" style="60" customWidth="1"/>
    <col min="3" max="3" width="3.28515625" style="60" customWidth="1"/>
    <col min="4" max="5" width="18.7109375" style="60" customWidth="1"/>
    <col min="6" max="6" width="9.42578125" style="60" customWidth="1"/>
    <col min="7" max="7" width="7.42578125" style="60" customWidth="1"/>
    <col min="8" max="8" width="12.7109375" style="316" customWidth="1"/>
    <col min="9" max="9" width="28.42578125" style="316" customWidth="1"/>
    <col min="10" max="10" width="11.85546875" style="60" customWidth="1"/>
    <col min="11" max="11" width="13.28515625" style="60" customWidth="1"/>
    <col min="12" max="12" width="9.140625" style="60"/>
    <col min="13" max="13" width="11.28515625" style="60" customWidth="1"/>
    <col min="14" max="16" width="9.140625" style="60"/>
    <col min="17" max="17" width="15.28515625" style="60" customWidth="1"/>
    <col min="18" max="16384" width="9.140625" style="60"/>
  </cols>
  <sheetData>
    <row r="2" spans="1:17" x14ac:dyDescent="0.25">
      <c r="A2" s="456" t="s">
        <v>37</v>
      </c>
      <c r="B2" s="456"/>
      <c r="C2" s="456"/>
      <c r="D2" s="456"/>
      <c r="E2" s="456"/>
      <c r="F2" s="456"/>
      <c r="G2" s="315"/>
    </row>
    <row r="3" spans="1:17" x14ac:dyDescent="0.25">
      <c r="A3" s="457" t="s">
        <v>38</v>
      </c>
      <c r="B3" s="457"/>
      <c r="C3" s="457"/>
      <c r="D3" s="457"/>
      <c r="E3" s="457"/>
      <c r="F3" s="457"/>
      <c r="G3" s="317"/>
    </row>
    <row r="4" spans="1:17" x14ac:dyDescent="0.25">
      <c r="A4" s="456" t="s">
        <v>247</v>
      </c>
      <c r="B4" s="456"/>
      <c r="C4" s="456"/>
      <c r="D4" s="456"/>
      <c r="E4" s="456"/>
      <c r="F4" s="456"/>
      <c r="G4" s="315"/>
    </row>
    <row r="5" spans="1:17" ht="16.5" x14ac:dyDescent="0.25">
      <c r="A5" s="458" t="s">
        <v>248</v>
      </c>
      <c r="B5" s="458"/>
      <c r="C5" s="458"/>
      <c r="D5" s="458"/>
      <c r="E5" s="458"/>
      <c r="F5" s="458"/>
      <c r="G5" s="318"/>
    </row>
    <row r="6" spans="1:17" ht="20.25" x14ac:dyDescent="0.3">
      <c r="A6" s="61"/>
      <c r="H6" s="459" t="s">
        <v>250</v>
      </c>
      <c r="I6" s="460"/>
      <c r="J6" s="460"/>
      <c r="K6" s="461"/>
      <c r="M6" s="319" t="s">
        <v>251</v>
      </c>
    </row>
    <row r="7" spans="1:17" ht="18.75" x14ac:dyDescent="0.3">
      <c r="A7" s="462" t="s">
        <v>40</v>
      </c>
      <c r="B7" s="462"/>
      <c r="C7" s="462"/>
      <c r="D7" s="462"/>
      <c r="E7" s="462"/>
      <c r="F7" s="462"/>
      <c r="G7" s="320"/>
      <c r="H7" s="321"/>
      <c r="I7" s="321"/>
      <c r="M7" s="322" t="s">
        <v>252</v>
      </c>
      <c r="N7" s="323" t="s">
        <v>253</v>
      </c>
      <c r="O7" s="324"/>
      <c r="P7" s="324"/>
      <c r="Q7" s="325"/>
    </row>
    <row r="8" spans="1:17" x14ac:dyDescent="0.25">
      <c r="A8" s="63"/>
      <c r="B8" s="63"/>
      <c r="C8" s="63"/>
      <c r="D8" s="63"/>
      <c r="E8" s="63"/>
      <c r="F8" s="63"/>
      <c r="G8" s="63"/>
      <c r="H8" s="326"/>
      <c r="I8" s="60"/>
      <c r="M8" s="327" t="s">
        <v>254</v>
      </c>
      <c r="N8" s="328" t="s">
        <v>255</v>
      </c>
      <c r="O8" s="329"/>
      <c r="P8" s="329"/>
      <c r="Q8" s="330"/>
    </row>
    <row r="9" spans="1:17" x14ac:dyDescent="0.25">
      <c r="A9" s="326"/>
      <c r="B9" s="452" t="str">
        <f>I9</f>
        <v>July 26, 2024</v>
      </c>
      <c r="C9" s="452"/>
      <c r="D9" s="452"/>
      <c r="E9" s="452"/>
      <c r="F9" s="452"/>
      <c r="H9" s="331" t="s">
        <v>256</v>
      </c>
      <c r="I9" s="332" t="s">
        <v>346</v>
      </c>
      <c r="M9" s="333" t="s">
        <v>257</v>
      </c>
      <c r="N9" s="334" t="s">
        <v>258</v>
      </c>
      <c r="O9" s="335"/>
      <c r="P9" s="335"/>
      <c r="Q9" s="336"/>
    </row>
    <row r="10" spans="1:17" x14ac:dyDescent="0.25">
      <c r="A10" s="326"/>
      <c r="B10" s="337"/>
      <c r="C10" s="337"/>
      <c r="D10" s="337"/>
      <c r="E10" s="337"/>
      <c r="F10" s="337"/>
      <c r="H10" s="331"/>
      <c r="I10" s="64"/>
      <c r="M10" s="338" t="s">
        <v>259</v>
      </c>
      <c r="N10" s="339" t="s">
        <v>260</v>
      </c>
      <c r="O10" s="340"/>
      <c r="P10" s="340"/>
      <c r="Q10" s="341"/>
    </row>
    <row r="11" spans="1:17" x14ac:dyDescent="0.25">
      <c r="A11" s="326"/>
      <c r="B11" s="337"/>
      <c r="C11" s="337"/>
      <c r="D11" s="337"/>
      <c r="E11" s="337"/>
      <c r="F11" s="337"/>
      <c r="H11" s="331"/>
      <c r="I11" s="64"/>
      <c r="M11" s="342" t="s">
        <v>261</v>
      </c>
      <c r="N11" s="343" t="s">
        <v>262</v>
      </c>
      <c r="O11" s="344"/>
      <c r="P11" s="344"/>
      <c r="Q11" s="345"/>
    </row>
    <row r="12" spans="1:17" ht="26.25" customHeight="1" x14ac:dyDescent="0.25">
      <c r="A12" s="346" t="s">
        <v>263</v>
      </c>
      <c r="B12" s="346"/>
      <c r="C12" s="347" t="s">
        <v>45</v>
      </c>
      <c r="D12" s="453" t="str">
        <f>I12</f>
        <v>Construction of Multi-Purpose Building Lallo National High School</v>
      </c>
      <c r="E12" s="453"/>
      <c r="F12" s="453"/>
      <c r="H12" s="331" t="s">
        <v>256</v>
      </c>
      <c r="I12" s="348" t="s">
        <v>342</v>
      </c>
      <c r="J12" s="346" t="s">
        <v>263</v>
      </c>
      <c r="M12" s="349" t="s">
        <v>264</v>
      </c>
      <c r="N12" s="350" t="s">
        <v>265</v>
      </c>
      <c r="O12" s="351"/>
      <c r="P12" s="351"/>
      <c r="Q12" s="352"/>
    </row>
    <row r="13" spans="1:17" ht="17.25" customHeight="1" x14ac:dyDescent="0.25">
      <c r="A13" s="353" t="s">
        <v>47</v>
      </c>
      <c r="B13" s="353"/>
      <c r="C13" s="354" t="s">
        <v>45</v>
      </c>
      <c r="D13" s="355" t="str">
        <f>I13</f>
        <v>Lallo, Cagayan</v>
      </c>
      <c r="E13" s="355"/>
      <c r="F13" s="356"/>
      <c r="H13" s="331" t="s">
        <v>256</v>
      </c>
      <c r="I13" s="357" t="s">
        <v>343</v>
      </c>
      <c r="J13" s="353" t="s">
        <v>47</v>
      </c>
      <c r="M13" s="358" t="s">
        <v>266</v>
      </c>
      <c r="N13" s="359" t="s">
        <v>253</v>
      </c>
      <c r="O13" s="360"/>
      <c r="P13" s="360"/>
      <c r="Q13" s="361"/>
    </row>
    <row r="14" spans="1:17" x14ac:dyDescent="0.25">
      <c r="A14" s="362" t="s">
        <v>48</v>
      </c>
      <c r="B14" s="362"/>
      <c r="C14" s="354" t="s">
        <v>45</v>
      </c>
      <c r="D14" s="363">
        <f>I14</f>
        <v>3796932.5</v>
      </c>
      <c r="E14" s="363"/>
      <c r="F14" s="363"/>
      <c r="H14" s="331" t="s">
        <v>256</v>
      </c>
      <c r="I14" s="364">
        <v>3796932.5</v>
      </c>
      <c r="J14" s="362" t="s">
        <v>48</v>
      </c>
      <c r="M14" s="365" t="s">
        <v>267</v>
      </c>
      <c r="N14" s="366" t="s">
        <v>255</v>
      </c>
      <c r="O14" s="367"/>
      <c r="P14" s="367"/>
      <c r="Q14" s="368"/>
    </row>
    <row r="15" spans="1:17" s="76" customFormat="1" ht="15.6" customHeight="1" x14ac:dyDescent="0.2">
      <c r="A15" s="353" t="s">
        <v>31</v>
      </c>
      <c r="B15" s="353"/>
      <c r="C15" s="354" t="s">
        <v>45</v>
      </c>
      <c r="D15" s="355" t="str">
        <f>I15</f>
        <v>Rucs Konsult and Construction Services</v>
      </c>
      <c r="E15" s="355"/>
      <c r="F15" s="355"/>
      <c r="H15" s="331" t="s">
        <v>256</v>
      </c>
      <c r="I15" s="369" t="s">
        <v>345</v>
      </c>
      <c r="J15" s="353" t="s">
        <v>31</v>
      </c>
    </row>
    <row r="16" spans="1:17" x14ac:dyDescent="0.25">
      <c r="A16" s="362"/>
      <c r="B16" s="362"/>
      <c r="C16" s="354"/>
      <c r="D16" s="370"/>
      <c r="E16" s="370"/>
      <c r="F16" s="370"/>
      <c r="G16" s="72"/>
      <c r="H16" s="331"/>
      <c r="I16" s="60"/>
    </row>
    <row r="17" spans="1:14" x14ac:dyDescent="0.25">
      <c r="A17" s="371" t="s">
        <v>50</v>
      </c>
      <c r="B17" s="353" t="s">
        <v>51</v>
      </c>
      <c r="C17" s="354" t="s">
        <v>45</v>
      </c>
      <c r="D17" s="372">
        <f>D20+9</f>
        <v>45045</v>
      </c>
      <c r="E17" s="356" t="s">
        <v>52</v>
      </c>
      <c r="F17" s="68"/>
      <c r="H17" s="373"/>
      <c r="J17" s="72"/>
      <c r="K17" s="374"/>
    </row>
    <row r="18" spans="1:14" x14ac:dyDescent="0.25">
      <c r="A18" s="371"/>
      <c r="B18" s="353"/>
      <c r="C18" s="354"/>
      <c r="D18" s="375" t="str">
        <f>+B9</f>
        <v>July 26, 2024</v>
      </c>
      <c r="E18" s="375"/>
      <c r="F18" s="375"/>
      <c r="G18" s="376"/>
      <c r="H18" s="377"/>
      <c r="J18" s="72"/>
      <c r="K18" s="374"/>
    </row>
    <row r="19" spans="1:14" x14ac:dyDescent="0.25">
      <c r="A19" s="371" t="s">
        <v>54</v>
      </c>
      <c r="B19" s="353" t="s">
        <v>268</v>
      </c>
      <c r="C19" s="354" t="s">
        <v>45</v>
      </c>
      <c r="D19" s="378">
        <f>I19</f>
        <v>180</v>
      </c>
      <c r="E19" s="379"/>
      <c r="F19" s="379"/>
      <c r="G19" s="72"/>
      <c r="H19" s="380" t="s">
        <v>256</v>
      </c>
      <c r="I19" s="381">
        <v>180</v>
      </c>
      <c r="J19" s="353" t="s">
        <v>268</v>
      </c>
    </row>
    <row r="20" spans="1:14" x14ac:dyDescent="0.25">
      <c r="A20" s="371" t="s">
        <v>56</v>
      </c>
      <c r="B20" s="353" t="s">
        <v>269</v>
      </c>
      <c r="C20" s="354" t="s">
        <v>45</v>
      </c>
      <c r="D20" s="372">
        <f>I20</f>
        <v>45036</v>
      </c>
      <c r="E20" s="372"/>
      <c r="F20" s="372"/>
      <c r="H20" s="380" t="s">
        <v>256</v>
      </c>
      <c r="I20" s="332">
        <v>45036</v>
      </c>
      <c r="J20" s="353" t="s">
        <v>269</v>
      </c>
    </row>
    <row r="21" spans="1:14" x14ac:dyDescent="0.25">
      <c r="A21" s="371" t="s">
        <v>270</v>
      </c>
      <c r="B21" s="353" t="s">
        <v>59</v>
      </c>
      <c r="C21" s="354" t="s">
        <v>45</v>
      </c>
      <c r="D21" s="375">
        <f>+D17+D19</f>
        <v>45225</v>
      </c>
      <c r="E21" s="375"/>
      <c r="F21" s="375"/>
      <c r="G21" s="72"/>
      <c r="H21" s="382"/>
      <c r="I21" s="72"/>
      <c r="J21" s="72"/>
    </row>
    <row r="22" spans="1:14" x14ac:dyDescent="0.25">
      <c r="A22" s="371" t="s">
        <v>58</v>
      </c>
      <c r="B22" s="353" t="s">
        <v>79</v>
      </c>
      <c r="C22" s="354" t="s">
        <v>45</v>
      </c>
      <c r="D22" s="383">
        <f>I22</f>
        <v>0</v>
      </c>
      <c r="E22" s="370"/>
      <c r="F22" s="370"/>
      <c r="G22" s="72"/>
      <c r="H22" s="380" t="s">
        <v>256</v>
      </c>
      <c r="I22" s="381"/>
      <c r="J22" s="353" t="s">
        <v>79</v>
      </c>
    </row>
    <row r="23" spans="1:14" x14ac:dyDescent="0.25">
      <c r="A23" s="371" t="s">
        <v>60</v>
      </c>
      <c r="B23" s="353" t="s">
        <v>78</v>
      </c>
      <c r="C23" s="354" t="s">
        <v>45</v>
      </c>
      <c r="D23" s="383">
        <v>446</v>
      </c>
      <c r="E23" s="370"/>
      <c r="F23" s="370"/>
      <c r="G23" s="72"/>
      <c r="H23" s="380" t="s">
        <v>256</v>
      </c>
      <c r="I23" s="384">
        <v>450</v>
      </c>
      <c r="J23" s="353" t="s">
        <v>78</v>
      </c>
    </row>
    <row r="24" spans="1:14" x14ac:dyDescent="0.25">
      <c r="A24" s="371" t="s">
        <v>271</v>
      </c>
      <c r="B24" s="353" t="s">
        <v>272</v>
      </c>
      <c r="C24" s="354"/>
      <c r="D24" s="383">
        <f>IF(I24&gt;0,I24,0)</f>
        <v>0</v>
      </c>
      <c r="E24" s="370"/>
      <c r="F24" s="370"/>
      <c r="G24" s="72"/>
      <c r="H24" s="382" t="s">
        <v>273</v>
      </c>
      <c r="I24" s="385">
        <f>D22</f>
        <v>0</v>
      </c>
      <c r="J24" s="353" t="s">
        <v>272</v>
      </c>
    </row>
    <row r="25" spans="1:14" x14ac:dyDescent="0.25">
      <c r="A25" s="371" t="s">
        <v>274</v>
      </c>
      <c r="B25" s="353" t="s">
        <v>63</v>
      </c>
      <c r="C25" s="354" t="s">
        <v>45</v>
      </c>
      <c r="D25" s="383">
        <f>IF(I24&gt;0,I25,0)</f>
        <v>0</v>
      </c>
      <c r="E25" s="370"/>
      <c r="F25" s="386"/>
      <c r="H25" s="382" t="s">
        <v>273</v>
      </c>
      <c r="I25" s="385">
        <f>IF(D22&gt;0,D22+I19,0)-1</f>
        <v>-1</v>
      </c>
      <c r="J25" s="353" t="s">
        <v>63</v>
      </c>
    </row>
    <row r="26" spans="1:14" x14ac:dyDescent="0.25">
      <c r="A26" s="371" t="s">
        <v>275</v>
      </c>
      <c r="B26" s="353" t="s">
        <v>276</v>
      </c>
      <c r="C26" s="354" t="s">
        <v>45</v>
      </c>
      <c r="D26" s="375">
        <f>D21+D23</f>
        <v>45671</v>
      </c>
      <c r="E26" s="375"/>
      <c r="F26" s="375"/>
      <c r="G26" s="72"/>
      <c r="H26" s="387"/>
      <c r="I26" s="72"/>
      <c r="J26" s="72"/>
    </row>
    <row r="27" spans="1:14" x14ac:dyDescent="0.25">
      <c r="A27" s="371" t="s">
        <v>277</v>
      </c>
      <c r="B27" s="353" t="s">
        <v>67</v>
      </c>
      <c r="C27" s="354" t="s">
        <v>45</v>
      </c>
      <c r="D27" s="451">
        <f>+D18-D17+1</f>
        <v>455</v>
      </c>
      <c r="E27" s="388"/>
      <c r="F27" s="388"/>
      <c r="G27" s="72"/>
      <c r="H27" s="387"/>
      <c r="I27" s="389"/>
    </row>
    <row r="28" spans="1:14" x14ac:dyDescent="0.25">
      <c r="A28" s="371" t="s">
        <v>278</v>
      </c>
      <c r="B28" s="353" t="s">
        <v>279</v>
      </c>
      <c r="C28" s="354" t="s">
        <v>45</v>
      </c>
      <c r="D28" s="390" t="e">
        <f>#REF!</f>
        <v>#REF!</v>
      </c>
      <c r="E28" s="390"/>
      <c r="F28" s="390"/>
      <c r="G28" s="72"/>
      <c r="H28" s="331"/>
      <c r="I28" s="391" t="e">
        <f>#REF!</f>
        <v>#REF!</v>
      </c>
      <c r="J28" s="72" t="s">
        <v>280</v>
      </c>
    </row>
    <row r="29" spans="1:14" ht="15.6" customHeight="1" x14ac:dyDescent="0.25">
      <c r="A29" s="371" t="s">
        <v>281</v>
      </c>
      <c r="B29" s="353" t="s">
        <v>282</v>
      </c>
      <c r="C29" s="354" t="s">
        <v>45</v>
      </c>
      <c r="D29" s="392">
        <f>I29</f>
        <v>0.54357787137382585</v>
      </c>
      <c r="E29" s="392"/>
      <c r="F29" s="392"/>
      <c r="G29" s="72"/>
      <c r="H29" s="382" t="s">
        <v>273</v>
      </c>
      <c r="I29" s="393">
        <f>(((SIN((((180*((D27))/D19)-90)*(3.14159265358979/180)))+1)*50)/100)</f>
        <v>0.54357787137382585</v>
      </c>
      <c r="J29" s="394" t="s">
        <v>283</v>
      </c>
      <c r="K29" s="355"/>
      <c r="L29" s="355"/>
      <c r="M29" s="68"/>
      <c r="N29" s="395"/>
    </row>
    <row r="30" spans="1:14" x14ac:dyDescent="0.25">
      <c r="A30" s="371" t="s">
        <v>284</v>
      </c>
      <c r="B30" s="353" t="s">
        <v>73</v>
      </c>
      <c r="C30" s="354" t="s">
        <v>45</v>
      </c>
      <c r="D30" s="396" t="e">
        <f>D28-D29</f>
        <v>#REF!</v>
      </c>
      <c r="E30" s="396"/>
      <c r="F30" s="396"/>
      <c r="G30" s="72"/>
      <c r="H30" s="382" t="s">
        <v>273</v>
      </c>
      <c r="I30" s="393" t="str">
        <f>IF(I25&gt;0,(((SIN((((180*((D27))/D25)-90)*(3.14159265358979/180)))+1)*50)/100),"")</f>
        <v/>
      </c>
      <c r="J30" s="394" t="s">
        <v>285</v>
      </c>
      <c r="K30" s="355"/>
      <c r="L30" s="355"/>
      <c r="M30" s="68"/>
      <c r="N30" s="395"/>
    </row>
    <row r="31" spans="1:14" x14ac:dyDescent="0.25">
      <c r="A31" s="371" t="s">
        <v>64</v>
      </c>
      <c r="B31" s="353" t="s">
        <v>75</v>
      </c>
      <c r="C31" s="354" t="s">
        <v>45</v>
      </c>
      <c r="D31" s="397"/>
      <c r="E31" s="397"/>
      <c r="F31" s="397"/>
      <c r="G31" s="72"/>
      <c r="H31" s="331"/>
      <c r="I31" s="60"/>
    </row>
    <row r="32" spans="1:14" x14ac:dyDescent="0.25">
      <c r="A32" s="371"/>
      <c r="B32" s="316"/>
      <c r="C32" s="316"/>
      <c r="D32" s="398"/>
      <c r="E32" s="398"/>
      <c r="F32" s="398"/>
      <c r="H32" s="382" t="s">
        <v>273</v>
      </c>
      <c r="I32" s="393">
        <f>D27/D19</f>
        <v>2.5277777777777777</v>
      </c>
      <c r="J32" s="394" t="s">
        <v>286</v>
      </c>
      <c r="K32" s="68"/>
      <c r="L32" s="68"/>
      <c r="M32" s="68"/>
      <c r="N32" s="395"/>
    </row>
    <row r="33" spans="1:14" x14ac:dyDescent="0.25">
      <c r="A33" s="316"/>
      <c r="B33" s="316"/>
      <c r="C33" s="316"/>
      <c r="D33" s="316"/>
      <c r="E33" s="316"/>
      <c r="F33" s="316"/>
      <c r="H33" s="382" t="s">
        <v>273</v>
      </c>
      <c r="I33" s="393">
        <v>1</v>
      </c>
      <c r="J33" s="394" t="s">
        <v>287</v>
      </c>
      <c r="K33" s="68"/>
      <c r="L33" s="68"/>
      <c r="M33" s="68"/>
      <c r="N33" s="395"/>
    </row>
    <row r="34" spans="1:14" x14ac:dyDescent="0.25">
      <c r="E34" s="316"/>
      <c r="F34" s="316"/>
      <c r="H34" s="399"/>
    </row>
    <row r="35" spans="1:14" x14ac:dyDescent="0.25">
      <c r="A35" s="316"/>
      <c r="B35" s="353" t="s">
        <v>27</v>
      </c>
      <c r="C35" s="316"/>
      <c r="D35" s="353" t="s">
        <v>288</v>
      </c>
      <c r="E35" s="316"/>
      <c r="F35" s="316"/>
      <c r="H35" s="454" t="s">
        <v>289</v>
      </c>
      <c r="I35" s="400" t="s">
        <v>290</v>
      </c>
      <c r="J35" s="401"/>
    </row>
    <row r="36" spans="1:14" x14ac:dyDescent="0.25">
      <c r="A36" s="316"/>
      <c r="B36" s="316"/>
      <c r="C36" s="316"/>
      <c r="D36" s="316"/>
      <c r="E36" s="316"/>
      <c r="F36" s="316"/>
      <c r="H36" s="455"/>
      <c r="I36" s="402" t="s">
        <v>291</v>
      </c>
      <c r="J36" s="403"/>
    </row>
    <row r="37" spans="1:14" x14ac:dyDescent="0.25">
      <c r="A37" s="316"/>
      <c r="B37" s="316"/>
      <c r="C37" s="316"/>
      <c r="D37" s="316"/>
      <c r="E37" s="326"/>
      <c r="F37" s="326"/>
      <c r="G37" s="63"/>
      <c r="H37" s="321"/>
      <c r="I37" s="321"/>
    </row>
    <row r="38" spans="1:14" x14ac:dyDescent="0.25">
      <c r="A38" s="316"/>
      <c r="B38" s="321" t="s">
        <v>295</v>
      </c>
      <c r="C38" s="316"/>
      <c r="D38" s="321" t="s">
        <v>296</v>
      </c>
      <c r="E38" s="404"/>
      <c r="F38" s="404"/>
    </row>
    <row r="39" spans="1:14" x14ac:dyDescent="0.25">
      <c r="B39" s="316" t="s">
        <v>32</v>
      </c>
      <c r="C39" s="316"/>
      <c r="D39" s="316" t="s">
        <v>297</v>
      </c>
    </row>
    <row r="41" spans="1:14" x14ac:dyDescent="0.25">
      <c r="B41" s="63"/>
    </row>
  </sheetData>
  <mergeCells count="9">
    <mergeCell ref="B9:F9"/>
    <mergeCell ref="D12:F12"/>
    <mergeCell ref="H35:H36"/>
    <mergeCell ref="A2:F2"/>
    <mergeCell ref="A3:F3"/>
    <mergeCell ref="A4:F4"/>
    <mergeCell ref="A5:F5"/>
    <mergeCell ref="H6:K6"/>
    <mergeCell ref="A7:F7"/>
  </mergeCells>
  <printOptions horizontalCentered="1"/>
  <pageMargins left="0.51181102362204722" right="0.51181102362204722" top="1.1417322834645669" bottom="0.74803149606299213" header="0.31496062992125984" footer="0.31496062992125984"/>
  <pageSetup paperSize="14" scale="9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2D050"/>
  </sheetPr>
  <dimension ref="A2:Q41"/>
  <sheetViews>
    <sheetView view="pageBreakPreview" topLeftCell="C13" zoomScaleNormal="100" zoomScaleSheetLayoutView="100" workbookViewId="0">
      <selection activeCell="I28" sqref="I28"/>
    </sheetView>
  </sheetViews>
  <sheetFormatPr defaultColWidth="9.140625" defaultRowHeight="15.75" x14ac:dyDescent="0.25"/>
  <cols>
    <col min="1" max="1" width="4" style="60" customWidth="1"/>
    <col min="2" max="2" width="39.28515625" style="60" customWidth="1"/>
    <col min="3" max="3" width="3.28515625" style="60" customWidth="1"/>
    <col min="4" max="5" width="18.7109375" style="60" customWidth="1"/>
    <col min="6" max="6" width="9.42578125" style="60" customWidth="1"/>
    <col min="7" max="7" width="7.42578125" style="60" customWidth="1"/>
    <col min="8" max="8" width="12.7109375" style="316" customWidth="1"/>
    <col min="9" max="9" width="28.42578125" style="316" customWidth="1"/>
    <col min="10" max="10" width="11.85546875" style="60" customWidth="1"/>
    <col min="11" max="11" width="13.28515625" style="60" customWidth="1"/>
    <col min="12" max="12" width="9.140625" style="60"/>
    <col min="13" max="13" width="11.28515625" style="60" customWidth="1"/>
    <col min="14" max="16" width="9.140625" style="60"/>
    <col min="17" max="17" width="15.28515625" style="60" customWidth="1"/>
    <col min="18" max="16384" width="9.140625" style="60"/>
  </cols>
  <sheetData>
    <row r="2" spans="1:17" x14ac:dyDescent="0.25">
      <c r="A2" s="456" t="s">
        <v>37</v>
      </c>
      <c r="B2" s="456"/>
      <c r="C2" s="456"/>
      <c r="D2" s="456"/>
      <c r="E2" s="456"/>
      <c r="F2" s="456"/>
      <c r="G2" s="315"/>
    </row>
    <row r="3" spans="1:17" x14ac:dyDescent="0.25">
      <c r="A3" s="457" t="s">
        <v>38</v>
      </c>
      <c r="B3" s="457"/>
      <c r="C3" s="457"/>
      <c r="D3" s="457"/>
      <c r="E3" s="457"/>
      <c r="F3" s="457"/>
      <c r="G3" s="317"/>
    </row>
    <row r="4" spans="1:17" x14ac:dyDescent="0.25">
      <c r="A4" s="456" t="s">
        <v>247</v>
      </c>
      <c r="B4" s="456"/>
      <c r="C4" s="456"/>
      <c r="D4" s="456"/>
      <c r="E4" s="456"/>
      <c r="F4" s="456"/>
      <c r="G4" s="315"/>
    </row>
    <row r="5" spans="1:17" ht="16.5" x14ac:dyDescent="0.25">
      <c r="A5" s="458" t="s">
        <v>248</v>
      </c>
      <c r="B5" s="458"/>
      <c r="C5" s="458"/>
      <c r="D5" s="458"/>
      <c r="E5" s="458"/>
      <c r="F5" s="458"/>
      <c r="G5" s="318"/>
    </row>
    <row r="6" spans="1:17" ht="20.25" x14ac:dyDescent="0.3">
      <c r="A6" s="61"/>
      <c r="H6" s="459" t="s">
        <v>250</v>
      </c>
      <c r="I6" s="460"/>
      <c r="J6" s="460"/>
      <c r="K6" s="461"/>
      <c r="M6" s="319" t="s">
        <v>251</v>
      </c>
    </row>
    <row r="7" spans="1:17" ht="18.75" x14ac:dyDescent="0.3">
      <c r="A7" s="462" t="s">
        <v>40</v>
      </c>
      <c r="B7" s="462"/>
      <c r="C7" s="462"/>
      <c r="D7" s="462"/>
      <c r="E7" s="462"/>
      <c r="F7" s="462"/>
      <c r="G7" s="320"/>
      <c r="H7" s="321"/>
      <c r="I7" s="321"/>
      <c r="M7" s="322" t="s">
        <v>252</v>
      </c>
      <c r="N7" s="323" t="s">
        <v>253</v>
      </c>
      <c r="O7" s="324"/>
      <c r="P7" s="324"/>
      <c r="Q7" s="325"/>
    </row>
    <row r="8" spans="1:17" x14ac:dyDescent="0.25">
      <c r="A8" s="63"/>
      <c r="B8" s="63"/>
      <c r="C8" s="63"/>
      <c r="D8" s="63"/>
      <c r="E8" s="63"/>
      <c r="F8" s="63"/>
      <c r="G8" s="63"/>
      <c r="H8" s="326"/>
      <c r="I8" s="60"/>
      <c r="M8" s="327" t="s">
        <v>254</v>
      </c>
      <c r="N8" s="328" t="s">
        <v>255</v>
      </c>
      <c r="O8" s="329"/>
      <c r="P8" s="329"/>
      <c r="Q8" s="330"/>
    </row>
    <row r="9" spans="1:17" x14ac:dyDescent="0.25">
      <c r="A9" s="326"/>
      <c r="B9" s="452">
        <f>I9</f>
        <v>45541</v>
      </c>
      <c r="C9" s="452"/>
      <c r="D9" s="452"/>
      <c r="E9" s="452"/>
      <c r="F9" s="452"/>
      <c r="H9" s="331" t="s">
        <v>256</v>
      </c>
      <c r="I9" s="332">
        <v>45541</v>
      </c>
      <c r="M9" s="333" t="s">
        <v>257</v>
      </c>
      <c r="N9" s="334" t="s">
        <v>258</v>
      </c>
      <c r="O9" s="335"/>
      <c r="P9" s="335"/>
      <c r="Q9" s="336"/>
    </row>
    <row r="10" spans="1:17" x14ac:dyDescent="0.25">
      <c r="A10" s="326"/>
      <c r="B10" s="337"/>
      <c r="C10" s="337"/>
      <c r="D10" s="337"/>
      <c r="E10" s="337"/>
      <c r="F10" s="337"/>
      <c r="H10" s="331"/>
      <c r="I10" s="64"/>
      <c r="M10" s="338" t="s">
        <v>259</v>
      </c>
      <c r="N10" s="339" t="s">
        <v>260</v>
      </c>
      <c r="O10" s="340"/>
      <c r="P10" s="340"/>
      <c r="Q10" s="341"/>
    </row>
    <row r="11" spans="1:17" x14ac:dyDescent="0.25">
      <c r="A11" s="326"/>
      <c r="B11" s="337"/>
      <c r="C11" s="337"/>
      <c r="D11" s="337"/>
      <c r="E11" s="337"/>
      <c r="F11" s="337"/>
      <c r="H11" s="331"/>
      <c r="I11" s="64"/>
      <c r="M11" s="342" t="s">
        <v>261</v>
      </c>
      <c r="N11" s="343" t="s">
        <v>262</v>
      </c>
      <c r="O11" s="344"/>
      <c r="P11" s="344"/>
      <c r="Q11" s="345"/>
    </row>
    <row r="12" spans="1:17" ht="26.25" customHeight="1" x14ac:dyDescent="0.25">
      <c r="A12" s="346" t="s">
        <v>263</v>
      </c>
      <c r="B12" s="346"/>
      <c r="C12" s="347" t="s">
        <v>45</v>
      </c>
      <c r="D12" s="453" t="str">
        <f>I12</f>
        <v>Construction of Multi-Purpose Building Lallo National High School</v>
      </c>
      <c r="E12" s="453"/>
      <c r="F12" s="453"/>
      <c r="H12" s="331" t="s">
        <v>256</v>
      </c>
      <c r="I12" s="348" t="s">
        <v>342</v>
      </c>
      <c r="J12" s="346" t="s">
        <v>263</v>
      </c>
      <c r="M12" s="349" t="s">
        <v>264</v>
      </c>
      <c r="N12" s="350" t="s">
        <v>265</v>
      </c>
      <c r="O12" s="351"/>
      <c r="P12" s="351"/>
      <c r="Q12" s="352"/>
    </row>
    <row r="13" spans="1:17" ht="17.25" customHeight="1" x14ac:dyDescent="0.25">
      <c r="A13" s="353" t="s">
        <v>47</v>
      </c>
      <c r="B13" s="353"/>
      <c r="C13" s="354" t="s">
        <v>45</v>
      </c>
      <c r="D13" s="355" t="str">
        <f>I13</f>
        <v>Lallo, Cagayan</v>
      </c>
      <c r="E13" s="355"/>
      <c r="F13" s="356"/>
      <c r="H13" s="331" t="s">
        <v>256</v>
      </c>
      <c r="I13" s="357" t="s">
        <v>343</v>
      </c>
      <c r="J13" s="353" t="s">
        <v>47</v>
      </c>
      <c r="M13" s="358" t="s">
        <v>266</v>
      </c>
      <c r="N13" s="359" t="s">
        <v>253</v>
      </c>
      <c r="O13" s="360"/>
      <c r="P13" s="360"/>
      <c r="Q13" s="361"/>
    </row>
    <row r="14" spans="1:17" x14ac:dyDescent="0.25">
      <c r="A14" s="362" t="s">
        <v>48</v>
      </c>
      <c r="B14" s="362"/>
      <c r="C14" s="354" t="s">
        <v>45</v>
      </c>
      <c r="D14" s="363">
        <f>I14</f>
        <v>3796932.5</v>
      </c>
      <c r="E14" s="363"/>
      <c r="F14" s="363"/>
      <c r="H14" s="331" t="s">
        <v>256</v>
      </c>
      <c r="I14" s="364">
        <v>3796932.5</v>
      </c>
      <c r="J14" s="362" t="s">
        <v>48</v>
      </c>
      <c r="M14" s="365" t="s">
        <v>267</v>
      </c>
      <c r="N14" s="366" t="s">
        <v>255</v>
      </c>
      <c r="O14" s="367"/>
      <c r="P14" s="367"/>
      <c r="Q14" s="368"/>
    </row>
    <row r="15" spans="1:17" s="76" customFormat="1" ht="15.6" customHeight="1" x14ac:dyDescent="0.2">
      <c r="A15" s="353" t="s">
        <v>31</v>
      </c>
      <c r="B15" s="353"/>
      <c r="C15" s="354" t="s">
        <v>45</v>
      </c>
      <c r="D15" s="355" t="str">
        <f>I15</f>
        <v>Rucs Konsult and Construction Services</v>
      </c>
      <c r="E15" s="355"/>
      <c r="F15" s="355"/>
      <c r="H15" s="331" t="s">
        <v>256</v>
      </c>
      <c r="I15" s="369" t="s">
        <v>345</v>
      </c>
      <c r="J15" s="353" t="s">
        <v>31</v>
      </c>
    </row>
    <row r="16" spans="1:17" x14ac:dyDescent="0.25">
      <c r="A16" s="362"/>
      <c r="B16" s="362"/>
      <c r="C16" s="354"/>
      <c r="D16" s="370"/>
      <c r="E16" s="370"/>
      <c r="F16" s="370"/>
      <c r="G16" s="72"/>
      <c r="H16" s="331"/>
      <c r="I16" s="60"/>
    </row>
    <row r="17" spans="1:14" x14ac:dyDescent="0.25">
      <c r="A17" s="371" t="s">
        <v>50</v>
      </c>
      <c r="B17" s="353" t="s">
        <v>51</v>
      </c>
      <c r="C17" s="354" t="s">
        <v>45</v>
      </c>
      <c r="D17" s="372">
        <f>D20+9</f>
        <v>45045</v>
      </c>
      <c r="E17" s="356" t="s">
        <v>52</v>
      </c>
      <c r="F17" s="68"/>
      <c r="H17" s="373"/>
      <c r="J17" s="72"/>
      <c r="K17" s="374"/>
    </row>
    <row r="18" spans="1:14" x14ac:dyDescent="0.25">
      <c r="A18" s="371"/>
      <c r="B18" s="353"/>
      <c r="C18" s="354"/>
      <c r="D18" s="375">
        <f>+B9</f>
        <v>45541</v>
      </c>
      <c r="E18" s="375"/>
      <c r="F18" s="375"/>
      <c r="G18" s="376"/>
      <c r="H18" s="377"/>
      <c r="J18" s="72"/>
      <c r="K18" s="374"/>
    </row>
    <row r="19" spans="1:14" x14ac:dyDescent="0.25">
      <c r="A19" s="371" t="s">
        <v>54</v>
      </c>
      <c r="B19" s="353" t="s">
        <v>268</v>
      </c>
      <c r="C19" s="354" t="s">
        <v>45</v>
      </c>
      <c r="D19" s="378">
        <f>I19</f>
        <v>180</v>
      </c>
      <c r="E19" s="379"/>
      <c r="F19" s="379"/>
      <c r="G19" s="72"/>
      <c r="H19" s="380" t="s">
        <v>256</v>
      </c>
      <c r="I19" s="381">
        <v>180</v>
      </c>
      <c r="J19" s="353" t="s">
        <v>268</v>
      </c>
    </row>
    <row r="20" spans="1:14" x14ac:dyDescent="0.25">
      <c r="A20" s="371" t="s">
        <v>56</v>
      </c>
      <c r="B20" s="353" t="s">
        <v>269</v>
      </c>
      <c r="C20" s="354" t="s">
        <v>45</v>
      </c>
      <c r="D20" s="372">
        <f>I20</f>
        <v>45036</v>
      </c>
      <c r="E20" s="372"/>
      <c r="F20" s="372"/>
      <c r="H20" s="380" t="s">
        <v>256</v>
      </c>
      <c r="I20" s="332">
        <v>45036</v>
      </c>
      <c r="J20" s="353" t="s">
        <v>269</v>
      </c>
    </row>
    <row r="21" spans="1:14" x14ac:dyDescent="0.25">
      <c r="A21" s="371" t="s">
        <v>270</v>
      </c>
      <c r="B21" s="353" t="s">
        <v>59</v>
      </c>
      <c r="C21" s="354" t="s">
        <v>45</v>
      </c>
      <c r="D21" s="375">
        <f>+D17+D19</f>
        <v>45225</v>
      </c>
      <c r="E21" s="375"/>
      <c r="F21" s="375"/>
      <c r="G21" s="72"/>
      <c r="H21" s="382"/>
      <c r="I21" s="72"/>
      <c r="J21" s="72"/>
    </row>
    <row r="22" spans="1:14" x14ac:dyDescent="0.25">
      <c r="A22" s="371" t="s">
        <v>58</v>
      </c>
      <c r="B22" s="353" t="s">
        <v>79</v>
      </c>
      <c r="C22" s="354" t="s">
        <v>45</v>
      </c>
      <c r="D22" s="383">
        <f>I22</f>
        <v>0</v>
      </c>
      <c r="E22" s="370"/>
      <c r="F22" s="370"/>
      <c r="G22" s="72"/>
      <c r="H22" s="380" t="s">
        <v>256</v>
      </c>
      <c r="I22" s="381"/>
      <c r="J22" s="353" t="s">
        <v>79</v>
      </c>
    </row>
    <row r="23" spans="1:14" x14ac:dyDescent="0.25">
      <c r="A23" s="371" t="s">
        <v>60</v>
      </c>
      <c r="B23" s="353" t="s">
        <v>78</v>
      </c>
      <c r="C23" s="354" t="s">
        <v>45</v>
      </c>
      <c r="D23" s="383">
        <v>446</v>
      </c>
      <c r="E23" s="370"/>
      <c r="F23" s="370"/>
      <c r="G23" s="72"/>
      <c r="H23" s="380" t="s">
        <v>256</v>
      </c>
      <c r="I23" s="384">
        <v>450</v>
      </c>
      <c r="J23" s="353" t="s">
        <v>78</v>
      </c>
    </row>
    <row r="24" spans="1:14" x14ac:dyDescent="0.25">
      <c r="A24" s="371" t="s">
        <v>271</v>
      </c>
      <c r="B24" s="353" t="s">
        <v>272</v>
      </c>
      <c r="C24" s="354"/>
      <c r="D24" s="383">
        <f>IF(I24&gt;0,I24,0)</f>
        <v>0</v>
      </c>
      <c r="E24" s="370"/>
      <c r="F24" s="370"/>
      <c r="G24" s="72"/>
      <c r="H24" s="382" t="s">
        <v>273</v>
      </c>
      <c r="I24" s="385">
        <f>D22</f>
        <v>0</v>
      </c>
      <c r="J24" s="353" t="s">
        <v>272</v>
      </c>
    </row>
    <row r="25" spans="1:14" x14ac:dyDescent="0.25">
      <c r="A25" s="371" t="s">
        <v>274</v>
      </c>
      <c r="B25" s="353" t="s">
        <v>63</v>
      </c>
      <c r="C25" s="354" t="s">
        <v>45</v>
      </c>
      <c r="D25" s="383">
        <f>IF(I24&gt;0,I25,0)</f>
        <v>0</v>
      </c>
      <c r="E25" s="370"/>
      <c r="F25" s="386"/>
      <c r="H25" s="382" t="s">
        <v>273</v>
      </c>
      <c r="I25" s="385">
        <f>IF(D22&gt;0,D22+I19,0)-1</f>
        <v>-1</v>
      </c>
      <c r="J25" s="353" t="s">
        <v>63</v>
      </c>
    </row>
    <row r="26" spans="1:14" x14ac:dyDescent="0.25">
      <c r="A26" s="371" t="s">
        <v>275</v>
      </c>
      <c r="B26" s="353" t="s">
        <v>276</v>
      </c>
      <c r="C26" s="354" t="s">
        <v>45</v>
      </c>
      <c r="D26" s="375">
        <f>D21+D23</f>
        <v>45671</v>
      </c>
      <c r="E26" s="375"/>
      <c r="F26" s="375"/>
      <c r="G26" s="72"/>
      <c r="H26" s="387"/>
      <c r="I26" s="72"/>
      <c r="J26" s="72"/>
    </row>
    <row r="27" spans="1:14" x14ac:dyDescent="0.25">
      <c r="A27" s="371" t="s">
        <v>277</v>
      </c>
      <c r="B27" s="353" t="s">
        <v>67</v>
      </c>
      <c r="C27" s="354" t="s">
        <v>45</v>
      </c>
      <c r="D27" s="383">
        <f>+D18-D17+1-D23</f>
        <v>51</v>
      </c>
      <c r="E27" s="388"/>
      <c r="F27" s="388"/>
      <c r="G27" s="72"/>
      <c r="H27" s="387"/>
      <c r="I27" s="389"/>
    </row>
    <row r="28" spans="1:14" x14ac:dyDescent="0.25">
      <c r="A28" s="371" t="s">
        <v>278</v>
      </c>
      <c r="B28" s="353" t="s">
        <v>279</v>
      </c>
      <c r="C28" s="354" t="s">
        <v>45</v>
      </c>
      <c r="D28" s="390" t="e">
        <f>#REF!</f>
        <v>#REF!</v>
      </c>
      <c r="E28" s="390"/>
      <c r="F28" s="390"/>
      <c r="G28" s="72"/>
      <c r="H28" s="331"/>
      <c r="I28" s="391" t="e">
        <f>#REF!</f>
        <v>#REF!</v>
      </c>
      <c r="J28" s="72" t="s">
        <v>280</v>
      </c>
    </row>
    <row r="29" spans="1:14" ht="15.6" customHeight="1" x14ac:dyDescent="0.25">
      <c r="A29" s="371" t="s">
        <v>281</v>
      </c>
      <c r="B29" s="353" t="s">
        <v>282</v>
      </c>
      <c r="C29" s="354" t="s">
        <v>45</v>
      </c>
      <c r="D29" s="392">
        <f>I29</f>
        <v>0.18533980447508155</v>
      </c>
      <c r="E29" s="392"/>
      <c r="F29" s="392"/>
      <c r="G29" s="72"/>
      <c r="H29" s="382" t="s">
        <v>273</v>
      </c>
      <c r="I29" s="393">
        <f>(((SIN((((180*((D27))/D19)-90)*(3.14159265358979/180)))+1)*50)/100)</f>
        <v>0.18533980447508155</v>
      </c>
      <c r="J29" s="394" t="s">
        <v>283</v>
      </c>
      <c r="K29" s="355"/>
      <c r="L29" s="355"/>
      <c r="M29" s="68"/>
      <c r="N29" s="395"/>
    </row>
    <row r="30" spans="1:14" x14ac:dyDescent="0.25">
      <c r="A30" s="371" t="s">
        <v>284</v>
      </c>
      <c r="B30" s="353" t="s">
        <v>73</v>
      </c>
      <c r="C30" s="354" t="s">
        <v>45</v>
      </c>
      <c r="D30" s="396" t="e">
        <f>D28-D29</f>
        <v>#REF!</v>
      </c>
      <c r="E30" s="396"/>
      <c r="F30" s="396"/>
      <c r="G30" s="72"/>
      <c r="H30" s="382" t="s">
        <v>273</v>
      </c>
      <c r="I30" s="393" t="str">
        <f>IF(I25&gt;0,(((SIN((((180*((D27))/D25)-90)*(3.14159265358979/180)))+1)*50)/100),"")</f>
        <v/>
      </c>
      <c r="J30" s="394" t="s">
        <v>285</v>
      </c>
      <c r="K30" s="355"/>
      <c r="L30" s="355"/>
      <c r="M30" s="68"/>
      <c r="N30" s="395"/>
    </row>
    <row r="31" spans="1:14" x14ac:dyDescent="0.25">
      <c r="A31" s="371" t="s">
        <v>64</v>
      </c>
      <c r="B31" s="353" t="s">
        <v>75</v>
      </c>
      <c r="C31" s="354" t="s">
        <v>45</v>
      </c>
      <c r="D31" s="397"/>
      <c r="E31" s="397"/>
      <c r="F31" s="397"/>
      <c r="G31" s="72"/>
      <c r="H31" s="331"/>
      <c r="I31" s="60"/>
    </row>
    <row r="32" spans="1:14" x14ac:dyDescent="0.25">
      <c r="A32" s="371"/>
      <c r="B32" s="316"/>
      <c r="C32" s="316"/>
      <c r="D32" s="398"/>
      <c r="E32" s="398"/>
      <c r="F32" s="398"/>
      <c r="H32" s="382" t="s">
        <v>273</v>
      </c>
      <c r="I32" s="393">
        <f>D27/D19</f>
        <v>0.28333333333333333</v>
      </c>
      <c r="J32" s="394" t="s">
        <v>286</v>
      </c>
      <c r="K32" s="68"/>
      <c r="L32" s="68"/>
      <c r="M32" s="68"/>
      <c r="N32" s="395"/>
    </row>
    <row r="33" spans="1:14" x14ac:dyDescent="0.25">
      <c r="A33" s="316"/>
      <c r="B33" s="316"/>
      <c r="C33" s="316"/>
      <c r="D33" s="316"/>
      <c r="E33" s="316"/>
      <c r="F33" s="316"/>
      <c r="H33" s="382" t="s">
        <v>273</v>
      </c>
      <c r="I33" s="393">
        <v>1</v>
      </c>
      <c r="J33" s="394" t="s">
        <v>287</v>
      </c>
      <c r="K33" s="68"/>
      <c r="L33" s="68"/>
      <c r="M33" s="68"/>
      <c r="N33" s="395"/>
    </row>
    <row r="34" spans="1:14" x14ac:dyDescent="0.25">
      <c r="E34" s="316"/>
      <c r="F34" s="316"/>
      <c r="H34" s="399"/>
    </row>
    <row r="35" spans="1:14" x14ac:dyDescent="0.25">
      <c r="A35" s="316"/>
      <c r="B35" s="353" t="s">
        <v>27</v>
      </c>
      <c r="C35" s="316"/>
      <c r="D35" s="353" t="s">
        <v>288</v>
      </c>
      <c r="E35" s="316"/>
      <c r="F35" s="316"/>
      <c r="H35" s="454" t="s">
        <v>289</v>
      </c>
      <c r="I35" s="400" t="s">
        <v>290</v>
      </c>
      <c r="J35" s="401"/>
    </row>
    <row r="36" spans="1:14" x14ac:dyDescent="0.25">
      <c r="A36" s="316"/>
      <c r="B36" s="316"/>
      <c r="C36" s="316"/>
      <c r="D36" s="316"/>
      <c r="E36" s="316"/>
      <c r="F36" s="316"/>
      <c r="H36" s="455"/>
      <c r="I36" s="402" t="s">
        <v>291</v>
      </c>
      <c r="J36" s="403"/>
    </row>
    <row r="37" spans="1:14" x14ac:dyDescent="0.25">
      <c r="A37" s="316"/>
      <c r="B37" s="316"/>
      <c r="C37" s="316"/>
      <c r="D37" s="316"/>
      <c r="E37" s="326"/>
      <c r="F37" s="326"/>
      <c r="G37" s="63"/>
      <c r="H37" s="321"/>
      <c r="I37" s="321"/>
    </row>
    <row r="38" spans="1:14" x14ac:dyDescent="0.25">
      <c r="A38" s="316"/>
      <c r="B38" s="321" t="s">
        <v>295</v>
      </c>
      <c r="C38" s="316"/>
      <c r="D38" s="321" t="s">
        <v>296</v>
      </c>
      <c r="E38" s="404"/>
      <c r="F38" s="404"/>
    </row>
    <row r="39" spans="1:14" x14ac:dyDescent="0.25">
      <c r="B39" s="316" t="s">
        <v>32</v>
      </c>
      <c r="C39" s="316"/>
      <c r="D39" s="316" t="s">
        <v>297</v>
      </c>
    </row>
    <row r="41" spans="1:14" x14ac:dyDescent="0.25">
      <c r="B41" s="63"/>
    </row>
  </sheetData>
  <mergeCells count="9">
    <mergeCell ref="B9:F9"/>
    <mergeCell ref="D12:F12"/>
    <mergeCell ref="H35:H36"/>
    <mergeCell ref="A2:F2"/>
    <mergeCell ref="A3:F3"/>
    <mergeCell ref="A4:F4"/>
    <mergeCell ref="A5:F5"/>
    <mergeCell ref="H6:K6"/>
    <mergeCell ref="A7:F7"/>
  </mergeCells>
  <printOptions horizontalCentered="1"/>
  <pageMargins left="0.51181102362204722" right="0.51181102362204722" top="1.1417322834645669" bottom="0.74803149606299213" header="0.31496062992125984" footer="0.31496062992125984"/>
  <pageSetup paperSize="14" scale="9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U77"/>
  <sheetViews>
    <sheetView view="pageBreakPreview" zoomScale="70" zoomScaleNormal="100" zoomScaleSheetLayoutView="70" workbookViewId="0">
      <pane xSplit="3" topLeftCell="D1" activePane="topRight" state="frozen"/>
      <selection activeCell="I29" sqref="I29"/>
      <selection pane="topRight" activeCell="I29" sqref="I29"/>
    </sheetView>
  </sheetViews>
  <sheetFormatPr defaultRowHeight="15" x14ac:dyDescent="0.25"/>
  <cols>
    <col min="1" max="1" width="13.28515625" customWidth="1"/>
    <col min="2" max="2" width="24.42578125" customWidth="1"/>
    <col min="3" max="3" width="22.5703125" customWidth="1"/>
    <col min="4" max="4" width="11.5703125" style="427" customWidth="1"/>
    <col min="5" max="5" width="6.7109375" customWidth="1"/>
    <col min="6" max="6" width="12.42578125" customWidth="1"/>
    <col min="7" max="7" width="16.140625" customWidth="1"/>
    <col min="8" max="8" width="9.85546875" customWidth="1"/>
    <col min="9" max="9" width="13.7109375" customWidth="1"/>
    <col min="10" max="11" width="15.42578125" customWidth="1"/>
    <col min="12" max="12" width="11" customWidth="1"/>
    <col min="13" max="13" width="14" customWidth="1"/>
    <col min="14" max="14" width="15.140625" bestFit="1" customWidth="1"/>
    <col min="15" max="15" width="8.7109375" style="1" customWidth="1"/>
    <col min="16" max="16" width="10.28515625" style="1" customWidth="1"/>
    <col min="17" max="17" width="11.7109375" customWidth="1"/>
    <col min="18" max="18" width="11" bestFit="1" customWidth="1"/>
    <col min="19" max="19" width="11.7109375" bestFit="1" customWidth="1"/>
    <col min="20" max="20" width="12.85546875" bestFit="1" customWidth="1"/>
  </cols>
  <sheetData>
    <row r="1" spans="1:21" ht="21" customHeight="1" x14ac:dyDescent="0.25">
      <c r="A1" s="103"/>
      <c r="B1" s="502" t="s">
        <v>96</v>
      </c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</row>
    <row r="2" spans="1:21" x14ac:dyDescent="0.25">
      <c r="A2" s="2"/>
      <c r="C2" s="2"/>
      <c r="D2" s="2"/>
      <c r="E2" s="2"/>
      <c r="F2" s="275" t="s">
        <v>335</v>
      </c>
      <c r="G2" s="441">
        <f>'STEWA (August 16, 2024)'!I9</f>
        <v>45541</v>
      </c>
      <c r="H2" s="2"/>
      <c r="I2" s="2"/>
      <c r="J2" s="2"/>
      <c r="K2" s="2"/>
      <c r="L2" s="2"/>
      <c r="M2" s="2"/>
    </row>
    <row r="3" spans="1:21" x14ac:dyDescent="0.25">
      <c r="A3" s="2"/>
      <c r="B3" s="100"/>
      <c r="C3" s="100"/>
      <c r="D3" s="416"/>
      <c r="E3" s="100"/>
      <c r="F3" s="100"/>
      <c r="G3" s="100"/>
      <c r="H3" s="100"/>
      <c r="I3" s="100"/>
      <c r="J3" s="100"/>
      <c r="K3" s="100"/>
      <c r="L3" s="100"/>
      <c r="M3" s="100"/>
    </row>
    <row r="4" spans="1:21" s="5" customFormat="1" ht="13.15" customHeight="1" x14ac:dyDescent="0.25">
      <c r="A4" s="3" t="s">
        <v>191</v>
      </c>
      <c r="B4" s="4" t="str">
        <f>'STEWA (August 16, 2024)'!I12</f>
        <v>Construction of Multi-Purpose Building Lallo National High School</v>
      </c>
      <c r="C4" s="4"/>
      <c r="D4" s="417"/>
      <c r="E4" s="4"/>
      <c r="F4" s="4"/>
      <c r="G4" s="4"/>
      <c r="H4" s="4"/>
      <c r="I4" s="4"/>
      <c r="J4" s="4"/>
      <c r="K4" s="4"/>
      <c r="L4" s="4"/>
      <c r="M4" s="4"/>
      <c r="N4"/>
      <c r="O4" s="1"/>
      <c r="P4" s="1"/>
      <c r="Q4"/>
    </row>
    <row r="5" spans="1:21" s="5" customFormat="1" ht="13.15" customHeight="1" x14ac:dyDescent="0.25">
      <c r="A5" s="275" t="s">
        <v>192</v>
      </c>
      <c r="B5" s="6" t="str">
        <f>'STEWA (August 16, 2024)'!I13</f>
        <v>Lallo, Cagayan</v>
      </c>
      <c r="C5" s="6"/>
      <c r="D5" s="418"/>
      <c r="E5" s="6"/>
      <c r="F5" s="6"/>
      <c r="G5" s="6"/>
      <c r="H5" s="6"/>
      <c r="I5" s="6"/>
      <c r="J5" s="6"/>
      <c r="K5" s="6"/>
      <c r="L5" s="6"/>
      <c r="M5" s="6"/>
      <c r="N5"/>
      <c r="O5" s="1"/>
      <c r="P5" s="1"/>
      <c r="Q5"/>
    </row>
    <row r="6" spans="1:21" s="5" customFormat="1" ht="13.15" customHeight="1" thickBot="1" x14ac:dyDescent="0.3">
      <c r="A6" s="2"/>
      <c r="B6" s="100"/>
      <c r="C6" s="100"/>
      <c r="D6" s="416"/>
      <c r="E6" s="100"/>
      <c r="F6" s="100"/>
      <c r="G6" s="100"/>
      <c r="H6" s="100"/>
      <c r="I6" s="100"/>
      <c r="J6" s="100"/>
      <c r="K6" s="100"/>
      <c r="L6" s="100"/>
      <c r="M6" s="100"/>
      <c r="N6"/>
      <c r="O6" s="1"/>
      <c r="P6" s="1"/>
    </row>
    <row r="7" spans="1:21" s="5" customFormat="1" ht="13.15" customHeight="1" thickBot="1" x14ac:dyDescent="0.3">
      <c r="A7" s="8" t="s">
        <v>0</v>
      </c>
      <c r="B7" s="484" t="s">
        <v>1</v>
      </c>
      <c r="C7" s="485"/>
      <c r="D7" s="488" t="s">
        <v>2</v>
      </c>
      <c r="E7" s="489"/>
      <c r="F7" s="101" t="s">
        <v>3</v>
      </c>
      <c r="G7" s="101" t="s">
        <v>4</v>
      </c>
      <c r="H7" s="9" t="s">
        <v>5</v>
      </c>
      <c r="I7" s="490" t="s">
        <v>6</v>
      </c>
      <c r="J7" s="491"/>
      <c r="K7" s="492"/>
      <c r="L7" s="101" t="s">
        <v>5</v>
      </c>
      <c r="M7" s="10" t="s">
        <v>7</v>
      </c>
      <c r="N7"/>
      <c r="O7" s="1"/>
      <c r="P7" s="442">
        <v>802</v>
      </c>
      <c r="Q7" s="443" t="s">
        <v>309</v>
      </c>
    </row>
    <row r="8" spans="1:21" s="5" customFormat="1" ht="13.15" customHeight="1" x14ac:dyDescent="0.25">
      <c r="A8" s="12" t="s">
        <v>8</v>
      </c>
      <c r="B8" s="486"/>
      <c r="C8" s="487"/>
      <c r="D8" s="493" t="s">
        <v>9</v>
      </c>
      <c r="E8" s="494"/>
      <c r="F8" s="102" t="s">
        <v>10</v>
      </c>
      <c r="G8" s="102" t="s">
        <v>11</v>
      </c>
      <c r="H8" s="13" t="s">
        <v>12</v>
      </c>
      <c r="I8" s="14" t="s">
        <v>13</v>
      </c>
      <c r="J8" s="16" t="s">
        <v>14</v>
      </c>
      <c r="K8" s="16" t="s">
        <v>15</v>
      </c>
      <c r="L8" s="102" t="s">
        <v>12</v>
      </c>
      <c r="M8" s="17" t="s">
        <v>16</v>
      </c>
      <c r="N8" s="131" t="e">
        <f>#REF!/6.1</f>
        <v>#REF!</v>
      </c>
      <c r="O8" s="1"/>
      <c r="P8" s="1" t="s">
        <v>336</v>
      </c>
      <c r="Q8" s="5" t="s">
        <v>337</v>
      </c>
      <c r="R8" s="5" t="s">
        <v>338</v>
      </c>
      <c r="S8" s="5" t="s">
        <v>340</v>
      </c>
      <c r="T8" s="5" t="s">
        <v>339</v>
      </c>
      <c r="U8" s="5" t="s">
        <v>130</v>
      </c>
    </row>
    <row r="9" spans="1:21" s="5" customFormat="1" ht="13.15" customHeight="1" x14ac:dyDescent="0.25">
      <c r="A9" s="18"/>
      <c r="B9" s="19"/>
      <c r="C9" s="20"/>
      <c r="D9" s="495" t="s">
        <v>17</v>
      </c>
      <c r="E9" s="496"/>
      <c r="F9" s="496"/>
      <c r="G9" s="496"/>
      <c r="H9" s="21"/>
      <c r="I9" s="22"/>
      <c r="J9" s="22"/>
      <c r="K9" s="23"/>
      <c r="L9" s="24"/>
      <c r="M9" s="25"/>
      <c r="N9">
        <v>650</v>
      </c>
      <c r="O9" s="1"/>
      <c r="P9" s="1">
        <v>1.5</v>
      </c>
      <c r="Q9" s="444">
        <v>1.5</v>
      </c>
      <c r="R9" s="444">
        <v>1.5</v>
      </c>
      <c r="S9" s="26">
        <v>4</v>
      </c>
      <c r="T9" s="445">
        <f>P9*Q9*R9*S9</f>
        <v>13.5</v>
      </c>
      <c r="U9" s="5" t="str">
        <f>E15</f>
        <v>cu.m</v>
      </c>
    </row>
    <row r="10" spans="1:21" s="5" customFormat="1" ht="13.15" customHeight="1" thickBot="1" x14ac:dyDescent="0.3">
      <c r="A10" s="277" t="s">
        <v>201</v>
      </c>
      <c r="B10" s="278" t="s">
        <v>199</v>
      </c>
      <c r="C10" s="279"/>
      <c r="D10" s="419"/>
      <c r="E10" s="281"/>
      <c r="F10" s="282"/>
      <c r="G10" s="283"/>
      <c r="H10" s="284"/>
      <c r="I10" s="285"/>
      <c r="J10" s="286"/>
      <c r="K10" s="285"/>
      <c r="L10" s="287"/>
      <c r="M10" s="288"/>
      <c r="N10"/>
      <c r="O10" s="1"/>
      <c r="P10" s="1"/>
      <c r="Q10" s="26"/>
      <c r="R10" s="27"/>
      <c r="S10" s="26"/>
    </row>
    <row r="11" spans="1:21" s="5" customFormat="1" ht="13.15" customHeight="1" thickBot="1" x14ac:dyDescent="0.3">
      <c r="A11" s="122" t="s">
        <v>200</v>
      </c>
      <c r="B11" s="29" t="s">
        <v>299</v>
      </c>
      <c r="C11" s="30"/>
      <c r="D11" s="420">
        <v>2</v>
      </c>
      <c r="E11" s="32" t="s">
        <v>36</v>
      </c>
      <c r="F11" s="104">
        <v>14849.21</v>
      </c>
      <c r="G11" s="33">
        <f>ROUND(F11*D11,2)</f>
        <v>29698.42</v>
      </c>
      <c r="H11" s="37">
        <f>ROUND((G11/$G$31),5)</f>
        <v>7.4400000000000004E-3</v>
      </c>
      <c r="I11" s="430" t="e">
        <f>#REF!</f>
        <v>#REF!</v>
      </c>
      <c r="J11" s="430" t="e">
        <f>K11-I11</f>
        <v>#REF!</v>
      </c>
      <c r="K11" s="430">
        <v>0</v>
      </c>
      <c r="L11" s="431">
        <f>ROUND(K11/$G$31,5)</f>
        <v>0</v>
      </c>
      <c r="M11" s="38" t="str">
        <f>IF(L11=H11,"COMPLETED",IF(L11=0,"Not Yet Started","On going"))</f>
        <v>Not Yet Started</v>
      </c>
      <c r="N11" t="e">
        <f>(J11/G11)*D11</f>
        <v>#REF!</v>
      </c>
      <c r="O11" s="1"/>
      <c r="P11" s="446" t="s">
        <v>321</v>
      </c>
      <c r="Q11" s="443" t="s">
        <v>311</v>
      </c>
      <c r="R11" s="450"/>
      <c r="S11" s="26"/>
    </row>
    <row r="12" spans="1:21" s="5" customFormat="1" ht="13.15" customHeight="1" x14ac:dyDescent="0.25">
      <c r="A12" s="122" t="s">
        <v>99</v>
      </c>
      <c r="B12" s="29" t="s">
        <v>111</v>
      </c>
      <c r="C12" s="30"/>
      <c r="D12" s="421">
        <v>1</v>
      </c>
      <c r="E12" s="32" t="s">
        <v>242</v>
      </c>
      <c r="F12" s="104">
        <v>52524.01</v>
      </c>
      <c r="G12" s="33">
        <f>F12</f>
        <v>52524.01</v>
      </c>
      <c r="H12" s="37">
        <f>ROUND((G12/$G$31),5)</f>
        <v>1.316E-2</v>
      </c>
      <c r="I12" s="430" t="e">
        <f>#REF!</f>
        <v>#REF!</v>
      </c>
      <c r="J12" s="430" t="e">
        <f>K12-I12</f>
        <v>#REF!</v>
      </c>
      <c r="K12" s="430">
        <f>(10/210)*G12</f>
        <v>2501.1433333333334</v>
      </c>
      <c r="L12" s="431">
        <f>ROUND(K12/$G$31,5)</f>
        <v>6.3000000000000003E-4</v>
      </c>
      <c r="M12" s="38" t="str">
        <f>IF(L12=H12,"COMPLETED",IF(L12=0,"Not Yet Started","On going"))</f>
        <v>On going</v>
      </c>
      <c r="N12" t="e">
        <f>(J12/G12)*D12</f>
        <v>#REF!</v>
      </c>
      <c r="O12" s="1"/>
      <c r="P12" s="1" t="s">
        <v>336</v>
      </c>
      <c r="Q12" s="5" t="s">
        <v>337</v>
      </c>
      <c r="R12" s="5" t="s">
        <v>341</v>
      </c>
      <c r="S12" s="5" t="s">
        <v>340</v>
      </c>
      <c r="T12" s="5" t="s">
        <v>339</v>
      </c>
      <c r="U12" s="5" t="s">
        <v>130</v>
      </c>
    </row>
    <row r="13" spans="1:21" s="5" customFormat="1" ht="13.15" customHeight="1" x14ac:dyDescent="0.25">
      <c r="A13" s="122" t="s">
        <v>100</v>
      </c>
      <c r="B13" s="29" t="s">
        <v>102</v>
      </c>
      <c r="C13" s="30"/>
      <c r="D13" s="421">
        <v>1</v>
      </c>
      <c r="E13" s="32" t="s">
        <v>242</v>
      </c>
      <c r="F13" s="104">
        <v>31020.38</v>
      </c>
      <c r="G13" s="33">
        <f>F13</f>
        <v>31020.38</v>
      </c>
      <c r="H13" s="37">
        <f>ROUND((G13/$G$31),5)</f>
        <v>7.77E-3</v>
      </c>
      <c r="I13" s="430" t="e">
        <f>#REF!</f>
        <v>#REF!</v>
      </c>
      <c r="J13" s="430" t="e">
        <f>K13-I13</f>
        <v>#REF!</v>
      </c>
      <c r="K13" s="430">
        <f>0.5*G13</f>
        <v>15510.19</v>
      </c>
      <c r="L13" s="431">
        <f>ROUND(K13/$G$31,5)</f>
        <v>3.8899999999999998E-3</v>
      </c>
      <c r="M13" s="38" t="str">
        <f>IF(L13=H13,"COMPLETED",IF(L13=0,"Not Yet Started","On going"))</f>
        <v>On going</v>
      </c>
      <c r="N13" t="e">
        <f t="shared" ref="N13:N29" si="0">(J13/G13)*D13</f>
        <v>#REF!</v>
      </c>
      <c r="O13" s="1"/>
      <c r="P13" s="1">
        <v>1.5</v>
      </c>
      <c r="Q13" s="444">
        <v>1.5</v>
      </c>
      <c r="R13" s="444">
        <v>0.1</v>
      </c>
      <c r="S13" s="26"/>
      <c r="T13" s="445">
        <f>P13*Q13*R13*S13</f>
        <v>0</v>
      </c>
      <c r="U13" s="5" t="str">
        <f>E19</f>
        <v>cu.m</v>
      </c>
    </row>
    <row r="14" spans="1:21" s="5" customFormat="1" ht="13.15" customHeight="1" thickBot="1" x14ac:dyDescent="0.3">
      <c r="A14" s="299" t="s">
        <v>214</v>
      </c>
      <c r="B14" s="505" t="s">
        <v>314</v>
      </c>
      <c r="C14" s="506"/>
      <c r="D14" s="422"/>
      <c r="E14" s="301"/>
      <c r="F14" s="302"/>
      <c r="G14" s="303"/>
      <c r="H14" s="304"/>
      <c r="I14" s="434"/>
      <c r="J14" s="434"/>
      <c r="K14" s="433"/>
      <c r="L14" s="435"/>
      <c r="M14" s="436"/>
      <c r="N14"/>
      <c r="O14" s="1"/>
      <c r="P14" s="1"/>
      <c r="Q14" s="26"/>
      <c r="R14" s="27"/>
      <c r="S14" s="26"/>
    </row>
    <row r="15" spans="1:21" s="5" customFormat="1" ht="13.15" customHeight="1" thickBot="1" x14ac:dyDescent="0.3">
      <c r="A15" s="415">
        <v>802</v>
      </c>
      <c r="B15" s="413" t="s">
        <v>309</v>
      </c>
      <c r="C15" s="414"/>
      <c r="D15" s="420">
        <v>92.65</v>
      </c>
      <c r="E15" s="32" t="s">
        <v>103</v>
      </c>
      <c r="F15" s="104">
        <v>221.94</v>
      </c>
      <c r="G15" s="33">
        <f t="shared" ref="G15:G29" si="1">ROUND(F15*D15,2)</f>
        <v>20562.740000000002</v>
      </c>
      <c r="H15" s="37">
        <f t="shared" ref="H15:H29" si="2">ROUND((G15/$G$31),5)</f>
        <v>5.1500000000000001E-3</v>
      </c>
      <c r="I15" s="430" t="e">
        <f>#REF!</f>
        <v>#REF!</v>
      </c>
      <c r="J15" s="430">
        <f>T9*F15</f>
        <v>2996.19</v>
      </c>
      <c r="K15" s="430">
        <f>G15*0.4</f>
        <v>8225.0960000000014</v>
      </c>
      <c r="L15" s="431">
        <f>ROUND(K15/$G$31,5)</f>
        <v>2.0600000000000002E-3</v>
      </c>
      <c r="M15" s="38" t="str">
        <f>IF(L15=H15,"COMPLETED",IF(L15=0,"Not Yet Started","On going"))</f>
        <v>On going</v>
      </c>
      <c r="N15">
        <f t="shared" si="0"/>
        <v>13.500000656527293</v>
      </c>
      <c r="O15" s="1"/>
      <c r="P15" s="446" t="s">
        <v>325</v>
      </c>
      <c r="Q15" s="447" t="s">
        <v>330</v>
      </c>
      <c r="R15" s="448"/>
      <c r="S15" s="449"/>
    </row>
    <row r="16" spans="1:21" s="5" customFormat="1" ht="13.15" customHeight="1" x14ac:dyDescent="0.25">
      <c r="A16" s="415" t="s">
        <v>320</v>
      </c>
      <c r="B16" s="413" t="s">
        <v>310</v>
      </c>
      <c r="C16" s="414"/>
      <c r="D16" s="420">
        <v>32.4</v>
      </c>
      <c r="E16" s="32" t="s">
        <v>103</v>
      </c>
      <c r="F16" s="104">
        <v>55.17</v>
      </c>
      <c r="G16" s="33">
        <f t="shared" si="1"/>
        <v>1787.51</v>
      </c>
      <c r="H16" s="37">
        <f t="shared" si="2"/>
        <v>4.4999999999999999E-4</v>
      </c>
      <c r="I16" s="430" t="e">
        <f>#REF!</f>
        <v>#REF!</v>
      </c>
      <c r="J16" s="430" t="e">
        <f t="shared" ref="J16:J29" si="3">K16-I16</f>
        <v>#REF!</v>
      </c>
      <c r="K16" s="430">
        <v>0</v>
      </c>
      <c r="L16" s="431">
        <f>ROUND(K16/$G$31,5)</f>
        <v>0</v>
      </c>
      <c r="M16" s="38" t="str">
        <f t="shared" ref="M16:M29" si="4">IF(L16=H16,"COMPLETED",IF(L16=0,"Not Yet Started","On going"))</f>
        <v>Not Yet Started</v>
      </c>
      <c r="N16" t="e">
        <f t="shared" si="0"/>
        <v>#REF!</v>
      </c>
      <c r="O16" s="1"/>
      <c r="P16" s="1" t="s">
        <v>336</v>
      </c>
      <c r="Q16" s="5" t="s">
        <v>337</v>
      </c>
      <c r="R16" s="5" t="s">
        <v>341</v>
      </c>
      <c r="S16" s="5" t="s">
        <v>340</v>
      </c>
      <c r="T16" s="5" t="s">
        <v>339</v>
      </c>
      <c r="U16" s="5" t="s">
        <v>130</v>
      </c>
    </row>
    <row r="17" spans="1:21" s="5" customFormat="1" ht="13.15" customHeight="1" x14ac:dyDescent="0.25">
      <c r="A17" s="122" t="s">
        <v>321</v>
      </c>
      <c r="B17" s="413" t="s">
        <v>311</v>
      </c>
      <c r="C17" s="30"/>
      <c r="D17" s="420">
        <v>54.66</v>
      </c>
      <c r="E17" s="32" t="s">
        <v>103</v>
      </c>
      <c r="F17" s="104">
        <v>813.59</v>
      </c>
      <c r="G17" s="33">
        <f t="shared" si="1"/>
        <v>44470.83</v>
      </c>
      <c r="H17" s="37">
        <f t="shared" si="2"/>
        <v>1.1140000000000001E-2</v>
      </c>
      <c r="I17" s="430" t="e">
        <f>#REF!</f>
        <v>#REF!</v>
      </c>
      <c r="J17" s="430">
        <f>T13*F17</f>
        <v>0</v>
      </c>
      <c r="K17" s="430"/>
      <c r="L17" s="431">
        <f>ROUND(K17/$G$31,5)</f>
        <v>0</v>
      </c>
      <c r="M17" s="38" t="str">
        <f t="shared" si="4"/>
        <v>Not Yet Started</v>
      </c>
      <c r="N17">
        <f>(J17/G17)*D17</f>
        <v>0</v>
      </c>
      <c r="O17" s="1"/>
      <c r="P17" s="1">
        <v>1.5</v>
      </c>
      <c r="Q17" s="444">
        <v>1.5</v>
      </c>
      <c r="R17" s="444">
        <v>0.35</v>
      </c>
      <c r="S17" s="26"/>
      <c r="T17" s="445">
        <f>P17*Q17*R17*S17</f>
        <v>0</v>
      </c>
      <c r="U17" s="5" t="str">
        <f>E23</f>
        <v>sq.m.</v>
      </c>
    </row>
    <row r="18" spans="1:21" s="5" customFormat="1" ht="13.15" customHeight="1" x14ac:dyDescent="0.25">
      <c r="A18" s="122" t="s">
        <v>325</v>
      </c>
      <c r="B18" s="413" t="s">
        <v>330</v>
      </c>
      <c r="C18" s="30"/>
      <c r="D18" s="420">
        <v>9.4499999999999993</v>
      </c>
      <c r="E18" s="32" t="s">
        <v>103</v>
      </c>
      <c r="F18" s="104">
        <v>16311.68</v>
      </c>
      <c r="G18" s="33">
        <f t="shared" si="1"/>
        <v>154145.38</v>
      </c>
      <c r="H18" s="37">
        <f t="shared" si="2"/>
        <v>3.8620000000000002E-2</v>
      </c>
      <c r="I18" s="430" t="e">
        <f>#REF!</f>
        <v>#REF!</v>
      </c>
      <c r="J18" s="430">
        <f>T17*F18</f>
        <v>0</v>
      </c>
      <c r="K18" s="430"/>
      <c r="L18" s="431">
        <f>ROUND(K18/$G$31,5)</f>
        <v>0</v>
      </c>
      <c r="M18" s="38" t="str">
        <f t="shared" si="4"/>
        <v>Not Yet Started</v>
      </c>
      <c r="N18">
        <f t="shared" si="0"/>
        <v>0</v>
      </c>
      <c r="O18" s="1"/>
      <c r="P18" s="1"/>
      <c r="Q18" s="26"/>
      <c r="R18" s="27"/>
      <c r="S18" s="26"/>
    </row>
    <row r="19" spans="1:21" s="5" customFormat="1" ht="13.15" customHeight="1" x14ac:dyDescent="0.25">
      <c r="A19" s="122" t="s">
        <v>326</v>
      </c>
      <c r="B19" s="413" t="s">
        <v>331</v>
      </c>
      <c r="C19" s="30"/>
      <c r="D19" s="420">
        <v>3.12</v>
      </c>
      <c r="E19" s="32" t="s">
        <v>103</v>
      </c>
      <c r="F19" s="104">
        <v>17371.060000000001</v>
      </c>
      <c r="G19" s="33">
        <f t="shared" si="1"/>
        <v>54197.71</v>
      </c>
      <c r="H19" s="37">
        <f t="shared" si="2"/>
        <v>1.358E-2</v>
      </c>
      <c r="I19" s="430" t="e">
        <f>#REF!</f>
        <v>#REF!</v>
      </c>
      <c r="J19" s="430" t="e">
        <f t="shared" si="3"/>
        <v>#REF!</v>
      </c>
      <c r="K19" s="430">
        <v>0</v>
      </c>
      <c r="L19" s="431">
        <f t="shared" ref="L19:L28" si="5">ROUND(K19/$G$31,5)</f>
        <v>0</v>
      </c>
      <c r="M19" s="38" t="str">
        <f t="shared" si="4"/>
        <v>Not Yet Started</v>
      </c>
      <c r="N19" t="e">
        <f t="shared" si="0"/>
        <v>#REF!</v>
      </c>
      <c r="O19" s="1"/>
      <c r="P19" s="1"/>
      <c r="Q19" s="26"/>
      <c r="R19" s="27"/>
      <c r="S19" s="26"/>
    </row>
    <row r="20" spans="1:21" s="5" customFormat="1" ht="13.15" customHeight="1" x14ac:dyDescent="0.25">
      <c r="A20" s="122" t="s">
        <v>327</v>
      </c>
      <c r="B20" s="413" t="s">
        <v>332</v>
      </c>
      <c r="C20" s="30"/>
      <c r="D20" s="420">
        <v>16.32</v>
      </c>
      <c r="E20" s="32" t="s">
        <v>103</v>
      </c>
      <c r="F20" s="104">
        <v>22958.55</v>
      </c>
      <c r="G20" s="33">
        <f t="shared" si="1"/>
        <v>374683.54</v>
      </c>
      <c r="H20" s="37">
        <f t="shared" si="2"/>
        <v>9.3890000000000001E-2</v>
      </c>
      <c r="I20" s="430" t="e">
        <f>#REF!</f>
        <v>#REF!</v>
      </c>
      <c r="J20" s="430" t="e">
        <f t="shared" si="3"/>
        <v>#REF!</v>
      </c>
      <c r="K20" s="430">
        <v>0</v>
      </c>
      <c r="L20" s="431">
        <f t="shared" si="5"/>
        <v>0</v>
      </c>
      <c r="M20" s="38" t="str">
        <f t="shared" si="4"/>
        <v>Not Yet Started</v>
      </c>
      <c r="N20" t="e">
        <f t="shared" si="0"/>
        <v>#REF!</v>
      </c>
      <c r="O20" s="1"/>
      <c r="P20" s="1"/>
      <c r="Q20" s="26"/>
      <c r="R20" s="27"/>
      <c r="S20" s="26"/>
    </row>
    <row r="21" spans="1:21" s="5" customFormat="1" ht="13.15" customHeight="1" x14ac:dyDescent="0.25">
      <c r="A21" s="122" t="s">
        <v>328</v>
      </c>
      <c r="B21" s="413" t="s">
        <v>333</v>
      </c>
      <c r="C21" s="30"/>
      <c r="D21" s="420">
        <v>5.6</v>
      </c>
      <c r="E21" s="32" t="s">
        <v>103</v>
      </c>
      <c r="F21" s="104">
        <v>26671.53</v>
      </c>
      <c r="G21" s="33">
        <f t="shared" si="1"/>
        <v>149360.57</v>
      </c>
      <c r="H21" s="37">
        <f t="shared" si="2"/>
        <v>3.7429999999999998E-2</v>
      </c>
      <c r="I21" s="430" t="e">
        <f>#REF!</f>
        <v>#REF!</v>
      </c>
      <c r="J21" s="430" t="e">
        <f t="shared" si="3"/>
        <v>#REF!</v>
      </c>
      <c r="K21" s="430">
        <v>0</v>
      </c>
      <c r="L21" s="431">
        <f t="shared" si="5"/>
        <v>0</v>
      </c>
      <c r="M21" s="38" t="str">
        <f t="shared" si="4"/>
        <v>Not Yet Started</v>
      </c>
      <c r="N21" t="e">
        <f t="shared" si="0"/>
        <v>#REF!</v>
      </c>
      <c r="O21" s="1"/>
      <c r="P21" s="1"/>
      <c r="Q21" s="26"/>
      <c r="R21" s="27"/>
      <c r="S21" s="26"/>
    </row>
    <row r="22" spans="1:21" s="5" customFormat="1" ht="13.15" customHeight="1" x14ac:dyDescent="0.25">
      <c r="A22" s="122" t="s">
        <v>329</v>
      </c>
      <c r="B22" s="413" t="s">
        <v>334</v>
      </c>
      <c r="C22" s="30"/>
      <c r="D22" s="420">
        <v>50.4</v>
      </c>
      <c r="E22" s="32" t="s">
        <v>103</v>
      </c>
      <c r="F22" s="104">
        <v>9441</v>
      </c>
      <c r="G22" s="33">
        <f t="shared" si="1"/>
        <v>475826.4</v>
      </c>
      <c r="H22" s="37">
        <f t="shared" si="2"/>
        <v>0.11923</v>
      </c>
      <c r="I22" s="430" t="e">
        <f>#REF!</f>
        <v>#REF!</v>
      </c>
      <c r="J22" s="430" t="e">
        <f t="shared" si="3"/>
        <v>#REF!</v>
      </c>
      <c r="K22" s="430">
        <v>0</v>
      </c>
      <c r="L22" s="431">
        <f t="shared" si="5"/>
        <v>0</v>
      </c>
      <c r="M22" s="38" t="str">
        <f t="shared" si="4"/>
        <v>Not Yet Started</v>
      </c>
      <c r="N22" t="e">
        <f t="shared" si="0"/>
        <v>#REF!</v>
      </c>
      <c r="O22" s="1"/>
      <c r="P22" s="1"/>
      <c r="Q22" s="26"/>
      <c r="R22" s="27"/>
      <c r="S22" s="26"/>
    </row>
    <row r="23" spans="1:21" s="5" customFormat="1" ht="13.15" customHeight="1" x14ac:dyDescent="0.25">
      <c r="A23" s="122">
        <v>903</v>
      </c>
      <c r="B23" s="413" t="s">
        <v>312</v>
      </c>
      <c r="C23" s="30"/>
      <c r="D23" s="420">
        <v>108</v>
      </c>
      <c r="E23" s="32" t="s">
        <v>35</v>
      </c>
      <c r="F23" s="104">
        <v>3583.04</v>
      </c>
      <c r="G23" s="33">
        <f t="shared" si="1"/>
        <v>386968.32000000001</v>
      </c>
      <c r="H23" s="37">
        <f t="shared" si="2"/>
        <v>9.6960000000000005E-2</v>
      </c>
      <c r="I23" s="430" t="e">
        <f>#REF!</f>
        <v>#REF!</v>
      </c>
      <c r="J23" s="430" t="e">
        <f t="shared" si="3"/>
        <v>#REF!</v>
      </c>
      <c r="K23" s="430"/>
      <c r="L23" s="431">
        <f t="shared" si="5"/>
        <v>0</v>
      </c>
      <c r="M23" s="38" t="str">
        <f t="shared" si="4"/>
        <v>Not Yet Started</v>
      </c>
      <c r="N23" t="e">
        <f t="shared" si="0"/>
        <v>#REF!</v>
      </c>
      <c r="O23" s="1"/>
      <c r="P23" s="1"/>
      <c r="Q23" s="26"/>
      <c r="R23" s="27"/>
      <c r="S23" s="26"/>
    </row>
    <row r="24" spans="1:21" s="5" customFormat="1" ht="13.15" customHeight="1" x14ac:dyDescent="0.25">
      <c r="A24" s="122">
        <v>1046</v>
      </c>
      <c r="B24" s="413" t="s">
        <v>313</v>
      </c>
      <c r="C24" s="30"/>
      <c r="D24" s="420">
        <v>36.799999999999997</v>
      </c>
      <c r="E24" s="32" t="s">
        <v>35</v>
      </c>
      <c r="F24" s="104">
        <v>968.36</v>
      </c>
      <c r="G24" s="33">
        <f t="shared" si="1"/>
        <v>35635.65</v>
      </c>
      <c r="H24" s="37">
        <f t="shared" si="2"/>
        <v>8.9300000000000004E-3</v>
      </c>
      <c r="I24" s="430" t="e">
        <f>#REF!</f>
        <v>#REF!</v>
      </c>
      <c r="J24" s="430" t="e">
        <f t="shared" si="3"/>
        <v>#REF!</v>
      </c>
      <c r="K24" s="430"/>
      <c r="L24" s="431">
        <f t="shared" si="5"/>
        <v>0</v>
      </c>
      <c r="M24" s="38" t="str">
        <f t="shared" si="4"/>
        <v>Not Yet Started</v>
      </c>
      <c r="N24" t="e">
        <f t="shared" si="0"/>
        <v>#REF!</v>
      </c>
      <c r="O24" s="1"/>
      <c r="P24" s="1"/>
      <c r="Q24" s="26"/>
      <c r="R24" s="27"/>
      <c r="S24" s="26"/>
    </row>
    <row r="25" spans="1:21" s="5" customFormat="1" ht="13.15" customHeight="1" x14ac:dyDescent="0.25">
      <c r="A25" s="122">
        <v>1027</v>
      </c>
      <c r="B25" s="413" t="s">
        <v>315</v>
      </c>
      <c r="C25" s="30"/>
      <c r="D25" s="420">
        <v>212.76</v>
      </c>
      <c r="E25" s="32" t="s">
        <v>35</v>
      </c>
      <c r="F25" s="104">
        <v>55.61</v>
      </c>
      <c r="G25" s="33">
        <f t="shared" si="1"/>
        <v>11831.58</v>
      </c>
      <c r="H25" s="37">
        <f t="shared" si="2"/>
        <v>2.96E-3</v>
      </c>
      <c r="I25" s="430" t="e">
        <f>#REF!</f>
        <v>#REF!</v>
      </c>
      <c r="J25" s="430" t="e">
        <f t="shared" si="3"/>
        <v>#REF!</v>
      </c>
      <c r="K25" s="430"/>
      <c r="L25" s="431">
        <f t="shared" si="5"/>
        <v>0</v>
      </c>
      <c r="M25" s="38" t="str">
        <f t="shared" si="4"/>
        <v>Not Yet Started</v>
      </c>
      <c r="N25" t="e">
        <f t="shared" si="0"/>
        <v>#REF!</v>
      </c>
      <c r="O25" s="1"/>
      <c r="P25" s="1"/>
      <c r="Q25" s="26"/>
      <c r="R25" s="27"/>
      <c r="S25" s="26"/>
    </row>
    <row r="26" spans="1:21" s="5" customFormat="1" ht="13.15" customHeight="1" x14ac:dyDescent="0.25">
      <c r="A26" s="122">
        <v>1032</v>
      </c>
      <c r="B26" s="413" t="s">
        <v>316</v>
      </c>
      <c r="C26" s="30"/>
      <c r="D26" s="420">
        <v>194.36</v>
      </c>
      <c r="E26" s="32" t="s">
        <v>35</v>
      </c>
      <c r="F26" s="104">
        <v>358.8</v>
      </c>
      <c r="G26" s="33">
        <f t="shared" si="1"/>
        <v>69736.37</v>
      </c>
      <c r="H26" s="37">
        <f t="shared" si="2"/>
        <v>1.7469999999999999E-2</v>
      </c>
      <c r="I26" s="430" t="e">
        <f>#REF!</f>
        <v>#REF!</v>
      </c>
      <c r="J26" s="430" t="e">
        <f t="shared" si="3"/>
        <v>#REF!</v>
      </c>
      <c r="K26" s="430">
        <v>0</v>
      </c>
      <c r="L26" s="431">
        <f t="shared" si="5"/>
        <v>0</v>
      </c>
      <c r="M26" s="38" t="str">
        <f t="shared" si="4"/>
        <v>Not Yet Started</v>
      </c>
      <c r="N26" t="e">
        <f t="shared" si="0"/>
        <v>#REF!</v>
      </c>
      <c r="O26" s="1"/>
      <c r="P26" s="1"/>
      <c r="Q26" s="26"/>
      <c r="R26" s="27"/>
      <c r="S26" s="26"/>
    </row>
    <row r="27" spans="1:21" s="5" customFormat="1" ht="13.15" customHeight="1" x14ac:dyDescent="0.25">
      <c r="A27" s="122">
        <v>1047</v>
      </c>
      <c r="B27" s="413" t="s">
        <v>317</v>
      </c>
      <c r="C27" s="30"/>
      <c r="D27" s="420">
        <v>16113.92</v>
      </c>
      <c r="E27" s="32" t="s">
        <v>308</v>
      </c>
      <c r="F27" s="104">
        <v>90.41</v>
      </c>
      <c r="G27" s="33">
        <f t="shared" si="1"/>
        <v>1456859.51</v>
      </c>
      <c r="H27" s="37">
        <f t="shared" si="2"/>
        <v>0.36504999999999999</v>
      </c>
      <c r="I27" s="430" t="e">
        <f>#REF!</f>
        <v>#REF!</v>
      </c>
      <c r="J27" s="430" t="e">
        <f t="shared" si="3"/>
        <v>#REF!</v>
      </c>
      <c r="K27" s="430"/>
      <c r="L27" s="431">
        <f t="shared" si="5"/>
        <v>0</v>
      </c>
      <c r="M27" s="38" t="str">
        <f t="shared" si="4"/>
        <v>Not Yet Started</v>
      </c>
      <c r="N27" t="e">
        <f t="shared" si="0"/>
        <v>#REF!</v>
      </c>
      <c r="O27" s="1"/>
      <c r="P27" s="1"/>
      <c r="Q27" s="26"/>
      <c r="R27" s="27"/>
      <c r="S27" s="26"/>
    </row>
    <row r="28" spans="1:21" s="5" customFormat="1" ht="13.15" customHeight="1" x14ac:dyDescent="0.25">
      <c r="A28" s="122" t="s">
        <v>322</v>
      </c>
      <c r="B28" s="413" t="s">
        <v>318</v>
      </c>
      <c r="C28" s="30"/>
      <c r="D28" s="420">
        <v>684</v>
      </c>
      <c r="E28" s="32" t="s">
        <v>35</v>
      </c>
      <c r="F28" s="104">
        <v>793.5</v>
      </c>
      <c r="G28" s="33">
        <f t="shared" si="1"/>
        <v>542754</v>
      </c>
      <c r="H28" s="37">
        <f t="shared" si="2"/>
        <v>0.13600000000000001</v>
      </c>
      <c r="I28" s="430" t="e">
        <f>#REF!</f>
        <v>#REF!</v>
      </c>
      <c r="J28" s="430" t="e">
        <f t="shared" si="3"/>
        <v>#REF!</v>
      </c>
      <c r="K28" s="430">
        <v>0</v>
      </c>
      <c r="L28" s="431">
        <f t="shared" si="5"/>
        <v>0</v>
      </c>
      <c r="M28" s="38" t="str">
        <f t="shared" si="4"/>
        <v>Not Yet Started</v>
      </c>
      <c r="N28" t="e">
        <f t="shared" si="0"/>
        <v>#REF!</v>
      </c>
      <c r="O28" s="1"/>
      <c r="P28" s="1"/>
      <c r="Q28" s="26"/>
      <c r="R28" s="27"/>
      <c r="S28" s="26"/>
    </row>
    <row r="29" spans="1:21" s="5" customFormat="1" ht="13.15" customHeight="1" x14ac:dyDescent="0.25">
      <c r="A29" s="122">
        <v>1103</v>
      </c>
      <c r="B29" s="413" t="s">
        <v>319</v>
      </c>
      <c r="C29" s="30"/>
      <c r="D29" s="420">
        <v>12</v>
      </c>
      <c r="E29" s="32" t="s">
        <v>323</v>
      </c>
      <c r="F29" s="104">
        <v>8231.2099999999991</v>
      </c>
      <c r="G29" s="33">
        <f t="shared" si="1"/>
        <v>98774.52</v>
      </c>
      <c r="H29" s="37">
        <f t="shared" si="2"/>
        <v>2.4750000000000001E-2</v>
      </c>
      <c r="I29" s="430" t="e">
        <f>#REF!</f>
        <v>#REF!</v>
      </c>
      <c r="J29" s="430" t="e">
        <f t="shared" si="3"/>
        <v>#REF!</v>
      </c>
      <c r="K29" s="430"/>
      <c r="L29" s="431">
        <f>ROUND(K29/$G$31,5)</f>
        <v>0</v>
      </c>
      <c r="M29" s="38" t="str">
        <f t="shared" si="4"/>
        <v>Not Yet Started</v>
      </c>
      <c r="N29" t="e">
        <f t="shared" si="0"/>
        <v>#REF!</v>
      </c>
      <c r="O29" s="1"/>
      <c r="P29" s="1"/>
      <c r="Q29" s="26"/>
      <c r="R29" s="27"/>
      <c r="S29" s="26"/>
    </row>
    <row r="30" spans="1:21" s="5" customFormat="1" ht="13.15" customHeight="1" thickBot="1" x14ac:dyDescent="0.3">
      <c r="A30" s="122"/>
      <c r="B30" s="29"/>
      <c r="C30" s="30"/>
      <c r="D30" s="420"/>
      <c r="E30" s="32"/>
      <c r="F30" s="104"/>
      <c r="G30" s="33"/>
      <c r="H30" s="37"/>
      <c r="I30" s="430"/>
      <c r="J30" s="437"/>
      <c r="K30" s="430"/>
      <c r="L30" s="431"/>
      <c r="M30" s="432"/>
      <c r="N30"/>
      <c r="O30" s="1"/>
      <c r="P30" s="1"/>
      <c r="Q30" s="40"/>
      <c r="R30" s="40"/>
      <c r="S30" s="40"/>
    </row>
    <row r="31" spans="1:21" s="5" customFormat="1" ht="13.15" customHeight="1" thickBot="1" x14ac:dyDescent="0.25">
      <c r="A31" s="498" t="s">
        <v>18</v>
      </c>
      <c r="B31" s="499"/>
      <c r="C31" s="499"/>
      <c r="D31" s="499"/>
      <c r="E31" s="499"/>
      <c r="F31" s="43"/>
      <c r="G31" s="44">
        <f>SUM(G10:G30)</f>
        <v>3990837.44</v>
      </c>
      <c r="H31" s="45">
        <f>SUM(H10:H29)</f>
        <v>0.99997999999999998</v>
      </c>
      <c r="I31" s="438"/>
      <c r="J31" s="438" t="e">
        <f>SUM(J10:J30)</f>
        <v>#REF!</v>
      </c>
      <c r="K31" s="438">
        <f>SUM(K10:K30)</f>
        <v>26236.429333333337</v>
      </c>
      <c r="L31" s="439">
        <f>SUM(L10:L29)</f>
        <v>6.5799999999999999E-3</v>
      </c>
      <c r="M31" s="440"/>
      <c r="N31" s="47"/>
      <c r="O31" s="1"/>
      <c r="P31" s="1"/>
      <c r="Q31" s="48"/>
      <c r="R31" s="49"/>
      <c r="S31" s="40"/>
      <c r="T31" s="40"/>
    </row>
    <row r="32" spans="1:21" s="5" customFormat="1" ht="13.15" customHeight="1" x14ac:dyDescent="0.2">
      <c r="A32" s="50"/>
      <c r="B32" s="50"/>
      <c r="C32" s="50"/>
      <c r="D32" s="423"/>
      <c r="E32" s="50"/>
      <c r="F32" s="51"/>
      <c r="G32" s="51"/>
      <c r="H32" s="52"/>
      <c r="I32" s="51"/>
      <c r="J32" s="51"/>
      <c r="K32" s="51"/>
      <c r="L32" s="51"/>
      <c r="M32" s="53"/>
      <c r="O32" s="1"/>
      <c r="P32" s="1"/>
      <c r="Q32" s="40"/>
    </row>
    <row r="33" spans="1:19" s="5" customFormat="1" ht="13.15" customHeight="1" x14ac:dyDescent="0.2">
      <c r="A33" s="53"/>
      <c r="B33" s="53"/>
      <c r="C33" s="53"/>
      <c r="D33" s="424"/>
      <c r="E33" s="53"/>
      <c r="F33" s="51"/>
      <c r="G33" s="51"/>
      <c r="H33" s="51"/>
      <c r="I33" s="53"/>
      <c r="J33" s="53"/>
      <c r="K33" s="53"/>
      <c r="L33" s="53"/>
      <c r="M33" s="53"/>
      <c r="O33" s="1"/>
      <c r="P33" s="1"/>
      <c r="Q33" s="40"/>
    </row>
    <row r="34" spans="1:19" s="5" customFormat="1" ht="13.15" customHeight="1" x14ac:dyDescent="0.25">
      <c r="A34" s="53"/>
      <c r="B34" s="53"/>
      <c r="C34" s="53"/>
      <c r="D34" s="425"/>
      <c r="E34" s="53"/>
      <c r="F34" s="53" t="s">
        <v>19</v>
      </c>
      <c r="I34" s="501">
        <f>L31</f>
        <v>6.5799999999999999E-3</v>
      </c>
      <c r="J34" s="501"/>
      <c r="K34" s="54"/>
      <c r="L34" s="53"/>
      <c r="M34" s="53"/>
      <c r="O34" s="1"/>
      <c r="P34" s="1"/>
      <c r="Q34" s="40"/>
    </row>
    <row r="35" spans="1:19" s="5" customFormat="1" ht="13.15" customHeight="1" x14ac:dyDescent="0.2">
      <c r="A35" s="53"/>
      <c r="B35" s="53"/>
      <c r="C35" s="53"/>
      <c r="D35" s="425"/>
      <c r="E35" s="53"/>
      <c r="F35" s="55" t="s">
        <v>20</v>
      </c>
      <c r="I35" s="483">
        <f>G31</f>
        <v>3990837.44</v>
      </c>
      <c r="J35" s="483"/>
      <c r="K35" s="53"/>
      <c r="L35" s="53" t="s">
        <v>179</v>
      </c>
      <c r="M35" s="51"/>
      <c r="O35" s="1"/>
      <c r="P35" s="1"/>
    </row>
    <row r="36" spans="1:19" s="5" customFormat="1" ht="13.15" customHeight="1" x14ac:dyDescent="0.2">
      <c r="A36" s="53"/>
      <c r="B36" s="56"/>
      <c r="C36" s="56"/>
      <c r="D36" s="425"/>
      <c r="E36" s="53"/>
      <c r="F36" s="55" t="s">
        <v>21</v>
      </c>
      <c r="I36" s="483" t="e">
        <f>J31</f>
        <v>#REF!</v>
      </c>
      <c r="J36" s="483"/>
      <c r="K36" s="51"/>
      <c r="L36" s="53"/>
      <c r="M36" s="53"/>
      <c r="O36" s="1"/>
      <c r="P36" s="1"/>
    </row>
    <row r="37" spans="1:19" s="5" customFormat="1" ht="13.15" customHeight="1" thickBot="1" x14ac:dyDescent="0.25">
      <c r="A37" s="53"/>
      <c r="D37" s="425"/>
      <c r="E37" s="56" t="s">
        <v>22</v>
      </c>
      <c r="F37" s="55" t="s">
        <v>23</v>
      </c>
      <c r="I37" s="480"/>
      <c r="J37" s="480"/>
      <c r="K37" s="51"/>
      <c r="L37" s="53"/>
      <c r="M37" s="53"/>
      <c r="O37" s="1"/>
      <c r="P37" s="1"/>
    </row>
    <row r="38" spans="1:19" s="5" customFormat="1" ht="13.15" customHeight="1" x14ac:dyDescent="0.2">
      <c r="A38" s="53"/>
      <c r="B38" s="53"/>
      <c r="C38" s="53"/>
      <c r="D38" s="425"/>
      <c r="E38" s="53"/>
      <c r="F38" s="55" t="s">
        <v>24</v>
      </c>
      <c r="I38" s="481" t="e">
        <f>SUM(J31-I37)</f>
        <v>#REF!</v>
      </c>
      <c r="J38" s="481"/>
      <c r="K38" s="51"/>
      <c r="L38" s="53"/>
      <c r="M38" s="53"/>
      <c r="O38" s="1"/>
      <c r="P38" s="1"/>
    </row>
    <row r="39" spans="1:19" s="5" customFormat="1" ht="13.15" customHeight="1" x14ac:dyDescent="0.2">
      <c r="A39" s="53"/>
      <c r="D39" s="426"/>
      <c r="G39" s="57"/>
      <c r="H39" s="57"/>
      <c r="I39" s="51"/>
      <c r="J39" s="53"/>
      <c r="K39" s="53"/>
      <c r="L39" s="53"/>
      <c r="M39" s="53"/>
      <c r="O39" s="1"/>
      <c r="P39" s="1"/>
    </row>
    <row r="40" spans="1:19" ht="12.6" customHeight="1" x14ac:dyDescent="0.25">
      <c r="A40" s="2" t="s">
        <v>26</v>
      </c>
      <c r="C40" s="2" t="s">
        <v>86</v>
      </c>
      <c r="G40" s="99" t="s">
        <v>249</v>
      </c>
      <c r="H40" s="99"/>
      <c r="K40" s="99" t="s">
        <v>28</v>
      </c>
      <c r="L40" s="99"/>
      <c r="S40" s="2"/>
    </row>
    <row r="41" spans="1:19" ht="12.6" customHeight="1" x14ac:dyDescent="0.25">
      <c r="A41" s="2"/>
      <c r="B41" s="2"/>
      <c r="C41" s="2"/>
      <c r="G41" s="99"/>
      <c r="H41" s="99"/>
      <c r="I41" s="2"/>
      <c r="K41" s="99"/>
      <c r="L41" s="99"/>
      <c r="O41" s="58"/>
      <c r="P41" s="58"/>
      <c r="Q41" s="2"/>
      <c r="S41" s="2"/>
    </row>
    <row r="42" spans="1:19" ht="12.6" customHeight="1" x14ac:dyDescent="0.25">
      <c r="A42" s="2"/>
      <c r="B42" s="2"/>
      <c r="C42" s="2"/>
      <c r="G42" s="99"/>
      <c r="H42" s="99"/>
      <c r="I42" s="2"/>
      <c r="K42" s="99"/>
      <c r="L42" s="99"/>
      <c r="O42" s="58"/>
      <c r="P42" s="58"/>
      <c r="Q42" s="2"/>
      <c r="S42" s="2"/>
    </row>
    <row r="43" spans="1:19" ht="12.6" customHeight="1" x14ac:dyDescent="0.25">
      <c r="A43" s="2"/>
      <c r="B43" s="2"/>
      <c r="C43" s="2"/>
      <c r="G43" s="99"/>
      <c r="H43" s="99"/>
      <c r="I43" s="2"/>
      <c r="K43" s="99"/>
      <c r="L43" s="99"/>
      <c r="O43" s="58"/>
      <c r="P43" s="58"/>
      <c r="Q43" s="2"/>
      <c r="S43" s="2"/>
    </row>
    <row r="44" spans="1:19" ht="12.6" customHeight="1" x14ac:dyDescent="0.25">
      <c r="A44" s="4" t="s">
        <v>295</v>
      </c>
      <c r="B44" s="4"/>
      <c r="C44" s="4" t="s">
        <v>296</v>
      </c>
      <c r="F44" s="4"/>
      <c r="G44" s="96" t="s">
        <v>246</v>
      </c>
      <c r="H44" s="96"/>
      <c r="I44" s="4"/>
      <c r="K44" s="96" t="s">
        <v>30</v>
      </c>
      <c r="L44" s="96"/>
      <c r="N44" s="4"/>
    </row>
    <row r="45" spans="1:19" ht="12.6" customHeight="1" x14ac:dyDescent="0.25">
      <c r="A45" s="2" t="s">
        <v>32</v>
      </c>
      <c r="B45" s="2"/>
      <c r="C45" s="2" t="s">
        <v>324</v>
      </c>
      <c r="F45" s="2"/>
      <c r="G45" s="99" t="s">
        <v>93</v>
      </c>
      <c r="H45" s="99"/>
      <c r="I45" s="2"/>
      <c r="K45" s="99" t="s">
        <v>33</v>
      </c>
      <c r="L45" s="99"/>
      <c r="N45" s="2"/>
    </row>
    <row r="46" spans="1:19" ht="12.6" customHeight="1" x14ac:dyDescent="0.25">
      <c r="A46" s="100"/>
      <c r="B46" s="100"/>
      <c r="D46" s="416"/>
      <c r="E46" s="100"/>
      <c r="F46" s="100"/>
      <c r="G46" s="100"/>
      <c r="H46" s="100"/>
      <c r="I46" s="100"/>
      <c r="J46" s="100"/>
      <c r="K46" s="100"/>
      <c r="L46" s="100"/>
      <c r="M46" s="100"/>
      <c r="N46" s="2"/>
    </row>
    <row r="47" spans="1:19" ht="21" customHeight="1" x14ac:dyDescent="0.25">
      <c r="A47" s="103"/>
      <c r="B47" s="502" t="str">
        <f>B1</f>
        <v>STATEMENT OF WORK ACCOMPLISHMENT</v>
      </c>
      <c r="C47" s="502"/>
      <c r="D47" s="502"/>
      <c r="E47" s="502"/>
      <c r="F47" s="502"/>
      <c r="G47" s="502"/>
      <c r="H47" s="502"/>
      <c r="I47" s="502"/>
      <c r="J47" s="502"/>
      <c r="K47" s="502"/>
      <c r="L47" s="502"/>
      <c r="M47" s="502"/>
    </row>
    <row r="48" spans="1:19" x14ac:dyDescent="0.25">
      <c r="A48" s="2"/>
      <c r="B48" s="479" t="s">
        <v>84</v>
      </c>
      <c r="C48" s="479"/>
      <c r="D48" s="479"/>
      <c r="E48" s="479"/>
      <c r="F48" s="479"/>
      <c r="G48" s="479"/>
      <c r="H48" s="479"/>
      <c r="I48" s="479"/>
      <c r="J48" s="479"/>
      <c r="K48" s="479"/>
      <c r="L48" s="479"/>
      <c r="M48" s="479"/>
    </row>
    <row r="49" spans="1:19" x14ac:dyDescent="0.25">
      <c r="A49" s="2"/>
      <c r="B49" s="100"/>
      <c r="C49" s="100"/>
      <c r="D49" s="416"/>
      <c r="E49" s="100"/>
      <c r="F49" s="100"/>
      <c r="G49" s="100"/>
      <c r="H49" s="100"/>
      <c r="I49" s="100"/>
      <c r="J49" s="100"/>
      <c r="K49" s="100"/>
      <c r="L49" s="100"/>
      <c r="M49" s="100"/>
    </row>
    <row r="50" spans="1:19" x14ac:dyDescent="0.25">
      <c r="A50" s="3" t="s">
        <v>83</v>
      </c>
      <c r="B50" s="4" t="str">
        <f>'[2]SWA(abd)'!B12</f>
        <v>CONCRETING OF FARM TO MARKET ROAD ZIMINILA</v>
      </c>
      <c r="C50" s="4"/>
      <c r="D50" s="417"/>
      <c r="E50" s="4"/>
      <c r="F50" s="4"/>
      <c r="G50" s="4"/>
      <c r="H50" s="4"/>
      <c r="I50" s="4"/>
      <c r="J50" s="4"/>
      <c r="K50" s="4"/>
      <c r="L50" s="4"/>
      <c r="M50" s="4"/>
    </row>
    <row r="51" spans="1:19" x14ac:dyDescent="0.25">
      <c r="A51" s="2"/>
      <c r="B51" s="6" t="str">
        <f>'[2]SWA(abd)'!B13</f>
        <v>CAMALANIUGAN, CAGAYAN</v>
      </c>
      <c r="C51" s="6"/>
      <c r="D51" s="418"/>
      <c r="E51" s="6"/>
      <c r="F51" s="6"/>
      <c r="G51" s="6"/>
      <c r="H51" s="6"/>
      <c r="I51" s="6"/>
      <c r="J51" s="6"/>
      <c r="K51" s="6"/>
      <c r="L51" s="6"/>
      <c r="M51" s="6"/>
    </row>
    <row r="52" spans="1:19" ht="15.75" thickBot="1" x14ac:dyDescent="0.3">
      <c r="A52" s="2"/>
      <c r="B52" s="100"/>
      <c r="C52" s="100"/>
      <c r="D52" s="416"/>
      <c r="E52" s="100"/>
      <c r="F52" s="100"/>
      <c r="G52" s="100"/>
      <c r="H52" s="100"/>
      <c r="I52" s="100"/>
      <c r="J52" s="100"/>
      <c r="K52" s="100"/>
      <c r="L52" s="100"/>
      <c r="M52" s="100"/>
    </row>
    <row r="53" spans="1:19" x14ac:dyDescent="0.25">
      <c r="A53" s="8" t="s">
        <v>0</v>
      </c>
      <c r="B53" s="484" t="s">
        <v>1</v>
      </c>
      <c r="C53" s="485"/>
      <c r="D53" s="488" t="s">
        <v>2</v>
      </c>
      <c r="E53" s="489"/>
      <c r="F53" s="101" t="s">
        <v>3</v>
      </c>
      <c r="G53" s="101" t="s">
        <v>4</v>
      </c>
      <c r="H53" s="9" t="s">
        <v>5</v>
      </c>
      <c r="I53" s="490" t="s">
        <v>6</v>
      </c>
      <c r="J53" s="491"/>
      <c r="K53" s="492"/>
      <c r="L53" s="101" t="s">
        <v>5</v>
      </c>
      <c r="M53" s="10" t="s">
        <v>7</v>
      </c>
    </row>
    <row r="54" spans="1:19" x14ac:dyDescent="0.25">
      <c r="A54" s="12" t="s">
        <v>8</v>
      </c>
      <c r="B54" s="486"/>
      <c r="C54" s="487"/>
      <c r="D54" s="493" t="s">
        <v>9</v>
      </c>
      <c r="E54" s="494"/>
      <c r="F54" s="102" t="s">
        <v>10</v>
      </c>
      <c r="G54" s="102" t="s">
        <v>11</v>
      </c>
      <c r="H54" s="13" t="s">
        <v>12</v>
      </c>
      <c r="I54" s="14" t="s">
        <v>13</v>
      </c>
      <c r="J54" s="15" t="s">
        <v>14</v>
      </c>
      <c r="K54" s="16" t="s">
        <v>15</v>
      </c>
      <c r="L54" s="102" t="s">
        <v>12</v>
      </c>
      <c r="M54" s="17" t="s">
        <v>16</v>
      </c>
    </row>
    <row r="55" spans="1:19" ht="13.15" customHeight="1" x14ac:dyDescent="0.25">
      <c r="A55" s="18"/>
      <c r="B55" s="19"/>
      <c r="C55" s="20"/>
      <c r="D55" s="495" t="s">
        <v>17</v>
      </c>
      <c r="E55" s="496"/>
      <c r="F55" s="496"/>
      <c r="G55" s="497"/>
      <c r="H55" s="108"/>
      <c r="I55" s="22"/>
      <c r="J55" s="22"/>
      <c r="K55" s="23"/>
      <c r="L55" s="24"/>
      <c r="M55" s="25"/>
      <c r="R55" s="109">
        <v>0.16</v>
      </c>
    </row>
    <row r="56" spans="1:19" ht="13.15" customHeight="1" x14ac:dyDescent="0.25">
      <c r="A56" s="110" t="str">
        <f>'[2]SWA(abd)'!A17</f>
        <v>105(1)</v>
      </c>
      <c r="B56" s="111" t="str">
        <f>'[2]SWA(abd)'!B17:C17</f>
        <v>Sub Grade Preparation</v>
      </c>
      <c r="C56" s="30"/>
      <c r="D56" s="428">
        <f>'[2]SWA(abd)'!D17</f>
        <v>1075.8</v>
      </c>
      <c r="E56" s="15" t="str">
        <f>'[2]SWA(abd)'!E17</f>
        <v>sq.m.</v>
      </c>
      <c r="F56" s="59">
        <f>'[2]SWA(abd)'!F17</f>
        <v>102.17</v>
      </c>
      <c r="G56" s="104">
        <f>'[2]SWA(abd)'!G17</f>
        <v>109364.91</v>
      </c>
      <c r="H56" s="113">
        <f t="shared" ref="H56:H62" si="6">(G56/$G$63)*100</f>
        <v>10.022837773851711</v>
      </c>
      <c r="I56" s="35"/>
      <c r="J56" s="36"/>
      <c r="K56" s="35">
        <f t="shared" ref="K56:K62" si="7">I56+J56</f>
        <v>0</v>
      </c>
      <c r="L56" s="37" t="e">
        <f>ROUND(K56/#REF!,4)</f>
        <v>#REF!</v>
      </c>
      <c r="M56" s="38" t="s">
        <v>90</v>
      </c>
      <c r="Q56" s="40">
        <f t="shared" ref="Q56:Q62" si="8">D56*F56</f>
        <v>109914.486</v>
      </c>
      <c r="R56" s="40">
        <f>Q56*$R$55</f>
        <v>17586.317760000002</v>
      </c>
      <c r="S56" s="40">
        <f>Q56-R56</f>
        <v>92328.168239999999</v>
      </c>
    </row>
    <row r="57" spans="1:19" ht="13.15" customHeight="1" x14ac:dyDescent="0.25">
      <c r="A57" s="110" t="str">
        <f>'[2]SWA(abd)'!A18</f>
        <v>200(1)</v>
      </c>
      <c r="B57" s="111" t="str">
        <f>'[2]SWA(abd)'!B18:C18</f>
        <v>Aggregate Sub Base Coarse</v>
      </c>
      <c r="C57" s="30"/>
      <c r="D57" s="428">
        <f>'[2]SWA(abd)'!D18</f>
        <v>173.25</v>
      </c>
      <c r="E57" s="15" t="str">
        <f>'[2]SWA(abd)'!E18</f>
        <v>sq.m.</v>
      </c>
      <c r="F57" s="104">
        <v>804.58</v>
      </c>
      <c r="G57" s="104">
        <f>'[2]SWA(abd)'!G18</f>
        <v>223636.89</v>
      </c>
      <c r="H57" s="113">
        <f t="shared" si="6"/>
        <v>20.495388042825802</v>
      </c>
      <c r="I57" s="35"/>
      <c r="J57" s="36"/>
      <c r="K57" s="35">
        <f t="shared" si="7"/>
        <v>0</v>
      </c>
      <c r="L57" s="37">
        <f t="shared" ref="L57:L62" si="9">ROUND(K57/$G$63,4)</f>
        <v>0</v>
      </c>
      <c r="M57" s="38" t="s">
        <v>90</v>
      </c>
      <c r="Q57" s="40">
        <f t="shared" si="8"/>
        <v>139393.48500000002</v>
      </c>
      <c r="R57" s="40">
        <f t="shared" ref="R57:R62" si="10">Q57*$R$55</f>
        <v>22302.957600000002</v>
      </c>
      <c r="S57" s="40">
        <f t="shared" ref="S57:S62" si="11">Q57-R57</f>
        <v>117090.52740000002</v>
      </c>
    </row>
    <row r="58" spans="1:19" ht="13.15" customHeight="1" x14ac:dyDescent="0.25">
      <c r="A58" s="110" t="str">
        <f>'[2]SWA(abd)'!A19</f>
        <v>311(1)C</v>
      </c>
      <c r="B58" s="111" t="str">
        <f>'[2]SWA(abd)'!B19:C19</f>
        <v>PCCP</v>
      </c>
      <c r="C58" s="30"/>
      <c r="D58" s="428">
        <f>'[2]SWA(abd)'!D19</f>
        <v>660</v>
      </c>
      <c r="E58" s="15" t="str">
        <f>'[2]SWA(abd)'!E19</f>
        <v>sq.m.</v>
      </c>
      <c r="F58" s="104">
        <v>72.959999999999994</v>
      </c>
      <c r="G58" s="104">
        <f>'[2]SWA(abd)'!G19</f>
        <v>672973.03</v>
      </c>
      <c r="H58" s="113">
        <f t="shared" si="6"/>
        <v>61.675170819117767</v>
      </c>
      <c r="I58" s="35"/>
      <c r="J58" s="36"/>
      <c r="K58" s="35">
        <f t="shared" si="7"/>
        <v>0</v>
      </c>
      <c r="L58" s="37">
        <f t="shared" si="9"/>
        <v>0</v>
      </c>
      <c r="M58" s="38" t="s">
        <v>90</v>
      </c>
      <c r="O58" s="1" t="e">
        <f>0.2*#REF!</f>
        <v>#REF!</v>
      </c>
      <c r="P58" s="1" t="e">
        <f>0.95*#REF!</f>
        <v>#REF!</v>
      </c>
      <c r="Q58" s="40">
        <f t="shared" si="8"/>
        <v>48153.599999999999</v>
      </c>
      <c r="R58" s="40">
        <f t="shared" si="10"/>
        <v>7704.576</v>
      </c>
      <c r="S58" s="40">
        <f t="shared" si="11"/>
        <v>40449.023999999998</v>
      </c>
    </row>
    <row r="59" spans="1:19" ht="13.15" customHeight="1" x14ac:dyDescent="0.25">
      <c r="A59" s="110" t="str">
        <f>'[2]SWA(abd)'!A20</f>
        <v>B.9</v>
      </c>
      <c r="B59" s="111" t="str">
        <f>'[2]SWA(abd)'!B20:C20</f>
        <v>Mobilization/ Demobilization</v>
      </c>
      <c r="C59" s="30"/>
      <c r="D59" s="428">
        <f>'[2]SWA(abd)'!D20</f>
        <v>1</v>
      </c>
      <c r="E59" s="15" t="str">
        <f>'[2]SWA(abd)'!E20</f>
        <v>l/s</v>
      </c>
      <c r="F59" s="112">
        <v>128.93</v>
      </c>
      <c r="G59" s="104">
        <f>'[2]SWA(abd)'!G20</f>
        <v>25951.88</v>
      </c>
      <c r="H59" s="113">
        <f t="shared" si="6"/>
        <v>2.3783815409025322</v>
      </c>
      <c r="I59" s="35"/>
      <c r="J59" s="36"/>
      <c r="K59" s="35">
        <f t="shared" si="7"/>
        <v>0</v>
      </c>
      <c r="L59" s="37">
        <f t="shared" si="9"/>
        <v>0</v>
      </c>
      <c r="M59" s="38" t="s">
        <v>90</v>
      </c>
      <c r="O59" s="1">
        <v>604.87</v>
      </c>
      <c r="P59" s="1" t="e">
        <f>0.95*#REF!</f>
        <v>#REF!</v>
      </c>
      <c r="Q59" s="40">
        <f t="shared" si="8"/>
        <v>128.93</v>
      </c>
      <c r="R59" s="40">
        <f t="shared" si="10"/>
        <v>20.628800000000002</v>
      </c>
      <c r="S59" s="40">
        <f t="shared" si="11"/>
        <v>108.30120000000001</v>
      </c>
    </row>
    <row r="60" spans="1:19" ht="13.15" customHeight="1" x14ac:dyDescent="0.25">
      <c r="A60" s="110" t="str">
        <f>'[2]SWA(abd)'!A21</f>
        <v>B.5</v>
      </c>
      <c r="B60" s="111" t="str">
        <f>'[2]SWA(abd)'!B21:C21</f>
        <v>Billboards and Signages</v>
      </c>
      <c r="C60" s="30"/>
      <c r="D60" s="428">
        <f>'[2]SWA(abd)'!D21</f>
        <v>2</v>
      </c>
      <c r="E60" s="15" t="str">
        <f>'[2]SWA(abd)'!E21</f>
        <v>each</v>
      </c>
      <c r="F60" s="112">
        <v>18.37</v>
      </c>
      <c r="G60" s="104">
        <f>'[2]SWA(abd)'!G21</f>
        <v>10196.76</v>
      </c>
      <c r="H60" s="113">
        <f t="shared" si="6"/>
        <v>0.93449051710370512</v>
      </c>
      <c r="I60" s="35"/>
      <c r="J60" s="36"/>
      <c r="K60" s="35">
        <f t="shared" si="7"/>
        <v>0</v>
      </c>
      <c r="L60" s="37">
        <f t="shared" si="9"/>
        <v>0</v>
      </c>
      <c r="M60" s="38" t="s">
        <v>90</v>
      </c>
      <c r="O60" s="1" t="e">
        <f>0.2*#REF!</f>
        <v>#REF!</v>
      </c>
      <c r="P60" s="1" t="e">
        <f>0.95*#REF!</f>
        <v>#REF!</v>
      </c>
      <c r="Q60" s="40">
        <f t="shared" si="8"/>
        <v>36.74</v>
      </c>
      <c r="R60" s="40">
        <f t="shared" si="10"/>
        <v>5.8784000000000001</v>
      </c>
      <c r="S60" s="40">
        <f t="shared" si="11"/>
        <v>30.861600000000003</v>
      </c>
    </row>
    <row r="61" spans="1:19" ht="13.15" customHeight="1" x14ac:dyDescent="0.25">
      <c r="A61" s="110" t="str">
        <f>'[2]SWA(abd)'!A22</f>
        <v>B.7</v>
      </c>
      <c r="B61" s="111" t="str">
        <f>'[2]SWA(abd)'!B22:C22</f>
        <v>Occupational Health and Safety</v>
      </c>
      <c r="C61" s="30"/>
      <c r="D61" s="428">
        <f>'[2]SWA(abd)'!D22</f>
        <v>1</v>
      </c>
      <c r="E61" s="15" t="str">
        <f>'[2]SWA(abd)'!E22</f>
        <v>l/s</v>
      </c>
      <c r="F61" s="112">
        <v>1208.8900000000001</v>
      </c>
      <c r="G61" s="104">
        <f>'[2]SWA(abd)'!G22</f>
        <v>28041.09</v>
      </c>
      <c r="H61" s="113">
        <f t="shared" si="6"/>
        <v>2.5698489220351886</v>
      </c>
      <c r="I61" s="35"/>
      <c r="J61" s="36"/>
      <c r="K61" s="35">
        <f t="shared" si="7"/>
        <v>0</v>
      </c>
      <c r="L61" s="37">
        <f t="shared" si="9"/>
        <v>0</v>
      </c>
      <c r="M61" s="38" t="s">
        <v>90</v>
      </c>
      <c r="O61" s="1" t="e">
        <f>0.2*#REF!</f>
        <v>#REF!</v>
      </c>
      <c r="P61" s="1" t="e">
        <f>0.9*#REF!</f>
        <v>#REF!</v>
      </c>
      <c r="Q61" s="40">
        <f t="shared" si="8"/>
        <v>1208.8900000000001</v>
      </c>
      <c r="R61" s="40">
        <f t="shared" si="10"/>
        <v>193.42240000000001</v>
      </c>
      <c r="S61" s="40">
        <f t="shared" si="11"/>
        <v>1015.4676000000001</v>
      </c>
    </row>
    <row r="62" spans="1:19" ht="13.15" customHeight="1" thickBot="1" x14ac:dyDescent="0.3">
      <c r="A62" s="110" t="str">
        <f>'[2]SWA(abd)'!A23</f>
        <v>A.1.1(8a)</v>
      </c>
      <c r="B62" s="111" t="str">
        <f>'[2]SWA(abd)'!B23:C23</f>
        <v>Provisions of Field Office for the Engineer</v>
      </c>
      <c r="C62" s="30"/>
      <c r="D62" s="428">
        <f>'[2]SWA(abd)'!D23</f>
        <v>1.83</v>
      </c>
      <c r="E62" s="15" t="str">
        <f>'[2]SWA(abd)'!E23</f>
        <v>mos</v>
      </c>
      <c r="F62" s="104">
        <v>1291.19</v>
      </c>
      <c r="G62" s="104">
        <f>'[2]SWA(abd)'!G23</f>
        <v>20992.58</v>
      </c>
      <c r="H62" s="113">
        <f t="shared" si="6"/>
        <v>1.9238823841632928</v>
      </c>
      <c r="I62" s="35"/>
      <c r="J62" s="36"/>
      <c r="K62" s="35">
        <f t="shared" si="7"/>
        <v>0</v>
      </c>
      <c r="L62" s="37">
        <f t="shared" si="9"/>
        <v>0</v>
      </c>
      <c r="M62" s="38" t="s">
        <v>90</v>
      </c>
      <c r="O62" s="1">
        <f>350*3.05</f>
        <v>1067.5</v>
      </c>
      <c r="Q62" s="40">
        <f t="shared" si="8"/>
        <v>2362.8777</v>
      </c>
      <c r="R62" s="40">
        <f t="shared" si="10"/>
        <v>378.06043199999999</v>
      </c>
      <c r="S62" s="40">
        <f t="shared" si="11"/>
        <v>1984.817268</v>
      </c>
    </row>
    <row r="63" spans="1:19" s="47" customFormat="1" ht="13.15" customHeight="1" thickBot="1" x14ac:dyDescent="0.25">
      <c r="A63" s="498" t="s">
        <v>18</v>
      </c>
      <c r="B63" s="499"/>
      <c r="C63" s="499"/>
      <c r="D63" s="499"/>
      <c r="E63" s="499"/>
      <c r="F63" s="43"/>
      <c r="G63" s="44">
        <f t="shared" ref="G63:L63" si="12">SUM(G56:G62)</f>
        <v>1091157.1400000001</v>
      </c>
      <c r="H63" s="44">
        <f t="shared" si="12"/>
        <v>100.00000000000001</v>
      </c>
      <c r="I63" s="44">
        <f t="shared" si="12"/>
        <v>0</v>
      </c>
      <c r="J63" s="44">
        <f t="shared" si="12"/>
        <v>0</v>
      </c>
      <c r="K63" s="44">
        <f t="shared" si="12"/>
        <v>0</v>
      </c>
      <c r="L63" s="114" t="e">
        <f t="shared" si="12"/>
        <v>#REF!</v>
      </c>
      <c r="M63" s="46"/>
      <c r="O63" s="49"/>
      <c r="P63" s="49"/>
      <c r="Q63" s="48">
        <f>SUM(Q56:Q62)</f>
        <v>301199.00870000001</v>
      </c>
      <c r="R63" s="40">
        <f>SUM(R56:R62)</f>
        <v>48191.841392000002</v>
      </c>
      <c r="S63" s="49">
        <f>SUM(S56:S62)</f>
        <v>253007.16730800003</v>
      </c>
    </row>
    <row r="64" spans="1:19" s="5" customFormat="1" ht="13.15" customHeight="1" x14ac:dyDescent="0.2">
      <c r="A64" s="50"/>
      <c r="B64" s="50"/>
      <c r="C64" s="50"/>
      <c r="D64" s="423"/>
      <c r="E64" s="50"/>
      <c r="F64" s="51"/>
      <c r="G64" s="52"/>
      <c r="H64" s="52"/>
      <c r="I64" s="51"/>
      <c r="J64" s="51"/>
      <c r="K64" s="51"/>
      <c r="L64" s="51"/>
      <c r="M64" s="53"/>
      <c r="O64" s="1" t="e">
        <f>0.85*#REF!</f>
        <v>#REF!</v>
      </c>
      <c r="P64" s="1"/>
      <c r="Q64" s="40">
        <f>Q63*0.0065</f>
        <v>1957.7935565499999</v>
      </c>
    </row>
    <row r="65" spans="1:19" s="5" customFormat="1" ht="13.15" customHeight="1" x14ac:dyDescent="0.2">
      <c r="A65" s="53"/>
      <c r="B65" s="53"/>
      <c r="C65" s="53"/>
      <c r="D65" s="424"/>
      <c r="E65" s="53"/>
      <c r="F65" s="51"/>
      <c r="G65" s="51"/>
      <c r="H65" s="51"/>
      <c r="I65" s="53"/>
      <c r="J65" s="53"/>
      <c r="K65" s="53"/>
      <c r="L65" s="53"/>
      <c r="M65" s="53"/>
      <c r="O65" s="1"/>
      <c r="P65" s="1"/>
      <c r="Q65" s="40">
        <f>Q63-Q64</f>
        <v>299241.21514345001</v>
      </c>
    </row>
    <row r="66" spans="1:19" s="5" customFormat="1" ht="13.15" customHeight="1" x14ac:dyDescent="0.25">
      <c r="A66" s="53"/>
      <c r="B66" s="53"/>
      <c r="C66" s="53"/>
      <c r="D66" s="425"/>
      <c r="E66" s="53"/>
      <c r="F66" s="53" t="s">
        <v>19</v>
      </c>
      <c r="I66" s="500" t="e">
        <f>L63*100</f>
        <v>#REF!</v>
      </c>
      <c r="J66" s="500"/>
      <c r="K66" s="54" t="s">
        <v>12</v>
      </c>
      <c r="L66" s="53"/>
      <c r="M66" s="53"/>
      <c r="O66" s="1"/>
      <c r="P66" s="1"/>
    </row>
    <row r="67" spans="1:19" s="5" customFormat="1" ht="13.15" customHeight="1" x14ac:dyDescent="0.2">
      <c r="A67" s="53"/>
      <c r="B67" s="53"/>
      <c r="C67" s="53"/>
      <c r="D67" s="425"/>
      <c r="E67" s="53"/>
      <c r="F67" s="55" t="s">
        <v>20</v>
      </c>
      <c r="I67" s="483">
        <f>ROUND(G63,2)</f>
        <v>1091157.1399999999</v>
      </c>
      <c r="J67" s="483"/>
      <c r="K67" s="53"/>
      <c r="L67" s="53"/>
      <c r="M67" s="51"/>
      <c r="O67" s="1"/>
      <c r="P67" s="1"/>
    </row>
    <row r="68" spans="1:19" s="5" customFormat="1" ht="13.15" customHeight="1" x14ac:dyDescent="0.2">
      <c r="A68" s="53"/>
      <c r="B68" s="56"/>
      <c r="C68" s="56"/>
      <c r="D68" s="425"/>
      <c r="E68" s="53"/>
      <c r="F68" s="55" t="s">
        <v>21</v>
      </c>
      <c r="I68" s="483">
        <f>J63</f>
        <v>0</v>
      </c>
      <c r="J68" s="483"/>
      <c r="K68" s="51"/>
      <c r="L68" s="53"/>
      <c r="M68" s="53"/>
      <c r="O68" s="1"/>
      <c r="P68" s="1"/>
    </row>
    <row r="69" spans="1:19" s="5" customFormat="1" ht="13.15" customHeight="1" thickBot="1" x14ac:dyDescent="0.25">
      <c r="A69" s="53"/>
      <c r="D69" s="425"/>
      <c r="E69" s="56" t="s">
        <v>22</v>
      </c>
      <c r="F69" s="55" t="s">
        <v>23</v>
      </c>
      <c r="I69" s="480"/>
      <c r="J69" s="480"/>
      <c r="K69" s="51"/>
      <c r="L69" s="53"/>
      <c r="M69" s="53"/>
      <c r="O69" s="1"/>
      <c r="P69" s="1"/>
    </row>
    <row r="70" spans="1:19" s="5" customFormat="1" ht="13.15" customHeight="1" x14ac:dyDescent="0.2">
      <c r="A70" s="53"/>
      <c r="B70" s="53"/>
      <c r="C70" s="53"/>
      <c r="D70" s="425"/>
      <c r="E70" s="53"/>
      <c r="F70" s="55" t="s">
        <v>24</v>
      </c>
      <c r="I70" s="481">
        <f>SUM(J63-I69)</f>
        <v>0</v>
      </c>
      <c r="J70" s="481"/>
      <c r="K70" s="51"/>
      <c r="L70" s="53"/>
      <c r="M70" s="53"/>
      <c r="O70" s="1"/>
      <c r="P70" s="1"/>
    </row>
    <row r="72" spans="1:19" ht="12.6" customHeight="1" x14ac:dyDescent="0.25">
      <c r="A72" s="99" t="s">
        <v>25</v>
      </c>
      <c r="B72" s="2"/>
      <c r="C72" s="2" t="s">
        <v>26</v>
      </c>
      <c r="F72" s="2" t="s">
        <v>86</v>
      </c>
      <c r="G72" s="2"/>
      <c r="J72" s="100" t="s">
        <v>28</v>
      </c>
      <c r="S72" s="2"/>
    </row>
    <row r="73" spans="1:19" ht="12.6" customHeight="1" x14ac:dyDescent="0.25">
      <c r="A73" s="99"/>
      <c r="B73" s="2"/>
      <c r="C73" s="2"/>
      <c r="D73" s="429"/>
      <c r="F73" s="2"/>
      <c r="G73" s="2"/>
      <c r="I73" s="2"/>
      <c r="J73" s="2"/>
      <c r="K73" s="2"/>
      <c r="L73" s="2"/>
      <c r="O73" s="58"/>
      <c r="P73" s="58"/>
      <c r="Q73" s="2"/>
      <c r="S73" s="2"/>
    </row>
    <row r="74" spans="1:19" ht="12.6" customHeight="1" x14ac:dyDescent="0.25">
      <c r="A74" s="2"/>
      <c r="B74" s="2"/>
      <c r="C74" s="2"/>
      <c r="D74" s="429"/>
      <c r="F74" s="2"/>
      <c r="G74" s="2"/>
      <c r="I74" s="2"/>
      <c r="J74" s="2"/>
      <c r="K74" s="2"/>
      <c r="L74" s="2"/>
      <c r="O74" s="58"/>
      <c r="P74" s="58"/>
      <c r="Q74" s="2"/>
      <c r="S74" s="2"/>
    </row>
    <row r="75" spans="1:19" ht="12.6" customHeight="1" x14ac:dyDescent="0.25">
      <c r="A75" s="2"/>
      <c r="B75" s="2"/>
      <c r="C75" s="2"/>
      <c r="D75" s="429"/>
      <c r="F75" s="2"/>
      <c r="G75" s="2"/>
      <c r="I75" s="2"/>
      <c r="J75" s="2"/>
      <c r="K75" s="2"/>
      <c r="L75" s="2"/>
      <c r="O75" s="58"/>
      <c r="P75" s="58"/>
      <c r="Q75" s="2"/>
      <c r="S75" s="2"/>
    </row>
    <row r="76" spans="1:19" ht="12.6" customHeight="1" x14ac:dyDescent="0.25">
      <c r="A76" s="482" t="s">
        <v>91</v>
      </c>
      <c r="B76" s="482"/>
      <c r="C76" s="482" t="s">
        <v>87</v>
      </c>
      <c r="D76" s="482"/>
      <c r="E76" s="482"/>
      <c r="F76" s="482" t="s">
        <v>29</v>
      </c>
      <c r="G76" s="482"/>
      <c r="H76" s="482"/>
      <c r="I76" s="4"/>
      <c r="J76" s="482" t="s">
        <v>30</v>
      </c>
      <c r="K76" s="482"/>
      <c r="L76" s="482"/>
      <c r="N76" s="4"/>
    </row>
    <row r="77" spans="1:19" ht="12.6" customHeight="1" x14ac:dyDescent="0.25">
      <c r="A77" s="479" t="s">
        <v>31</v>
      </c>
      <c r="B77" s="479"/>
      <c r="C77" s="479" t="s">
        <v>88</v>
      </c>
      <c r="D77" s="479"/>
      <c r="E77" s="479"/>
      <c r="F77" s="479" t="s">
        <v>32</v>
      </c>
      <c r="G77" s="479"/>
      <c r="H77" s="479"/>
      <c r="I77" s="2"/>
      <c r="J77" s="479" t="s">
        <v>33</v>
      </c>
      <c r="K77" s="479"/>
      <c r="L77" s="479"/>
      <c r="N77" s="2"/>
    </row>
  </sheetData>
  <mergeCells count="34">
    <mergeCell ref="I37:J37"/>
    <mergeCell ref="B1:M1"/>
    <mergeCell ref="B7:C8"/>
    <mergeCell ref="D7:E7"/>
    <mergeCell ref="I7:K7"/>
    <mergeCell ref="D8:E8"/>
    <mergeCell ref="D9:G9"/>
    <mergeCell ref="B14:C14"/>
    <mergeCell ref="A31:E31"/>
    <mergeCell ref="I34:J34"/>
    <mergeCell ref="I35:J35"/>
    <mergeCell ref="I36:J36"/>
    <mergeCell ref="I38:J38"/>
    <mergeCell ref="B47:M47"/>
    <mergeCell ref="B48:M48"/>
    <mergeCell ref="B53:C54"/>
    <mergeCell ref="D53:E53"/>
    <mergeCell ref="I53:K53"/>
    <mergeCell ref="D54:E54"/>
    <mergeCell ref="A77:B77"/>
    <mergeCell ref="C77:E77"/>
    <mergeCell ref="F77:H77"/>
    <mergeCell ref="J77:L77"/>
    <mergeCell ref="D55:G55"/>
    <mergeCell ref="A63:E63"/>
    <mergeCell ref="I66:J66"/>
    <mergeCell ref="I67:J67"/>
    <mergeCell ref="I68:J68"/>
    <mergeCell ref="I69:J69"/>
    <mergeCell ref="I70:J70"/>
    <mergeCell ref="A76:B76"/>
    <mergeCell ref="C76:E76"/>
    <mergeCell ref="F76:H76"/>
    <mergeCell ref="J76:L76"/>
  </mergeCells>
  <printOptions horizontalCentered="1" verticalCentered="1"/>
  <pageMargins left="3.937007874015748E-2" right="3.937007874015748E-2" top="0.15748031496062992" bottom="0.15748031496062992" header="0.31496062992125984" footer="0.31496062992125984"/>
  <pageSetup paperSize="14" scale="7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92D050"/>
  </sheetPr>
  <dimension ref="A2:Q41"/>
  <sheetViews>
    <sheetView view="pageBreakPreview" zoomScaleNormal="100" zoomScaleSheetLayoutView="100" workbookViewId="0">
      <selection activeCell="I29" sqref="I29"/>
    </sheetView>
  </sheetViews>
  <sheetFormatPr defaultColWidth="9.140625" defaultRowHeight="15.75" x14ac:dyDescent="0.25"/>
  <cols>
    <col min="1" max="1" width="4" style="60" customWidth="1"/>
    <col min="2" max="2" width="39.28515625" style="60" customWidth="1"/>
    <col min="3" max="3" width="3.28515625" style="60" customWidth="1"/>
    <col min="4" max="5" width="18.7109375" style="60" customWidth="1"/>
    <col min="6" max="6" width="9.42578125" style="60" customWidth="1"/>
    <col min="7" max="7" width="7.42578125" style="60" customWidth="1"/>
    <col min="8" max="8" width="12.7109375" style="316" customWidth="1"/>
    <col min="9" max="9" width="28.42578125" style="316" customWidth="1"/>
    <col min="10" max="10" width="11.85546875" style="60" customWidth="1"/>
    <col min="11" max="11" width="13.28515625" style="60" customWidth="1"/>
    <col min="12" max="12" width="9.140625" style="60"/>
    <col min="13" max="13" width="11.28515625" style="60" customWidth="1"/>
    <col min="14" max="16" width="9.140625" style="60"/>
    <col min="17" max="17" width="15.28515625" style="60" customWidth="1"/>
    <col min="18" max="16384" width="9.140625" style="60"/>
  </cols>
  <sheetData>
    <row r="2" spans="1:17" x14ac:dyDescent="0.25">
      <c r="A2" s="456" t="s">
        <v>37</v>
      </c>
      <c r="B2" s="456"/>
      <c r="C2" s="456"/>
      <c r="D2" s="456"/>
      <c r="E2" s="456"/>
      <c r="F2" s="456"/>
      <c r="G2" s="315"/>
    </row>
    <row r="3" spans="1:17" x14ac:dyDescent="0.25">
      <c r="A3" s="457" t="s">
        <v>38</v>
      </c>
      <c r="B3" s="457"/>
      <c r="C3" s="457"/>
      <c r="D3" s="457"/>
      <c r="E3" s="457"/>
      <c r="F3" s="457"/>
      <c r="G3" s="317"/>
    </row>
    <row r="4" spans="1:17" x14ac:dyDescent="0.25">
      <c r="A4" s="456" t="s">
        <v>247</v>
      </c>
      <c r="B4" s="456"/>
      <c r="C4" s="456"/>
      <c r="D4" s="456"/>
      <c r="E4" s="456"/>
      <c r="F4" s="456"/>
      <c r="G4" s="315"/>
    </row>
    <row r="5" spans="1:17" ht="16.5" x14ac:dyDescent="0.25">
      <c r="A5" s="458" t="s">
        <v>248</v>
      </c>
      <c r="B5" s="458"/>
      <c r="C5" s="458"/>
      <c r="D5" s="458"/>
      <c r="E5" s="458"/>
      <c r="F5" s="458"/>
      <c r="G5" s="318"/>
    </row>
    <row r="6" spans="1:17" ht="20.25" x14ac:dyDescent="0.3">
      <c r="A6" s="61"/>
      <c r="H6" s="459" t="s">
        <v>250</v>
      </c>
      <c r="I6" s="460"/>
      <c r="J6" s="460"/>
      <c r="K6" s="461"/>
      <c r="M6" s="319" t="s">
        <v>251</v>
      </c>
    </row>
    <row r="7" spans="1:17" ht="18.75" x14ac:dyDescent="0.3">
      <c r="A7" s="462" t="s">
        <v>40</v>
      </c>
      <c r="B7" s="462"/>
      <c r="C7" s="462"/>
      <c r="D7" s="462"/>
      <c r="E7" s="462"/>
      <c r="F7" s="462"/>
      <c r="G7" s="320"/>
      <c r="H7" s="321"/>
      <c r="I7" s="321"/>
      <c r="M7" s="322" t="s">
        <v>252</v>
      </c>
      <c r="N7" s="323" t="s">
        <v>253</v>
      </c>
      <c r="O7" s="324"/>
      <c r="P7" s="324"/>
      <c r="Q7" s="325"/>
    </row>
    <row r="8" spans="1:17" x14ac:dyDescent="0.25">
      <c r="A8" s="63"/>
      <c r="B8" s="63"/>
      <c r="C8" s="63"/>
      <c r="D8" s="63"/>
      <c r="E8" s="63"/>
      <c r="F8" s="63"/>
      <c r="G8" s="63"/>
      <c r="H8" s="326"/>
      <c r="I8" s="60"/>
      <c r="M8" s="327" t="s">
        <v>254</v>
      </c>
      <c r="N8" s="328" t="s">
        <v>255</v>
      </c>
      <c r="O8" s="329"/>
      <c r="P8" s="329"/>
      <c r="Q8" s="330"/>
    </row>
    <row r="9" spans="1:17" x14ac:dyDescent="0.25">
      <c r="A9" s="326"/>
      <c r="B9" s="452">
        <f>I9</f>
        <v>45527</v>
      </c>
      <c r="C9" s="452"/>
      <c r="D9" s="452"/>
      <c r="E9" s="452"/>
      <c r="F9" s="452"/>
      <c r="H9" s="331" t="s">
        <v>256</v>
      </c>
      <c r="I9" s="332">
        <v>45527</v>
      </c>
      <c r="M9" s="333" t="s">
        <v>257</v>
      </c>
      <c r="N9" s="334" t="s">
        <v>258</v>
      </c>
      <c r="O9" s="335"/>
      <c r="P9" s="335"/>
      <c r="Q9" s="336"/>
    </row>
    <row r="10" spans="1:17" x14ac:dyDescent="0.25">
      <c r="A10" s="326"/>
      <c r="B10" s="337"/>
      <c r="C10" s="337"/>
      <c r="D10" s="337"/>
      <c r="E10" s="337"/>
      <c r="F10" s="337"/>
      <c r="H10" s="331"/>
      <c r="I10" s="64"/>
      <c r="M10" s="338" t="s">
        <v>259</v>
      </c>
      <c r="N10" s="339" t="s">
        <v>260</v>
      </c>
      <c r="O10" s="340"/>
      <c r="P10" s="340"/>
      <c r="Q10" s="341"/>
    </row>
    <row r="11" spans="1:17" x14ac:dyDescent="0.25">
      <c r="A11" s="326"/>
      <c r="B11" s="337"/>
      <c r="C11" s="337"/>
      <c r="D11" s="337"/>
      <c r="E11" s="337"/>
      <c r="F11" s="337"/>
      <c r="H11" s="331"/>
      <c r="I11" s="64"/>
      <c r="M11" s="342" t="s">
        <v>261</v>
      </c>
      <c r="N11" s="343" t="s">
        <v>262</v>
      </c>
      <c r="O11" s="344"/>
      <c r="P11" s="344"/>
      <c r="Q11" s="345"/>
    </row>
    <row r="12" spans="1:17" ht="26.25" customHeight="1" x14ac:dyDescent="0.25">
      <c r="A12" s="346" t="s">
        <v>263</v>
      </c>
      <c r="B12" s="346"/>
      <c r="C12" s="347" t="s">
        <v>45</v>
      </c>
      <c r="D12" s="453" t="str">
        <f>I12</f>
        <v>Construction of Multi-Purpose Building Lallo National High School</v>
      </c>
      <c r="E12" s="453"/>
      <c r="F12" s="453"/>
      <c r="H12" s="331" t="s">
        <v>256</v>
      </c>
      <c r="I12" s="348" t="s">
        <v>342</v>
      </c>
      <c r="J12" s="346" t="s">
        <v>263</v>
      </c>
      <c r="M12" s="349" t="s">
        <v>264</v>
      </c>
      <c r="N12" s="350" t="s">
        <v>265</v>
      </c>
      <c r="O12" s="351"/>
      <c r="P12" s="351"/>
      <c r="Q12" s="352"/>
    </row>
    <row r="13" spans="1:17" ht="17.25" customHeight="1" x14ac:dyDescent="0.25">
      <c r="A13" s="353" t="s">
        <v>47</v>
      </c>
      <c r="B13" s="353"/>
      <c r="C13" s="354" t="s">
        <v>45</v>
      </c>
      <c r="D13" s="355" t="str">
        <f>I13</f>
        <v>Lallo, Cagayan</v>
      </c>
      <c r="E13" s="355"/>
      <c r="F13" s="356"/>
      <c r="H13" s="331" t="s">
        <v>256</v>
      </c>
      <c r="I13" s="357" t="s">
        <v>343</v>
      </c>
      <c r="J13" s="353" t="s">
        <v>47</v>
      </c>
      <c r="M13" s="358" t="s">
        <v>266</v>
      </c>
      <c r="N13" s="359" t="s">
        <v>253</v>
      </c>
      <c r="O13" s="360"/>
      <c r="P13" s="360"/>
      <c r="Q13" s="361"/>
    </row>
    <row r="14" spans="1:17" x14ac:dyDescent="0.25">
      <c r="A14" s="362" t="s">
        <v>48</v>
      </c>
      <c r="B14" s="362"/>
      <c r="C14" s="354" t="s">
        <v>45</v>
      </c>
      <c r="D14" s="363">
        <f>I14</f>
        <v>3990443.93</v>
      </c>
      <c r="E14" s="363"/>
      <c r="F14" s="363"/>
      <c r="H14" s="331" t="s">
        <v>256</v>
      </c>
      <c r="I14" s="364">
        <v>3990443.93</v>
      </c>
      <c r="J14" s="362" t="s">
        <v>48</v>
      </c>
      <c r="M14" s="365" t="s">
        <v>267</v>
      </c>
      <c r="N14" s="366" t="s">
        <v>255</v>
      </c>
      <c r="O14" s="367"/>
      <c r="P14" s="367"/>
      <c r="Q14" s="368"/>
    </row>
    <row r="15" spans="1:17" s="76" customFormat="1" ht="15.6" customHeight="1" x14ac:dyDescent="0.2">
      <c r="A15" s="353" t="s">
        <v>31</v>
      </c>
      <c r="B15" s="353"/>
      <c r="C15" s="354" t="s">
        <v>45</v>
      </c>
      <c r="D15" s="355" t="str">
        <f>I15</f>
        <v>RUCS Construction</v>
      </c>
      <c r="E15" s="355"/>
      <c r="F15" s="355"/>
      <c r="H15" s="331" t="s">
        <v>256</v>
      </c>
      <c r="I15" s="369" t="s">
        <v>344</v>
      </c>
      <c r="J15" s="353" t="s">
        <v>31</v>
      </c>
    </row>
    <row r="16" spans="1:17" x14ac:dyDescent="0.25">
      <c r="A16" s="362"/>
      <c r="B16" s="362"/>
      <c r="C16" s="354"/>
      <c r="D16" s="370"/>
      <c r="E16" s="370"/>
      <c r="F16" s="370"/>
      <c r="G16" s="72"/>
      <c r="H16" s="331"/>
      <c r="I16" s="60"/>
    </row>
    <row r="17" spans="1:14" x14ac:dyDescent="0.25">
      <c r="A17" s="371" t="s">
        <v>50</v>
      </c>
      <c r="B17" s="353" t="s">
        <v>51</v>
      </c>
      <c r="C17" s="354" t="s">
        <v>45</v>
      </c>
      <c r="D17" s="372">
        <f>D20+9</f>
        <v>45511</v>
      </c>
      <c r="E17" s="356" t="s">
        <v>52</v>
      </c>
      <c r="F17" s="68"/>
      <c r="H17" s="373"/>
      <c r="J17" s="72"/>
      <c r="K17" s="374"/>
    </row>
    <row r="18" spans="1:14" x14ac:dyDescent="0.25">
      <c r="A18" s="371"/>
      <c r="B18" s="353"/>
      <c r="C18" s="354"/>
      <c r="D18" s="375">
        <f>+B9</f>
        <v>45527</v>
      </c>
      <c r="E18" s="375"/>
      <c r="F18" s="375"/>
      <c r="G18" s="376"/>
      <c r="H18" s="377"/>
      <c r="J18" s="72"/>
      <c r="K18" s="374"/>
    </row>
    <row r="19" spans="1:14" x14ac:dyDescent="0.25">
      <c r="A19" s="371" t="s">
        <v>54</v>
      </c>
      <c r="B19" s="353" t="s">
        <v>268</v>
      </c>
      <c r="C19" s="354" t="s">
        <v>45</v>
      </c>
      <c r="D19" s="378">
        <f>I19</f>
        <v>210</v>
      </c>
      <c r="E19" s="379"/>
      <c r="F19" s="379"/>
      <c r="G19" s="72"/>
      <c r="H19" s="380" t="s">
        <v>256</v>
      </c>
      <c r="I19" s="381">
        <v>210</v>
      </c>
      <c r="J19" s="353" t="s">
        <v>268</v>
      </c>
    </row>
    <row r="20" spans="1:14" x14ac:dyDescent="0.25">
      <c r="A20" s="371" t="s">
        <v>56</v>
      </c>
      <c r="B20" s="353" t="s">
        <v>269</v>
      </c>
      <c r="C20" s="354" t="s">
        <v>45</v>
      </c>
      <c r="D20" s="372">
        <f>I20</f>
        <v>45502</v>
      </c>
      <c r="E20" s="372"/>
      <c r="F20" s="372"/>
      <c r="H20" s="380" t="s">
        <v>256</v>
      </c>
      <c r="I20" s="332">
        <v>45502</v>
      </c>
      <c r="J20" s="353" t="s">
        <v>269</v>
      </c>
    </row>
    <row r="21" spans="1:14" x14ac:dyDescent="0.25">
      <c r="A21" s="371" t="s">
        <v>270</v>
      </c>
      <c r="B21" s="353" t="s">
        <v>59</v>
      </c>
      <c r="C21" s="354" t="s">
        <v>45</v>
      </c>
      <c r="D21" s="375">
        <f>+D17+D19</f>
        <v>45721</v>
      </c>
      <c r="E21" s="375"/>
      <c r="F21" s="375"/>
      <c r="G21" s="72"/>
      <c r="H21" s="382"/>
      <c r="I21" s="72"/>
      <c r="J21" s="72"/>
    </row>
    <row r="22" spans="1:14" x14ac:dyDescent="0.25">
      <c r="A22" s="371" t="s">
        <v>58</v>
      </c>
      <c r="B22" s="353" t="s">
        <v>79</v>
      </c>
      <c r="C22" s="354" t="s">
        <v>45</v>
      </c>
      <c r="D22" s="383">
        <f>D23+I22</f>
        <v>0</v>
      </c>
      <c r="E22" s="370"/>
      <c r="F22" s="370"/>
      <c r="G22" s="72"/>
      <c r="H22" s="380" t="s">
        <v>256</v>
      </c>
      <c r="I22" s="381"/>
      <c r="J22" s="353" t="s">
        <v>79</v>
      </c>
    </row>
    <row r="23" spans="1:14" x14ac:dyDescent="0.25">
      <c r="A23" s="371" t="s">
        <v>60</v>
      </c>
      <c r="B23" s="353" t="s">
        <v>78</v>
      </c>
      <c r="C23" s="354" t="s">
        <v>45</v>
      </c>
      <c r="D23" s="383">
        <f>I23</f>
        <v>0</v>
      </c>
      <c r="E23" s="370"/>
      <c r="F23" s="370"/>
      <c r="G23" s="72"/>
      <c r="H23" s="380" t="s">
        <v>256</v>
      </c>
      <c r="I23" s="384"/>
      <c r="J23" s="353" t="s">
        <v>78</v>
      </c>
    </row>
    <row r="24" spans="1:14" x14ac:dyDescent="0.25">
      <c r="A24" s="371" t="s">
        <v>271</v>
      </c>
      <c r="B24" s="353" t="s">
        <v>272</v>
      </c>
      <c r="C24" s="354"/>
      <c r="D24" s="383">
        <f>IF(I24&gt;0,I24,0)</f>
        <v>0</v>
      </c>
      <c r="E24" s="370"/>
      <c r="F24" s="370"/>
      <c r="G24" s="72"/>
      <c r="H24" s="382" t="s">
        <v>273</v>
      </c>
      <c r="I24" s="385">
        <f>D22</f>
        <v>0</v>
      </c>
      <c r="J24" s="353" t="s">
        <v>272</v>
      </c>
    </row>
    <row r="25" spans="1:14" x14ac:dyDescent="0.25">
      <c r="A25" s="371" t="s">
        <v>274</v>
      </c>
      <c r="B25" s="353" t="s">
        <v>63</v>
      </c>
      <c r="C25" s="354" t="s">
        <v>45</v>
      </c>
      <c r="D25" s="383">
        <f>IF(I24&gt;0,I25,0)</f>
        <v>0</v>
      </c>
      <c r="E25" s="370"/>
      <c r="F25" s="386"/>
      <c r="H25" s="382" t="s">
        <v>273</v>
      </c>
      <c r="I25" s="385">
        <f>IF(D22&gt;0,D22+I19,0)-1</f>
        <v>-1</v>
      </c>
      <c r="J25" s="353" t="s">
        <v>63</v>
      </c>
    </row>
    <row r="26" spans="1:14" x14ac:dyDescent="0.25">
      <c r="A26" s="371" t="s">
        <v>275</v>
      </c>
      <c r="B26" s="353" t="s">
        <v>276</v>
      </c>
      <c r="C26" s="354" t="s">
        <v>45</v>
      </c>
      <c r="D26" s="383">
        <f>IF(I25&gt;0,I26,0)</f>
        <v>0</v>
      </c>
      <c r="E26" s="375"/>
      <c r="F26" s="375"/>
      <c r="G26" s="72"/>
      <c r="H26" s="387"/>
      <c r="I26" s="72"/>
      <c r="J26" s="72"/>
    </row>
    <row r="27" spans="1:14" x14ac:dyDescent="0.25">
      <c r="A27" s="371" t="s">
        <v>277</v>
      </c>
      <c r="B27" s="353" t="s">
        <v>67</v>
      </c>
      <c r="C27" s="354" t="s">
        <v>45</v>
      </c>
      <c r="D27" s="383">
        <f>+D18-D17+1</f>
        <v>17</v>
      </c>
      <c r="E27" s="388"/>
      <c r="F27" s="388"/>
      <c r="G27" s="72"/>
      <c r="H27" s="387"/>
      <c r="I27" s="389"/>
    </row>
    <row r="28" spans="1:14" x14ac:dyDescent="0.25">
      <c r="A28" s="371" t="s">
        <v>278</v>
      </c>
      <c r="B28" s="353" t="s">
        <v>279</v>
      </c>
      <c r="C28" s="354" t="s">
        <v>45</v>
      </c>
      <c r="D28" s="390" t="e">
        <f>#REF!</f>
        <v>#REF!</v>
      </c>
      <c r="E28" s="390"/>
      <c r="F28" s="390"/>
      <c r="G28" s="72"/>
      <c r="H28" s="331"/>
      <c r="I28" s="391" t="e">
        <f>#REF!</f>
        <v>#REF!</v>
      </c>
      <c r="J28" s="72" t="s">
        <v>280</v>
      </c>
    </row>
    <row r="29" spans="1:14" ht="15.6" customHeight="1" x14ac:dyDescent="0.25">
      <c r="A29" s="371" t="s">
        <v>281</v>
      </c>
      <c r="B29" s="353" t="s">
        <v>282</v>
      </c>
      <c r="C29" s="354" t="s">
        <v>45</v>
      </c>
      <c r="D29" s="392">
        <f>I29</f>
        <v>1.6082625774666903E-2</v>
      </c>
      <c r="E29" s="392"/>
      <c r="F29" s="392"/>
      <c r="G29" s="72"/>
      <c r="H29" s="382" t="s">
        <v>273</v>
      </c>
      <c r="I29" s="393">
        <f>(((SIN((((180*((D27))/D19)-90)*(3.14159265358979/180)))+1)*50)/100)</f>
        <v>1.6082625774666903E-2</v>
      </c>
      <c r="J29" s="394" t="s">
        <v>283</v>
      </c>
      <c r="K29" s="355"/>
      <c r="L29" s="355"/>
      <c r="M29" s="68"/>
      <c r="N29" s="395"/>
    </row>
    <row r="30" spans="1:14" x14ac:dyDescent="0.25">
      <c r="A30" s="371" t="s">
        <v>284</v>
      </c>
      <c r="B30" s="353" t="s">
        <v>73</v>
      </c>
      <c r="C30" s="354" t="s">
        <v>45</v>
      </c>
      <c r="D30" s="396" t="e">
        <f>D28-D29</f>
        <v>#REF!</v>
      </c>
      <c r="E30" s="396"/>
      <c r="F30" s="396"/>
      <c r="G30" s="72"/>
      <c r="H30" s="382" t="s">
        <v>273</v>
      </c>
      <c r="I30" s="393" t="str">
        <f>IF(I25&gt;0,(((SIN((((180*((D27))/D25)-90)*(3.14159265358979/180)))+1)*50)/100),"")</f>
        <v/>
      </c>
      <c r="J30" s="394" t="s">
        <v>285</v>
      </c>
      <c r="K30" s="355"/>
      <c r="L30" s="355"/>
      <c r="M30" s="68"/>
      <c r="N30" s="395"/>
    </row>
    <row r="31" spans="1:14" x14ac:dyDescent="0.25">
      <c r="A31" s="371" t="s">
        <v>64</v>
      </c>
      <c r="B31" s="353" t="s">
        <v>75</v>
      </c>
      <c r="C31" s="354" t="s">
        <v>45</v>
      </c>
      <c r="D31" s="397"/>
      <c r="E31" s="397"/>
      <c r="F31" s="397"/>
      <c r="G31" s="72"/>
      <c r="H31" s="331"/>
      <c r="I31" s="60"/>
    </row>
    <row r="32" spans="1:14" x14ac:dyDescent="0.25">
      <c r="A32" s="371"/>
      <c r="B32" s="316"/>
      <c r="C32" s="316"/>
      <c r="D32" s="398"/>
      <c r="E32" s="398"/>
      <c r="F32" s="398"/>
      <c r="H32" s="382" t="s">
        <v>273</v>
      </c>
      <c r="I32" s="393">
        <f>D27/D19</f>
        <v>8.0952380952380956E-2</v>
      </c>
      <c r="J32" s="394" t="s">
        <v>286</v>
      </c>
      <c r="K32" s="68"/>
      <c r="L32" s="68"/>
      <c r="M32" s="68"/>
      <c r="N32" s="395"/>
    </row>
    <row r="33" spans="1:14" x14ac:dyDescent="0.25">
      <c r="A33" s="316"/>
      <c r="B33" s="316"/>
      <c r="C33" s="316"/>
      <c r="D33" s="316"/>
      <c r="E33" s="316"/>
      <c r="F33" s="316"/>
      <c r="H33" s="382" t="s">
        <v>273</v>
      </c>
      <c r="I33" s="393">
        <v>1</v>
      </c>
      <c r="J33" s="394" t="s">
        <v>287</v>
      </c>
      <c r="K33" s="68"/>
      <c r="L33" s="68"/>
      <c r="M33" s="68"/>
      <c r="N33" s="395"/>
    </row>
    <row r="34" spans="1:14" x14ac:dyDescent="0.25">
      <c r="E34" s="316"/>
      <c r="F34" s="316"/>
      <c r="H34" s="399"/>
    </row>
    <row r="35" spans="1:14" x14ac:dyDescent="0.25">
      <c r="A35" s="316"/>
      <c r="B35" s="353" t="s">
        <v>27</v>
      </c>
      <c r="C35" s="316"/>
      <c r="D35" s="353" t="s">
        <v>288</v>
      </c>
      <c r="E35" s="316"/>
      <c r="F35" s="316"/>
      <c r="H35" s="454" t="s">
        <v>289</v>
      </c>
      <c r="I35" s="400" t="s">
        <v>290</v>
      </c>
      <c r="J35" s="401"/>
    </row>
    <row r="36" spans="1:14" x14ac:dyDescent="0.25">
      <c r="A36" s="316"/>
      <c r="B36" s="316"/>
      <c r="C36" s="316"/>
      <c r="D36" s="316"/>
      <c r="E36" s="316"/>
      <c r="F36" s="316"/>
      <c r="H36" s="455"/>
      <c r="I36" s="402" t="s">
        <v>291</v>
      </c>
      <c r="J36" s="403"/>
    </row>
    <row r="37" spans="1:14" x14ac:dyDescent="0.25">
      <c r="A37" s="316"/>
      <c r="B37" s="316"/>
      <c r="C37" s="316"/>
      <c r="D37" s="316"/>
      <c r="E37" s="326"/>
      <c r="F37" s="326"/>
      <c r="G37" s="63"/>
      <c r="H37" s="321"/>
      <c r="I37" s="321"/>
    </row>
    <row r="38" spans="1:14" x14ac:dyDescent="0.25">
      <c r="A38" s="316"/>
      <c r="B38" s="321" t="s">
        <v>295</v>
      </c>
      <c r="C38" s="316"/>
      <c r="D38" s="321" t="s">
        <v>296</v>
      </c>
      <c r="E38" s="404"/>
      <c r="F38" s="404"/>
    </row>
    <row r="39" spans="1:14" x14ac:dyDescent="0.25">
      <c r="B39" s="316" t="s">
        <v>32</v>
      </c>
      <c r="C39" s="316"/>
      <c r="D39" s="316" t="s">
        <v>297</v>
      </c>
    </row>
    <row r="41" spans="1:14" x14ac:dyDescent="0.25">
      <c r="B41" s="63"/>
    </row>
  </sheetData>
  <mergeCells count="9">
    <mergeCell ref="B9:F9"/>
    <mergeCell ref="D12:F12"/>
    <mergeCell ref="H35:H36"/>
    <mergeCell ref="A2:F2"/>
    <mergeCell ref="A3:F3"/>
    <mergeCell ref="A4:F4"/>
    <mergeCell ref="A5:F5"/>
    <mergeCell ref="H6:K6"/>
    <mergeCell ref="A7:F7"/>
  </mergeCells>
  <printOptions horizontalCentered="1"/>
  <pageMargins left="0.51181102362204722" right="0.51181102362204722" top="1.1417322834645669" bottom="0.74803149606299213" header="0.31496062992125984" footer="0.31496062992125984"/>
  <pageSetup paperSize="14" scale="9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U77"/>
  <sheetViews>
    <sheetView view="pageBreakPreview" topLeftCell="A16" zoomScale="70" zoomScaleNormal="100" zoomScaleSheetLayoutView="70" workbookViewId="0">
      <pane xSplit="3" topLeftCell="D1" activePane="topRight" state="frozen"/>
      <selection activeCell="I29" sqref="I29"/>
      <selection pane="topRight" activeCell="I29" sqref="I29"/>
    </sheetView>
  </sheetViews>
  <sheetFormatPr defaultRowHeight="15" x14ac:dyDescent="0.25"/>
  <cols>
    <col min="1" max="1" width="13.28515625" customWidth="1"/>
    <col min="2" max="2" width="24.42578125" customWidth="1"/>
    <col min="3" max="3" width="22.5703125" customWidth="1"/>
    <col min="4" max="4" width="11.5703125" style="427" customWidth="1"/>
    <col min="5" max="5" width="6.7109375" customWidth="1"/>
    <col min="6" max="6" width="12.42578125" customWidth="1"/>
    <col min="7" max="7" width="20.42578125" customWidth="1"/>
    <col min="8" max="8" width="9.85546875" customWidth="1"/>
    <col min="9" max="9" width="13.7109375" customWidth="1"/>
    <col min="10" max="11" width="15.42578125" customWidth="1"/>
    <col min="12" max="12" width="11" customWidth="1"/>
    <col min="13" max="13" width="14" customWidth="1"/>
    <col min="14" max="14" width="15.140625" bestFit="1" customWidth="1"/>
    <col min="15" max="15" width="8.7109375" style="1" customWidth="1"/>
    <col min="16" max="16" width="10.28515625" style="1" customWidth="1"/>
    <col min="17" max="17" width="11.7109375" customWidth="1"/>
    <col min="18" max="18" width="11" bestFit="1" customWidth="1"/>
    <col min="19" max="19" width="11.7109375" bestFit="1" customWidth="1"/>
    <col min="20" max="20" width="12.85546875" bestFit="1" customWidth="1"/>
  </cols>
  <sheetData>
    <row r="1" spans="1:21" ht="21" customHeight="1" x14ac:dyDescent="0.25">
      <c r="A1" s="103"/>
      <c r="B1" s="502" t="s">
        <v>96</v>
      </c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</row>
    <row r="2" spans="1:21" x14ac:dyDescent="0.25">
      <c r="A2" s="2"/>
      <c r="C2" s="2"/>
      <c r="D2" s="2"/>
      <c r="E2" s="2"/>
      <c r="F2" s="275" t="s">
        <v>335</v>
      </c>
      <c r="G2" s="441">
        <f>'STEWA (August 30, 2024)'!I9</f>
        <v>45534</v>
      </c>
      <c r="H2" s="2"/>
      <c r="I2" s="2"/>
      <c r="J2" s="2"/>
      <c r="K2" s="2"/>
      <c r="L2" s="2"/>
      <c r="M2" s="2"/>
    </row>
    <row r="3" spans="1:21" x14ac:dyDescent="0.25">
      <c r="A3" s="2"/>
      <c r="B3" s="100"/>
      <c r="C3" s="100"/>
      <c r="D3" s="416"/>
      <c r="E3" s="100"/>
      <c r="F3" s="100"/>
      <c r="G3" s="100"/>
      <c r="H3" s="100"/>
      <c r="I3" s="100"/>
      <c r="J3" s="100"/>
      <c r="K3" s="100"/>
      <c r="L3" s="100"/>
      <c r="M3" s="100"/>
    </row>
    <row r="4" spans="1:21" s="5" customFormat="1" ht="13.15" customHeight="1" x14ac:dyDescent="0.25">
      <c r="A4" s="3" t="s">
        <v>191</v>
      </c>
      <c r="B4" s="4" t="str">
        <f>'STEWA (August 16, 2024)'!I12</f>
        <v>Construction of Multi-Purpose Building Lallo National High School</v>
      </c>
      <c r="C4" s="4"/>
      <c r="D4" s="417"/>
      <c r="E4" s="4"/>
      <c r="F4" s="4"/>
      <c r="G4" s="4"/>
      <c r="H4" s="4"/>
      <c r="I4" s="4"/>
      <c r="J4" s="4"/>
      <c r="K4" s="4"/>
      <c r="L4" s="4"/>
      <c r="M4" s="4"/>
      <c r="N4"/>
      <c r="O4" s="1"/>
      <c r="P4" s="1"/>
      <c r="Q4"/>
    </row>
    <row r="5" spans="1:21" s="5" customFormat="1" ht="13.15" customHeight="1" x14ac:dyDescent="0.25">
      <c r="A5" s="275" t="s">
        <v>192</v>
      </c>
      <c r="B5" s="6" t="str">
        <f>'STEWA (August 16, 2024)'!I13</f>
        <v>Lallo, Cagayan</v>
      </c>
      <c r="C5" s="6"/>
      <c r="D5" s="418"/>
      <c r="E5" s="6"/>
      <c r="F5" s="6"/>
      <c r="G5" s="6"/>
      <c r="H5" s="6"/>
      <c r="I5" s="6"/>
      <c r="J5" s="6"/>
      <c r="K5" s="6"/>
      <c r="L5" s="6"/>
      <c r="M5" s="6"/>
      <c r="N5"/>
      <c r="O5" s="1"/>
      <c r="P5" s="1"/>
      <c r="Q5"/>
    </row>
    <row r="6" spans="1:21" s="5" customFormat="1" ht="13.15" customHeight="1" thickBot="1" x14ac:dyDescent="0.3">
      <c r="A6" s="2"/>
      <c r="B6" s="100"/>
      <c r="C6" s="100"/>
      <c r="D6" s="416"/>
      <c r="E6" s="100"/>
      <c r="F6" s="100"/>
      <c r="G6" s="100"/>
      <c r="H6" s="100"/>
      <c r="I6" s="100"/>
      <c r="J6" s="100"/>
      <c r="K6" s="100"/>
      <c r="L6" s="100"/>
      <c r="M6" s="100"/>
      <c r="N6"/>
      <c r="O6" s="1"/>
      <c r="P6" s="1"/>
    </row>
    <row r="7" spans="1:21" s="5" customFormat="1" ht="13.15" customHeight="1" thickBot="1" x14ac:dyDescent="0.3">
      <c r="A7" s="8" t="s">
        <v>0</v>
      </c>
      <c r="B7" s="484" t="s">
        <v>1</v>
      </c>
      <c r="C7" s="485"/>
      <c r="D7" s="488" t="s">
        <v>2</v>
      </c>
      <c r="E7" s="489"/>
      <c r="F7" s="101" t="s">
        <v>3</v>
      </c>
      <c r="G7" s="101" t="s">
        <v>4</v>
      </c>
      <c r="H7" s="9" t="s">
        <v>5</v>
      </c>
      <c r="I7" s="490" t="s">
        <v>6</v>
      </c>
      <c r="J7" s="491"/>
      <c r="K7" s="492"/>
      <c r="L7" s="101" t="s">
        <v>5</v>
      </c>
      <c r="M7" s="10" t="s">
        <v>7</v>
      </c>
      <c r="N7"/>
      <c r="O7" s="1"/>
      <c r="P7" s="442">
        <v>802</v>
      </c>
      <c r="Q7" s="443" t="s">
        <v>309</v>
      </c>
    </row>
    <row r="8" spans="1:21" s="5" customFormat="1" ht="13.15" customHeight="1" x14ac:dyDescent="0.25">
      <c r="A8" s="12" t="s">
        <v>8</v>
      </c>
      <c r="B8" s="486"/>
      <c r="C8" s="487"/>
      <c r="D8" s="493" t="s">
        <v>9</v>
      </c>
      <c r="E8" s="494"/>
      <c r="F8" s="102" t="s">
        <v>10</v>
      </c>
      <c r="G8" s="102" t="s">
        <v>11</v>
      </c>
      <c r="H8" s="13" t="s">
        <v>12</v>
      </c>
      <c r="I8" s="14" t="s">
        <v>13</v>
      </c>
      <c r="J8" s="16" t="s">
        <v>14</v>
      </c>
      <c r="K8" s="16" t="s">
        <v>15</v>
      </c>
      <c r="L8" s="102" t="s">
        <v>12</v>
      </c>
      <c r="M8" s="17" t="s">
        <v>16</v>
      </c>
      <c r="N8" s="131" t="e">
        <f>#REF!/6.1</f>
        <v>#REF!</v>
      </c>
      <c r="O8" s="1"/>
      <c r="P8" s="1" t="s">
        <v>336</v>
      </c>
      <c r="Q8" s="5" t="s">
        <v>337</v>
      </c>
      <c r="R8" s="5" t="s">
        <v>338</v>
      </c>
      <c r="S8" s="5" t="s">
        <v>340</v>
      </c>
      <c r="T8" s="5" t="s">
        <v>339</v>
      </c>
      <c r="U8" s="5" t="s">
        <v>130</v>
      </c>
    </row>
    <row r="9" spans="1:21" s="5" customFormat="1" ht="13.15" customHeight="1" x14ac:dyDescent="0.25">
      <c r="A9" s="18"/>
      <c r="B9" s="19"/>
      <c r="C9" s="20"/>
      <c r="D9" s="495" t="s">
        <v>17</v>
      </c>
      <c r="E9" s="496"/>
      <c r="F9" s="496"/>
      <c r="G9" s="496"/>
      <c r="H9" s="21"/>
      <c r="I9" s="22"/>
      <c r="J9" s="22"/>
      <c r="K9" s="23"/>
      <c r="L9" s="24"/>
      <c r="M9" s="25"/>
      <c r="N9">
        <v>650</v>
      </c>
      <c r="O9" s="1"/>
      <c r="P9" s="1">
        <v>1.5</v>
      </c>
      <c r="Q9" s="444">
        <v>1.5</v>
      </c>
      <c r="R9" s="444">
        <v>1.5</v>
      </c>
      <c r="S9" s="26">
        <v>4</v>
      </c>
      <c r="T9" s="445">
        <f>P9*Q9*R9*S9</f>
        <v>13.5</v>
      </c>
      <c r="U9" s="5" t="str">
        <f>E15</f>
        <v>cu.m</v>
      </c>
    </row>
    <row r="10" spans="1:21" s="5" customFormat="1" ht="13.15" customHeight="1" thickBot="1" x14ac:dyDescent="0.3">
      <c r="A10" s="277" t="s">
        <v>201</v>
      </c>
      <c r="B10" s="278" t="s">
        <v>199</v>
      </c>
      <c r="C10" s="279"/>
      <c r="D10" s="419"/>
      <c r="E10" s="281"/>
      <c r="F10" s="282"/>
      <c r="G10" s="283"/>
      <c r="H10" s="284"/>
      <c r="I10" s="285"/>
      <c r="J10" s="286"/>
      <c r="K10" s="285"/>
      <c r="L10" s="287"/>
      <c r="M10" s="288"/>
      <c r="N10"/>
      <c r="O10" s="1"/>
      <c r="P10" s="1"/>
      <c r="Q10" s="26"/>
      <c r="R10" s="27"/>
      <c r="S10" s="26"/>
    </row>
    <row r="11" spans="1:21" s="5" customFormat="1" ht="13.15" customHeight="1" thickBot="1" x14ac:dyDescent="0.3">
      <c r="A11" s="122" t="s">
        <v>200</v>
      </c>
      <c r="B11" s="29" t="s">
        <v>299</v>
      </c>
      <c r="C11" s="30"/>
      <c r="D11" s="420">
        <v>2</v>
      </c>
      <c r="E11" s="32" t="s">
        <v>36</v>
      </c>
      <c r="F11" s="104">
        <v>14849.21</v>
      </c>
      <c r="G11" s="33">
        <f>ROUND(F11*D11,2)</f>
        <v>29698.42</v>
      </c>
      <c r="H11" s="37">
        <f>ROUND((G11/$G$31),5)</f>
        <v>7.4400000000000004E-3</v>
      </c>
      <c r="I11" s="430" t="e">
        <f>#REF!</f>
        <v>#REF!</v>
      </c>
      <c r="J11" s="430" t="e">
        <f>K11-I11</f>
        <v>#REF!</v>
      </c>
      <c r="K11" s="430">
        <v>0</v>
      </c>
      <c r="L11" s="431">
        <f>ROUND(K11/$G$31,5)</f>
        <v>0</v>
      </c>
      <c r="M11" s="38" t="str">
        <f>IF(L11=H11,"COMPLETED",IF(L11=0,"Not Yet Started","On going"))</f>
        <v>Not Yet Started</v>
      </c>
      <c r="N11" t="e">
        <f>(J11/G11)*D11</f>
        <v>#REF!</v>
      </c>
      <c r="O11" s="1"/>
      <c r="P11" s="446" t="s">
        <v>321</v>
      </c>
      <c r="Q11" s="443" t="s">
        <v>311</v>
      </c>
      <c r="R11" s="450"/>
      <c r="S11" s="26"/>
    </row>
    <row r="12" spans="1:21" s="5" customFormat="1" ht="13.15" customHeight="1" x14ac:dyDescent="0.25">
      <c r="A12" s="122" t="s">
        <v>99</v>
      </c>
      <c r="B12" s="29" t="s">
        <v>111</v>
      </c>
      <c r="C12" s="30"/>
      <c r="D12" s="421">
        <v>1</v>
      </c>
      <c r="E12" s="32" t="s">
        <v>242</v>
      </c>
      <c r="F12" s="104">
        <v>52524.01</v>
      </c>
      <c r="G12" s="33">
        <f>F12</f>
        <v>52524.01</v>
      </c>
      <c r="H12" s="37">
        <f>ROUND((G12/$G$31),5)</f>
        <v>1.316E-2</v>
      </c>
      <c r="I12" s="430" t="e">
        <f>#REF!</f>
        <v>#REF!</v>
      </c>
      <c r="J12" s="430" t="e">
        <f>K12-I12</f>
        <v>#REF!</v>
      </c>
      <c r="K12" s="430">
        <f>(10/210)*G12</f>
        <v>2501.1433333333334</v>
      </c>
      <c r="L12" s="431">
        <f>ROUND(K12/$G$31,5)</f>
        <v>6.3000000000000003E-4</v>
      </c>
      <c r="M12" s="38" t="str">
        <f>IF(L12=H12,"COMPLETED",IF(L12=0,"Not Yet Started","On going"))</f>
        <v>On going</v>
      </c>
      <c r="N12" t="e">
        <f>(J12/G12)*D12</f>
        <v>#REF!</v>
      </c>
      <c r="O12" s="1"/>
      <c r="P12" s="1" t="s">
        <v>336</v>
      </c>
      <c r="Q12" s="5" t="s">
        <v>337</v>
      </c>
      <c r="R12" s="5" t="s">
        <v>341</v>
      </c>
      <c r="S12" s="5" t="s">
        <v>340</v>
      </c>
      <c r="T12" s="5" t="s">
        <v>339</v>
      </c>
      <c r="U12" s="5" t="s">
        <v>130</v>
      </c>
    </row>
    <row r="13" spans="1:21" s="5" customFormat="1" ht="13.15" customHeight="1" x14ac:dyDescent="0.25">
      <c r="A13" s="122" t="s">
        <v>100</v>
      </c>
      <c r="B13" s="29" t="s">
        <v>102</v>
      </c>
      <c r="C13" s="30"/>
      <c r="D13" s="421">
        <v>1</v>
      </c>
      <c r="E13" s="32" t="s">
        <v>242</v>
      </c>
      <c r="F13" s="104">
        <v>31020.38</v>
      </c>
      <c r="G13" s="33">
        <f>F13</f>
        <v>31020.38</v>
      </c>
      <c r="H13" s="37">
        <f>ROUND((G13/$G$31),5)</f>
        <v>7.77E-3</v>
      </c>
      <c r="I13" s="430" t="e">
        <f>#REF!</f>
        <v>#REF!</v>
      </c>
      <c r="J13" s="430" t="e">
        <f>K13-I13</f>
        <v>#REF!</v>
      </c>
      <c r="K13" s="430">
        <f>0.5*G13</f>
        <v>15510.19</v>
      </c>
      <c r="L13" s="431">
        <f>ROUND(K13/$G$31,5)</f>
        <v>3.8899999999999998E-3</v>
      </c>
      <c r="M13" s="38" t="str">
        <f>IF(L13=H13,"COMPLETED",IF(L13=0,"Not Yet Started","On going"))</f>
        <v>On going</v>
      </c>
      <c r="N13" t="e">
        <f t="shared" ref="N13:N29" si="0">(J13/G13)*D13</f>
        <v>#REF!</v>
      </c>
      <c r="O13" s="1"/>
      <c r="P13" s="1">
        <v>1.5</v>
      </c>
      <c r="Q13" s="444">
        <v>1.5</v>
      </c>
      <c r="R13" s="444">
        <v>0.1</v>
      </c>
      <c r="S13" s="26"/>
      <c r="T13" s="445">
        <f>P13*Q13*R13*S13</f>
        <v>0</v>
      </c>
      <c r="U13" s="5" t="str">
        <f>E19</f>
        <v>cu.m</v>
      </c>
    </row>
    <row r="14" spans="1:21" s="5" customFormat="1" ht="13.15" customHeight="1" thickBot="1" x14ac:dyDescent="0.3">
      <c r="A14" s="299" t="s">
        <v>214</v>
      </c>
      <c r="B14" s="505" t="s">
        <v>314</v>
      </c>
      <c r="C14" s="506"/>
      <c r="D14" s="422"/>
      <c r="E14" s="301"/>
      <c r="F14" s="302"/>
      <c r="G14" s="303"/>
      <c r="H14" s="304"/>
      <c r="I14" s="434"/>
      <c r="J14" s="434"/>
      <c r="K14" s="433"/>
      <c r="L14" s="435"/>
      <c r="M14" s="436"/>
      <c r="N14"/>
      <c r="O14" s="1"/>
      <c r="P14" s="1"/>
      <c r="Q14" s="26"/>
      <c r="R14" s="27"/>
      <c r="S14" s="26"/>
    </row>
    <row r="15" spans="1:21" s="5" customFormat="1" ht="13.15" customHeight="1" thickBot="1" x14ac:dyDescent="0.3">
      <c r="A15" s="415">
        <v>802</v>
      </c>
      <c r="B15" s="413" t="s">
        <v>309</v>
      </c>
      <c r="C15" s="414"/>
      <c r="D15" s="420">
        <v>92.65</v>
      </c>
      <c r="E15" s="32" t="s">
        <v>103</v>
      </c>
      <c r="F15" s="104">
        <v>221.94</v>
      </c>
      <c r="G15" s="33">
        <f t="shared" ref="G15:G29" si="1">ROUND(F15*D15,2)</f>
        <v>20562.740000000002</v>
      </c>
      <c r="H15" s="37">
        <f t="shared" ref="H15:H29" si="2">ROUND((G15/$G$31),5)</f>
        <v>5.1500000000000001E-3</v>
      </c>
      <c r="I15" s="430" t="e">
        <f>#REF!</f>
        <v>#REF!</v>
      </c>
      <c r="J15" s="430">
        <f>T9*F15</f>
        <v>2996.19</v>
      </c>
      <c r="K15" s="430">
        <f>G15*0.4</f>
        <v>8225.0960000000014</v>
      </c>
      <c r="L15" s="431">
        <f>ROUND(K15/$G$31,5)</f>
        <v>2.0600000000000002E-3</v>
      </c>
      <c r="M15" s="38" t="str">
        <f>IF(L15=H15,"COMPLETED",IF(L15=0,"Not Yet Started","On going"))</f>
        <v>On going</v>
      </c>
      <c r="N15">
        <f t="shared" si="0"/>
        <v>13.500000656527293</v>
      </c>
      <c r="O15" s="1"/>
      <c r="P15" s="446" t="s">
        <v>325</v>
      </c>
      <c r="Q15" s="447" t="s">
        <v>330</v>
      </c>
      <c r="R15" s="448"/>
      <c r="S15" s="449"/>
    </row>
    <row r="16" spans="1:21" s="5" customFormat="1" ht="13.15" customHeight="1" x14ac:dyDescent="0.25">
      <c r="A16" s="415" t="s">
        <v>320</v>
      </c>
      <c r="B16" s="413" t="s">
        <v>310</v>
      </c>
      <c r="C16" s="414"/>
      <c r="D16" s="420">
        <v>32.4</v>
      </c>
      <c r="E16" s="32" t="s">
        <v>103</v>
      </c>
      <c r="F16" s="104">
        <v>55.17</v>
      </c>
      <c r="G16" s="33">
        <f t="shared" si="1"/>
        <v>1787.51</v>
      </c>
      <c r="H16" s="37">
        <f t="shared" si="2"/>
        <v>4.4999999999999999E-4</v>
      </c>
      <c r="I16" s="430" t="e">
        <f>#REF!</f>
        <v>#REF!</v>
      </c>
      <c r="J16" s="430" t="e">
        <f t="shared" ref="J16:J29" si="3">K16-I16</f>
        <v>#REF!</v>
      </c>
      <c r="K16" s="430">
        <v>0</v>
      </c>
      <c r="L16" s="431">
        <f>ROUND(K16/$G$31,5)</f>
        <v>0</v>
      </c>
      <c r="M16" s="38" t="str">
        <f t="shared" ref="M16:M29" si="4">IF(L16=H16,"COMPLETED",IF(L16=0,"Not Yet Started","On going"))</f>
        <v>Not Yet Started</v>
      </c>
      <c r="N16" t="e">
        <f t="shared" si="0"/>
        <v>#REF!</v>
      </c>
      <c r="O16" s="1"/>
      <c r="P16" s="1" t="s">
        <v>336</v>
      </c>
      <c r="Q16" s="5" t="s">
        <v>337</v>
      </c>
      <c r="R16" s="5" t="s">
        <v>341</v>
      </c>
      <c r="S16" s="5" t="s">
        <v>340</v>
      </c>
      <c r="T16" s="5" t="s">
        <v>339</v>
      </c>
      <c r="U16" s="5" t="s">
        <v>130</v>
      </c>
    </row>
    <row r="17" spans="1:21" s="5" customFormat="1" ht="13.15" customHeight="1" x14ac:dyDescent="0.25">
      <c r="A17" s="122" t="s">
        <v>321</v>
      </c>
      <c r="B17" s="413" t="s">
        <v>311</v>
      </c>
      <c r="C17" s="30"/>
      <c r="D17" s="420">
        <v>54.66</v>
      </c>
      <c r="E17" s="32" t="s">
        <v>103</v>
      </c>
      <c r="F17" s="104">
        <v>813.59</v>
      </c>
      <c r="G17" s="33">
        <f t="shared" si="1"/>
        <v>44470.83</v>
      </c>
      <c r="H17" s="37">
        <f t="shared" si="2"/>
        <v>1.1140000000000001E-2</v>
      </c>
      <c r="I17" s="430" t="e">
        <f>#REF!</f>
        <v>#REF!</v>
      </c>
      <c r="J17" s="430">
        <f>T13*F17</f>
        <v>0</v>
      </c>
      <c r="K17" s="430"/>
      <c r="L17" s="431">
        <f>ROUND(K17/$G$31,5)</f>
        <v>0</v>
      </c>
      <c r="M17" s="38" t="str">
        <f t="shared" si="4"/>
        <v>Not Yet Started</v>
      </c>
      <c r="N17">
        <f>(J17/G17)*D17</f>
        <v>0</v>
      </c>
      <c r="O17" s="1"/>
      <c r="P17" s="1">
        <v>1.5</v>
      </c>
      <c r="Q17" s="444">
        <v>1.5</v>
      </c>
      <c r="R17" s="444">
        <v>0.35</v>
      </c>
      <c r="S17" s="26"/>
      <c r="T17" s="445">
        <f>P17*Q17*R17*S17</f>
        <v>0</v>
      </c>
      <c r="U17" s="5" t="str">
        <f>E23</f>
        <v>sq.m.</v>
      </c>
    </row>
    <row r="18" spans="1:21" s="5" customFormat="1" ht="13.15" customHeight="1" x14ac:dyDescent="0.25">
      <c r="A18" s="122" t="s">
        <v>325</v>
      </c>
      <c r="B18" s="413" t="s">
        <v>330</v>
      </c>
      <c r="C18" s="30"/>
      <c r="D18" s="420">
        <v>9.4499999999999993</v>
      </c>
      <c r="E18" s="32" t="s">
        <v>103</v>
      </c>
      <c r="F18" s="104">
        <v>16311.68</v>
      </c>
      <c r="G18" s="33">
        <f t="shared" si="1"/>
        <v>154145.38</v>
      </c>
      <c r="H18" s="37">
        <f t="shared" si="2"/>
        <v>3.8620000000000002E-2</v>
      </c>
      <c r="I18" s="430" t="e">
        <f>#REF!</f>
        <v>#REF!</v>
      </c>
      <c r="J18" s="430">
        <f>T17*F18</f>
        <v>0</v>
      </c>
      <c r="K18" s="430"/>
      <c r="L18" s="431">
        <f>ROUND(K18/$G$31,5)</f>
        <v>0</v>
      </c>
      <c r="M18" s="38" t="str">
        <f t="shared" si="4"/>
        <v>Not Yet Started</v>
      </c>
      <c r="N18">
        <f t="shared" si="0"/>
        <v>0</v>
      </c>
      <c r="O18" s="1"/>
      <c r="P18" s="1"/>
      <c r="Q18" s="26"/>
      <c r="R18" s="27"/>
      <c r="S18" s="26"/>
    </row>
    <row r="19" spans="1:21" s="5" customFormat="1" ht="13.15" customHeight="1" x14ac:dyDescent="0.25">
      <c r="A19" s="122" t="s">
        <v>326</v>
      </c>
      <c r="B19" s="413" t="s">
        <v>331</v>
      </c>
      <c r="C19" s="30"/>
      <c r="D19" s="420">
        <v>3.12</v>
      </c>
      <c r="E19" s="32" t="s">
        <v>103</v>
      </c>
      <c r="F19" s="104">
        <v>17371.060000000001</v>
      </c>
      <c r="G19" s="33">
        <f t="shared" si="1"/>
        <v>54197.71</v>
      </c>
      <c r="H19" s="37">
        <f t="shared" si="2"/>
        <v>1.358E-2</v>
      </c>
      <c r="I19" s="430" t="e">
        <f>#REF!</f>
        <v>#REF!</v>
      </c>
      <c r="J19" s="430" t="e">
        <f t="shared" si="3"/>
        <v>#REF!</v>
      </c>
      <c r="K19" s="430">
        <v>0</v>
      </c>
      <c r="L19" s="431">
        <f t="shared" ref="L19:L28" si="5">ROUND(K19/$G$31,5)</f>
        <v>0</v>
      </c>
      <c r="M19" s="38" t="str">
        <f t="shared" si="4"/>
        <v>Not Yet Started</v>
      </c>
      <c r="N19" t="e">
        <f t="shared" si="0"/>
        <v>#REF!</v>
      </c>
      <c r="O19" s="1"/>
      <c r="P19" s="1"/>
      <c r="Q19" s="26"/>
      <c r="R19" s="27"/>
      <c r="S19" s="26"/>
    </row>
    <row r="20" spans="1:21" s="5" customFormat="1" ht="13.15" customHeight="1" x14ac:dyDescent="0.25">
      <c r="A20" s="122" t="s">
        <v>327</v>
      </c>
      <c r="B20" s="413" t="s">
        <v>332</v>
      </c>
      <c r="C20" s="30"/>
      <c r="D20" s="420">
        <v>16.32</v>
      </c>
      <c r="E20" s="32" t="s">
        <v>103</v>
      </c>
      <c r="F20" s="104">
        <v>22958.55</v>
      </c>
      <c r="G20" s="33">
        <f t="shared" si="1"/>
        <v>374683.54</v>
      </c>
      <c r="H20" s="37">
        <f t="shared" si="2"/>
        <v>9.3890000000000001E-2</v>
      </c>
      <c r="I20" s="430" t="e">
        <f>#REF!</f>
        <v>#REF!</v>
      </c>
      <c r="J20" s="430" t="e">
        <f t="shared" si="3"/>
        <v>#REF!</v>
      </c>
      <c r="K20" s="430">
        <v>0</v>
      </c>
      <c r="L20" s="431">
        <f t="shared" si="5"/>
        <v>0</v>
      </c>
      <c r="M20" s="38" t="str">
        <f t="shared" si="4"/>
        <v>Not Yet Started</v>
      </c>
      <c r="N20" t="e">
        <f t="shared" si="0"/>
        <v>#REF!</v>
      </c>
      <c r="O20" s="1"/>
      <c r="P20" s="1"/>
      <c r="Q20" s="26"/>
      <c r="R20" s="27"/>
      <c r="S20" s="26"/>
    </row>
    <row r="21" spans="1:21" s="5" customFormat="1" ht="13.15" customHeight="1" x14ac:dyDescent="0.25">
      <c r="A21" s="122" t="s">
        <v>328</v>
      </c>
      <c r="B21" s="413" t="s">
        <v>333</v>
      </c>
      <c r="C21" s="30"/>
      <c r="D21" s="420">
        <v>5.6</v>
      </c>
      <c r="E21" s="32" t="s">
        <v>103</v>
      </c>
      <c r="F21" s="104">
        <v>26671.53</v>
      </c>
      <c r="G21" s="33">
        <f t="shared" si="1"/>
        <v>149360.57</v>
      </c>
      <c r="H21" s="37">
        <f t="shared" si="2"/>
        <v>3.7429999999999998E-2</v>
      </c>
      <c r="I21" s="430" t="e">
        <f>#REF!</f>
        <v>#REF!</v>
      </c>
      <c r="J21" s="430" t="e">
        <f t="shared" si="3"/>
        <v>#REF!</v>
      </c>
      <c r="K21" s="430">
        <v>0</v>
      </c>
      <c r="L21" s="431">
        <f t="shared" si="5"/>
        <v>0</v>
      </c>
      <c r="M21" s="38" t="str">
        <f t="shared" si="4"/>
        <v>Not Yet Started</v>
      </c>
      <c r="N21" t="e">
        <f t="shared" si="0"/>
        <v>#REF!</v>
      </c>
      <c r="O21" s="1"/>
      <c r="P21" s="1"/>
      <c r="Q21" s="26"/>
      <c r="R21" s="27"/>
      <c r="S21" s="26"/>
    </row>
    <row r="22" spans="1:21" s="5" customFormat="1" ht="13.15" customHeight="1" x14ac:dyDescent="0.25">
      <c r="A22" s="122" t="s">
        <v>329</v>
      </c>
      <c r="B22" s="413" t="s">
        <v>334</v>
      </c>
      <c r="C22" s="30"/>
      <c r="D22" s="420">
        <v>50.4</v>
      </c>
      <c r="E22" s="32" t="s">
        <v>103</v>
      </c>
      <c r="F22" s="104">
        <v>9441</v>
      </c>
      <c r="G22" s="33">
        <f t="shared" si="1"/>
        <v>475826.4</v>
      </c>
      <c r="H22" s="37">
        <f t="shared" si="2"/>
        <v>0.11923</v>
      </c>
      <c r="I22" s="430" t="e">
        <f>#REF!</f>
        <v>#REF!</v>
      </c>
      <c r="J22" s="430" t="e">
        <f t="shared" si="3"/>
        <v>#REF!</v>
      </c>
      <c r="K22" s="430">
        <v>0</v>
      </c>
      <c r="L22" s="431">
        <f t="shared" si="5"/>
        <v>0</v>
      </c>
      <c r="M22" s="38" t="str">
        <f t="shared" si="4"/>
        <v>Not Yet Started</v>
      </c>
      <c r="N22" t="e">
        <f t="shared" si="0"/>
        <v>#REF!</v>
      </c>
      <c r="O22" s="1"/>
      <c r="P22" s="1"/>
      <c r="Q22" s="26"/>
      <c r="R22" s="27"/>
      <c r="S22" s="26"/>
    </row>
    <row r="23" spans="1:21" s="5" customFormat="1" ht="13.15" customHeight="1" x14ac:dyDescent="0.25">
      <c r="A23" s="122">
        <v>903</v>
      </c>
      <c r="B23" s="413" t="s">
        <v>312</v>
      </c>
      <c r="C23" s="30"/>
      <c r="D23" s="420">
        <v>108</v>
      </c>
      <c r="E23" s="32" t="s">
        <v>35</v>
      </c>
      <c r="F23" s="104">
        <v>3583.04</v>
      </c>
      <c r="G23" s="33">
        <f t="shared" si="1"/>
        <v>386968.32000000001</v>
      </c>
      <c r="H23" s="37">
        <f t="shared" si="2"/>
        <v>9.6960000000000005E-2</v>
      </c>
      <c r="I23" s="430" t="e">
        <f>#REF!</f>
        <v>#REF!</v>
      </c>
      <c r="J23" s="430" t="e">
        <f t="shared" si="3"/>
        <v>#REF!</v>
      </c>
      <c r="K23" s="430"/>
      <c r="L23" s="431">
        <f t="shared" si="5"/>
        <v>0</v>
      </c>
      <c r="M23" s="38" t="str">
        <f t="shared" si="4"/>
        <v>Not Yet Started</v>
      </c>
      <c r="N23" t="e">
        <f t="shared" si="0"/>
        <v>#REF!</v>
      </c>
      <c r="O23" s="1"/>
      <c r="P23" s="1"/>
      <c r="Q23" s="26"/>
      <c r="R23" s="27"/>
      <c r="S23" s="26"/>
    </row>
    <row r="24" spans="1:21" s="5" customFormat="1" ht="13.15" customHeight="1" x14ac:dyDescent="0.25">
      <c r="A24" s="122">
        <v>1046</v>
      </c>
      <c r="B24" s="413" t="s">
        <v>313</v>
      </c>
      <c r="C24" s="30"/>
      <c r="D24" s="420">
        <v>36.799999999999997</v>
      </c>
      <c r="E24" s="32" t="s">
        <v>35</v>
      </c>
      <c r="F24" s="104">
        <v>968.36</v>
      </c>
      <c r="G24" s="33">
        <f t="shared" si="1"/>
        <v>35635.65</v>
      </c>
      <c r="H24" s="37">
        <f t="shared" si="2"/>
        <v>8.9300000000000004E-3</v>
      </c>
      <c r="I24" s="430" t="e">
        <f>#REF!</f>
        <v>#REF!</v>
      </c>
      <c r="J24" s="430" t="e">
        <f t="shared" si="3"/>
        <v>#REF!</v>
      </c>
      <c r="K24" s="430"/>
      <c r="L24" s="431">
        <f t="shared" si="5"/>
        <v>0</v>
      </c>
      <c r="M24" s="38" t="str">
        <f t="shared" si="4"/>
        <v>Not Yet Started</v>
      </c>
      <c r="N24" t="e">
        <f t="shared" si="0"/>
        <v>#REF!</v>
      </c>
      <c r="O24" s="1"/>
      <c r="P24" s="1"/>
      <c r="Q24" s="26"/>
      <c r="R24" s="27"/>
      <c r="S24" s="26"/>
    </row>
    <row r="25" spans="1:21" s="5" customFormat="1" ht="13.15" customHeight="1" x14ac:dyDescent="0.25">
      <c r="A25" s="122">
        <v>1027</v>
      </c>
      <c r="B25" s="413" t="s">
        <v>315</v>
      </c>
      <c r="C25" s="30"/>
      <c r="D25" s="420">
        <v>212.76</v>
      </c>
      <c r="E25" s="32" t="s">
        <v>35</v>
      </c>
      <c r="F25" s="104">
        <v>55.61</v>
      </c>
      <c r="G25" s="33">
        <f t="shared" si="1"/>
        <v>11831.58</v>
      </c>
      <c r="H25" s="37">
        <f t="shared" si="2"/>
        <v>2.96E-3</v>
      </c>
      <c r="I25" s="430" t="e">
        <f>#REF!</f>
        <v>#REF!</v>
      </c>
      <c r="J25" s="430" t="e">
        <f t="shared" si="3"/>
        <v>#REF!</v>
      </c>
      <c r="K25" s="430"/>
      <c r="L25" s="431">
        <f t="shared" si="5"/>
        <v>0</v>
      </c>
      <c r="M25" s="38" t="str">
        <f t="shared" si="4"/>
        <v>Not Yet Started</v>
      </c>
      <c r="N25" t="e">
        <f t="shared" si="0"/>
        <v>#REF!</v>
      </c>
      <c r="O25" s="1"/>
      <c r="P25" s="1"/>
      <c r="Q25" s="26"/>
      <c r="R25" s="27"/>
      <c r="S25" s="26"/>
    </row>
    <row r="26" spans="1:21" s="5" customFormat="1" ht="13.15" customHeight="1" x14ac:dyDescent="0.25">
      <c r="A26" s="122">
        <v>1032</v>
      </c>
      <c r="B26" s="413" t="s">
        <v>316</v>
      </c>
      <c r="C26" s="30"/>
      <c r="D26" s="420">
        <v>194.36</v>
      </c>
      <c r="E26" s="32" t="s">
        <v>35</v>
      </c>
      <c r="F26" s="104">
        <v>358.8</v>
      </c>
      <c r="G26" s="33">
        <f t="shared" si="1"/>
        <v>69736.37</v>
      </c>
      <c r="H26" s="37">
        <f t="shared" si="2"/>
        <v>1.7469999999999999E-2</v>
      </c>
      <c r="I26" s="430" t="e">
        <f>#REF!</f>
        <v>#REF!</v>
      </c>
      <c r="J26" s="430" t="e">
        <f t="shared" si="3"/>
        <v>#REF!</v>
      </c>
      <c r="K26" s="430">
        <v>0</v>
      </c>
      <c r="L26" s="431">
        <f t="shared" si="5"/>
        <v>0</v>
      </c>
      <c r="M26" s="38" t="str">
        <f t="shared" si="4"/>
        <v>Not Yet Started</v>
      </c>
      <c r="N26" t="e">
        <f t="shared" si="0"/>
        <v>#REF!</v>
      </c>
      <c r="O26" s="1"/>
      <c r="P26" s="1"/>
      <c r="Q26" s="26"/>
      <c r="R26" s="27"/>
      <c r="S26" s="26"/>
    </row>
    <row r="27" spans="1:21" s="5" customFormat="1" ht="13.15" customHeight="1" x14ac:dyDescent="0.25">
      <c r="A27" s="122">
        <v>1047</v>
      </c>
      <c r="B27" s="413" t="s">
        <v>317</v>
      </c>
      <c r="C27" s="30"/>
      <c r="D27" s="420">
        <v>16113.92</v>
      </c>
      <c r="E27" s="32" t="s">
        <v>308</v>
      </c>
      <c r="F27" s="104">
        <v>90.41</v>
      </c>
      <c r="G27" s="33">
        <f t="shared" si="1"/>
        <v>1456859.51</v>
      </c>
      <c r="H27" s="37">
        <f t="shared" si="2"/>
        <v>0.36504999999999999</v>
      </c>
      <c r="I27" s="430" t="e">
        <f>#REF!</f>
        <v>#REF!</v>
      </c>
      <c r="J27" s="430" t="e">
        <f t="shared" si="3"/>
        <v>#REF!</v>
      </c>
      <c r="K27" s="430"/>
      <c r="L27" s="431">
        <f t="shared" si="5"/>
        <v>0</v>
      </c>
      <c r="M27" s="38" t="str">
        <f t="shared" si="4"/>
        <v>Not Yet Started</v>
      </c>
      <c r="N27" t="e">
        <f t="shared" si="0"/>
        <v>#REF!</v>
      </c>
      <c r="O27" s="1"/>
      <c r="P27" s="1"/>
      <c r="Q27" s="26"/>
      <c r="R27" s="27"/>
      <c r="S27" s="26"/>
    </row>
    <row r="28" spans="1:21" s="5" customFormat="1" ht="13.15" customHeight="1" x14ac:dyDescent="0.25">
      <c r="A28" s="122" t="s">
        <v>322</v>
      </c>
      <c r="B28" s="413" t="s">
        <v>318</v>
      </c>
      <c r="C28" s="30"/>
      <c r="D28" s="420">
        <v>684</v>
      </c>
      <c r="E28" s="32" t="s">
        <v>35</v>
      </c>
      <c r="F28" s="104">
        <v>793.5</v>
      </c>
      <c r="G28" s="33">
        <f t="shared" si="1"/>
        <v>542754</v>
      </c>
      <c r="H28" s="37">
        <f t="shared" si="2"/>
        <v>0.13600000000000001</v>
      </c>
      <c r="I28" s="430" t="e">
        <f>#REF!</f>
        <v>#REF!</v>
      </c>
      <c r="J28" s="430" t="e">
        <f t="shared" si="3"/>
        <v>#REF!</v>
      </c>
      <c r="K28" s="430">
        <v>0</v>
      </c>
      <c r="L28" s="431">
        <f t="shared" si="5"/>
        <v>0</v>
      </c>
      <c r="M28" s="38" t="str">
        <f t="shared" si="4"/>
        <v>Not Yet Started</v>
      </c>
      <c r="N28" t="e">
        <f t="shared" si="0"/>
        <v>#REF!</v>
      </c>
      <c r="O28" s="1"/>
      <c r="P28" s="1"/>
      <c r="Q28" s="26"/>
      <c r="R28" s="27"/>
      <c r="S28" s="26"/>
    </row>
    <row r="29" spans="1:21" s="5" customFormat="1" ht="13.15" customHeight="1" x14ac:dyDescent="0.25">
      <c r="A29" s="122">
        <v>1103</v>
      </c>
      <c r="B29" s="413" t="s">
        <v>319</v>
      </c>
      <c r="C29" s="30"/>
      <c r="D29" s="420">
        <v>12</v>
      </c>
      <c r="E29" s="32" t="s">
        <v>323</v>
      </c>
      <c r="F29" s="104">
        <v>8231.2099999999991</v>
      </c>
      <c r="G29" s="33">
        <f t="shared" si="1"/>
        <v>98774.52</v>
      </c>
      <c r="H29" s="37">
        <f t="shared" si="2"/>
        <v>2.4750000000000001E-2</v>
      </c>
      <c r="I29" s="430" t="e">
        <f>#REF!</f>
        <v>#REF!</v>
      </c>
      <c r="J29" s="430" t="e">
        <f t="shared" si="3"/>
        <v>#REF!</v>
      </c>
      <c r="K29" s="430"/>
      <c r="L29" s="431">
        <f>ROUND(K29/$G$31,5)</f>
        <v>0</v>
      </c>
      <c r="M29" s="38" t="str">
        <f t="shared" si="4"/>
        <v>Not Yet Started</v>
      </c>
      <c r="N29" t="e">
        <f t="shared" si="0"/>
        <v>#REF!</v>
      </c>
      <c r="O29" s="1"/>
      <c r="P29" s="1"/>
      <c r="Q29" s="26"/>
      <c r="R29" s="27"/>
      <c r="S29" s="26"/>
    </row>
    <row r="30" spans="1:21" s="5" customFormat="1" ht="13.15" customHeight="1" thickBot="1" x14ac:dyDescent="0.3">
      <c r="A30" s="122"/>
      <c r="B30" s="29"/>
      <c r="C30" s="30"/>
      <c r="D30" s="420"/>
      <c r="E30" s="32"/>
      <c r="F30" s="104"/>
      <c r="G30" s="33"/>
      <c r="H30" s="37"/>
      <c r="I30" s="430"/>
      <c r="J30" s="437"/>
      <c r="K30" s="430"/>
      <c r="L30" s="431"/>
      <c r="M30" s="432"/>
      <c r="N30"/>
      <c r="O30" s="1"/>
      <c r="P30" s="1"/>
      <c r="Q30" s="40"/>
      <c r="R30" s="40"/>
      <c r="S30" s="40"/>
    </row>
    <row r="31" spans="1:21" s="5" customFormat="1" ht="13.15" customHeight="1" thickBot="1" x14ac:dyDescent="0.25">
      <c r="A31" s="498" t="s">
        <v>18</v>
      </c>
      <c r="B31" s="499"/>
      <c r="C31" s="499"/>
      <c r="D31" s="499"/>
      <c r="E31" s="499"/>
      <c r="F31" s="43"/>
      <c r="G31" s="44">
        <f>SUM(G10:G30)</f>
        <v>3990837.44</v>
      </c>
      <c r="H31" s="45">
        <f>SUM(H10:H29)</f>
        <v>0.99997999999999998</v>
      </c>
      <c r="I31" s="438"/>
      <c r="J31" s="438" t="e">
        <f>SUM(J10:J30)</f>
        <v>#REF!</v>
      </c>
      <c r="K31" s="438">
        <f>SUM(K10:K30)</f>
        <v>26236.429333333337</v>
      </c>
      <c r="L31" s="439">
        <f>SUM(L10:L29)</f>
        <v>6.5799999999999999E-3</v>
      </c>
      <c r="M31" s="440"/>
      <c r="N31" s="47"/>
      <c r="O31" s="1"/>
      <c r="P31" s="1"/>
      <c r="Q31" s="48"/>
      <c r="R31" s="49"/>
      <c r="S31" s="40"/>
      <c r="T31" s="40"/>
    </row>
    <row r="32" spans="1:21" s="5" customFormat="1" ht="13.15" customHeight="1" x14ac:dyDescent="0.2">
      <c r="A32" s="50"/>
      <c r="B32" s="50"/>
      <c r="C32" s="50"/>
      <c r="D32" s="423"/>
      <c r="E32" s="50"/>
      <c r="F32" s="51"/>
      <c r="G32" s="51"/>
      <c r="H32" s="52"/>
      <c r="I32" s="51"/>
      <c r="J32" s="51"/>
      <c r="K32" s="51"/>
      <c r="L32" s="51"/>
      <c r="M32" s="53"/>
      <c r="O32" s="1"/>
      <c r="P32" s="1"/>
      <c r="Q32" s="40"/>
    </row>
    <row r="33" spans="1:19" s="5" customFormat="1" ht="13.15" customHeight="1" x14ac:dyDescent="0.2">
      <c r="A33" s="53"/>
      <c r="B33" s="53"/>
      <c r="C33" s="53"/>
      <c r="D33" s="424"/>
      <c r="E33" s="53"/>
      <c r="F33" s="51"/>
      <c r="G33" s="51"/>
      <c r="H33" s="51"/>
      <c r="I33" s="53"/>
      <c r="J33" s="53"/>
      <c r="K33" s="53"/>
      <c r="L33" s="53"/>
      <c r="M33" s="53"/>
      <c r="O33" s="1"/>
      <c r="P33" s="1"/>
      <c r="Q33" s="40"/>
    </row>
    <row r="34" spans="1:19" s="5" customFormat="1" ht="13.15" customHeight="1" x14ac:dyDescent="0.25">
      <c r="A34" s="53"/>
      <c r="B34" s="53"/>
      <c r="C34" s="53"/>
      <c r="D34" s="425"/>
      <c r="E34" s="53"/>
      <c r="F34" s="53" t="s">
        <v>19</v>
      </c>
      <c r="I34" s="501">
        <f>L31</f>
        <v>6.5799999999999999E-3</v>
      </c>
      <c r="J34" s="501"/>
      <c r="K34" s="54"/>
      <c r="L34" s="53"/>
      <c r="M34" s="53"/>
      <c r="O34" s="1"/>
      <c r="P34" s="1"/>
      <c r="Q34" s="40"/>
    </row>
    <row r="35" spans="1:19" s="5" customFormat="1" ht="13.15" customHeight="1" x14ac:dyDescent="0.2">
      <c r="A35" s="53"/>
      <c r="B35" s="53"/>
      <c r="C35" s="53"/>
      <c r="D35" s="425"/>
      <c r="E35" s="53"/>
      <c r="F35" s="55" t="s">
        <v>20</v>
      </c>
      <c r="I35" s="483">
        <f>G31</f>
        <v>3990837.44</v>
      </c>
      <c r="J35" s="483"/>
      <c r="K35" s="53"/>
      <c r="L35" s="53" t="s">
        <v>179</v>
      </c>
      <c r="M35" s="51"/>
      <c r="O35" s="1"/>
      <c r="P35" s="1"/>
    </row>
    <row r="36" spans="1:19" s="5" customFormat="1" ht="13.15" customHeight="1" x14ac:dyDescent="0.2">
      <c r="A36" s="53"/>
      <c r="B36" s="56"/>
      <c r="C36" s="56"/>
      <c r="D36" s="425"/>
      <c r="E36" s="53"/>
      <c r="F36" s="55" t="s">
        <v>21</v>
      </c>
      <c r="I36" s="483" t="e">
        <f>J31</f>
        <v>#REF!</v>
      </c>
      <c r="J36" s="483"/>
      <c r="K36" s="51"/>
      <c r="L36" s="53"/>
      <c r="M36" s="53"/>
      <c r="O36" s="1"/>
      <c r="P36" s="1"/>
    </row>
    <row r="37" spans="1:19" s="5" customFormat="1" ht="13.15" customHeight="1" thickBot="1" x14ac:dyDescent="0.25">
      <c r="A37" s="53"/>
      <c r="D37" s="425"/>
      <c r="E37" s="56" t="s">
        <v>22</v>
      </c>
      <c r="F37" s="55" t="s">
        <v>23</v>
      </c>
      <c r="I37" s="480"/>
      <c r="J37" s="480"/>
      <c r="K37" s="51"/>
      <c r="L37" s="53"/>
      <c r="M37" s="53"/>
      <c r="O37" s="1"/>
      <c r="P37" s="1"/>
    </row>
    <row r="38" spans="1:19" s="5" customFormat="1" ht="13.15" customHeight="1" x14ac:dyDescent="0.2">
      <c r="A38" s="53"/>
      <c r="B38" s="53"/>
      <c r="C38" s="53"/>
      <c r="D38" s="425"/>
      <c r="E38" s="53"/>
      <c r="F38" s="55" t="s">
        <v>24</v>
      </c>
      <c r="I38" s="481" t="e">
        <f>SUM(J31-I37)</f>
        <v>#REF!</v>
      </c>
      <c r="J38" s="481"/>
      <c r="K38" s="51"/>
      <c r="L38" s="53"/>
      <c r="M38" s="53"/>
      <c r="O38" s="1"/>
      <c r="P38" s="1"/>
    </row>
    <row r="39" spans="1:19" s="5" customFormat="1" ht="13.15" customHeight="1" x14ac:dyDescent="0.2">
      <c r="A39" s="53"/>
      <c r="D39" s="426"/>
      <c r="G39" s="57"/>
      <c r="H39" s="57"/>
      <c r="I39" s="51"/>
      <c r="J39" s="53"/>
      <c r="K39" s="53"/>
      <c r="L39" s="53"/>
      <c r="M39" s="53"/>
      <c r="O39" s="1"/>
      <c r="P39" s="1"/>
    </row>
    <row r="40" spans="1:19" ht="12.6" customHeight="1" x14ac:dyDescent="0.25">
      <c r="A40" s="2" t="s">
        <v>26</v>
      </c>
      <c r="C40" s="2" t="s">
        <v>86</v>
      </c>
      <c r="G40" s="99" t="s">
        <v>249</v>
      </c>
      <c r="H40" s="99"/>
      <c r="K40" s="99" t="s">
        <v>28</v>
      </c>
      <c r="L40" s="99"/>
      <c r="S40" s="2"/>
    </row>
    <row r="41" spans="1:19" ht="12.6" customHeight="1" x14ac:dyDescent="0.25">
      <c r="A41" s="2"/>
      <c r="B41" s="2"/>
      <c r="C41" s="2"/>
      <c r="G41" s="99"/>
      <c r="H41" s="99"/>
      <c r="I41" s="2"/>
      <c r="K41" s="99"/>
      <c r="L41" s="99"/>
      <c r="O41" s="58"/>
      <c r="P41" s="58"/>
      <c r="Q41" s="2"/>
      <c r="S41" s="2"/>
    </row>
    <row r="42" spans="1:19" ht="12.6" customHeight="1" x14ac:dyDescent="0.25">
      <c r="A42" s="2"/>
      <c r="B42" s="2"/>
      <c r="C42" s="2"/>
      <c r="G42" s="99"/>
      <c r="H42" s="99"/>
      <c r="I42" s="2"/>
      <c r="K42" s="99"/>
      <c r="L42" s="99"/>
      <c r="O42" s="58"/>
      <c r="P42" s="58"/>
      <c r="Q42" s="2"/>
      <c r="S42" s="2"/>
    </row>
    <row r="43" spans="1:19" ht="12.6" customHeight="1" x14ac:dyDescent="0.25">
      <c r="A43" s="2"/>
      <c r="B43" s="2"/>
      <c r="C43" s="2"/>
      <c r="G43" s="99"/>
      <c r="H43" s="99"/>
      <c r="I43" s="2"/>
      <c r="K43" s="99"/>
      <c r="L43" s="99"/>
      <c r="O43" s="58"/>
      <c r="P43" s="58"/>
      <c r="Q43" s="2"/>
      <c r="S43" s="2"/>
    </row>
    <row r="44" spans="1:19" ht="12.6" customHeight="1" x14ac:dyDescent="0.25">
      <c r="A44" s="4" t="s">
        <v>295</v>
      </c>
      <c r="B44" s="4"/>
      <c r="C44" s="4" t="s">
        <v>296</v>
      </c>
      <c r="F44" s="4"/>
      <c r="G44" s="96" t="s">
        <v>246</v>
      </c>
      <c r="H44" s="96"/>
      <c r="I44" s="4"/>
      <c r="K44" s="96" t="s">
        <v>30</v>
      </c>
      <c r="L44" s="96"/>
      <c r="N44" s="4"/>
    </row>
    <row r="45" spans="1:19" ht="12.6" customHeight="1" x14ac:dyDescent="0.25">
      <c r="A45" s="2" t="s">
        <v>32</v>
      </c>
      <c r="B45" s="2"/>
      <c r="C45" s="2" t="s">
        <v>324</v>
      </c>
      <c r="F45" s="2"/>
      <c r="G45" s="99" t="s">
        <v>93</v>
      </c>
      <c r="H45" s="99"/>
      <c r="I45" s="2"/>
      <c r="K45" s="99" t="s">
        <v>33</v>
      </c>
      <c r="L45" s="99"/>
      <c r="N45" s="2"/>
    </row>
    <row r="46" spans="1:19" ht="12.6" customHeight="1" x14ac:dyDescent="0.25">
      <c r="A46" s="100"/>
      <c r="B46" s="100"/>
      <c r="D46" s="416"/>
      <c r="E46" s="100"/>
      <c r="F46" s="100"/>
      <c r="G46" s="100"/>
      <c r="H46" s="100"/>
      <c r="I46" s="100"/>
      <c r="J46" s="100"/>
      <c r="K46" s="100"/>
      <c r="L46" s="100"/>
      <c r="M46" s="100"/>
      <c r="N46" s="2"/>
    </row>
    <row r="47" spans="1:19" ht="21" customHeight="1" x14ac:dyDescent="0.25">
      <c r="A47" s="103"/>
      <c r="B47" s="502" t="str">
        <f>B1</f>
        <v>STATEMENT OF WORK ACCOMPLISHMENT</v>
      </c>
      <c r="C47" s="502"/>
      <c r="D47" s="502"/>
      <c r="E47" s="502"/>
      <c r="F47" s="502"/>
      <c r="G47" s="502"/>
      <c r="H47" s="502"/>
      <c r="I47" s="502"/>
      <c r="J47" s="502"/>
      <c r="K47" s="502"/>
      <c r="L47" s="502"/>
      <c r="M47" s="502"/>
    </row>
    <row r="48" spans="1:19" x14ac:dyDescent="0.25">
      <c r="A48" s="2"/>
      <c r="B48" s="479" t="s">
        <v>84</v>
      </c>
      <c r="C48" s="479"/>
      <c r="D48" s="479"/>
      <c r="E48" s="479"/>
      <c r="F48" s="479"/>
      <c r="G48" s="479"/>
      <c r="H48" s="479"/>
      <c r="I48" s="479"/>
      <c r="J48" s="479"/>
      <c r="K48" s="479"/>
      <c r="L48" s="479"/>
      <c r="M48" s="479"/>
    </row>
    <row r="49" spans="1:19" x14ac:dyDescent="0.25">
      <c r="A49" s="2"/>
      <c r="B49" s="100"/>
      <c r="C49" s="100"/>
      <c r="D49" s="416"/>
      <c r="E49" s="100"/>
      <c r="F49" s="100"/>
      <c r="G49" s="100"/>
      <c r="H49" s="100"/>
      <c r="I49" s="100"/>
      <c r="J49" s="100"/>
      <c r="K49" s="100"/>
      <c r="L49" s="100"/>
      <c r="M49" s="100"/>
    </row>
    <row r="50" spans="1:19" x14ac:dyDescent="0.25">
      <c r="A50" s="3" t="s">
        <v>83</v>
      </c>
      <c r="B50" s="4" t="str">
        <f>'[2]SWA(abd)'!B12</f>
        <v>CONCRETING OF FARM TO MARKET ROAD ZIMINILA</v>
      </c>
      <c r="C50" s="4"/>
      <c r="D50" s="417"/>
      <c r="E50" s="4"/>
      <c r="F50" s="4"/>
      <c r="G50" s="4"/>
      <c r="H50" s="4"/>
      <c r="I50" s="4"/>
      <c r="J50" s="4"/>
      <c r="K50" s="4"/>
      <c r="L50" s="4"/>
      <c r="M50" s="4"/>
    </row>
    <row r="51" spans="1:19" x14ac:dyDescent="0.25">
      <c r="A51" s="2"/>
      <c r="B51" s="6" t="str">
        <f>'[2]SWA(abd)'!B13</f>
        <v>CAMALANIUGAN, CAGAYAN</v>
      </c>
      <c r="C51" s="6"/>
      <c r="D51" s="418"/>
      <c r="E51" s="6"/>
      <c r="F51" s="6"/>
      <c r="G51" s="6"/>
      <c r="H51" s="6"/>
      <c r="I51" s="6"/>
      <c r="J51" s="6"/>
      <c r="K51" s="6"/>
      <c r="L51" s="6"/>
      <c r="M51" s="6"/>
    </row>
    <row r="52" spans="1:19" ht="15.75" thickBot="1" x14ac:dyDescent="0.3">
      <c r="A52" s="2"/>
      <c r="B52" s="100"/>
      <c r="C52" s="100"/>
      <c r="D52" s="416"/>
      <c r="E52" s="100"/>
      <c r="F52" s="100"/>
      <c r="G52" s="100"/>
      <c r="H52" s="100"/>
      <c r="I52" s="100"/>
      <c r="J52" s="100"/>
      <c r="K52" s="100"/>
      <c r="L52" s="100"/>
      <c r="M52" s="100"/>
    </row>
    <row r="53" spans="1:19" x14ac:dyDescent="0.25">
      <c r="A53" s="8" t="s">
        <v>0</v>
      </c>
      <c r="B53" s="484" t="s">
        <v>1</v>
      </c>
      <c r="C53" s="485"/>
      <c r="D53" s="488" t="s">
        <v>2</v>
      </c>
      <c r="E53" s="489"/>
      <c r="F53" s="101" t="s">
        <v>3</v>
      </c>
      <c r="G53" s="101" t="s">
        <v>4</v>
      </c>
      <c r="H53" s="9" t="s">
        <v>5</v>
      </c>
      <c r="I53" s="490" t="s">
        <v>6</v>
      </c>
      <c r="J53" s="491"/>
      <c r="K53" s="492"/>
      <c r="L53" s="101" t="s">
        <v>5</v>
      </c>
      <c r="M53" s="10" t="s">
        <v>7</v>
      </c>
    </row>
    <row r="54" spans="1:19" x14ac:dyDescent="0.25">
      <c r="A54" s="12" t="s">
        <v>8</v>
      </c>
      <c r="B54" s="486"/>
      <c r="C54" s="487"/>
      <c r="D54" s="493" t="s">
        <v>9</v>
      </c>
      <c r="E54" s="494"/>
      <c r="F54" s="102" t="s">
        <v>10</v>
      </c>
      <c r="G54" s="102" t="s">
        <v>11</v>
      </c>
      <c r="H54" s="13" t="s">
        <v>12</v>
      </c>
      <c r="I54" s="14" t="s">
        <v>13</v>
      </c>
      <c r="J54" s="15" t="s">
        <v>14</v>
      </c>
      <c r="K54" s="16" t="s">
        <v>15</v>
      </c>
      <c r="L54" s="102" t="s">
        <v>12</v>
      </c>
      <c r="M54" s="17" t="s">
        <v>16</v>
      </c>
    </row>
    <row r="55" spans="1:19" ht="13.15" customHeight="1" x14ac:dyDescent="0.25">
      <c r="A55" s="18"/>
      <c r="B55" s="19"/>
      <c r="C55" s="20"/>
      <c r="D55" s="495" t="s">
        <v>17</v>
      </c>
      <c r="E55" s="496"/>
      <c r="F55" s="496"/>
      <c r="G55" s="497"/>
      <c r="H55" s="108"/>
      <c r="I55" s="22"/>
      <c r="J55" s="22"/>
      <c r="K55" s="23"/>
      <c r="L55" s="24"/>
      <c r="M55" s="25"/>
      <c r="R55" s="109">
        <v>0.16</v>
      </c>
    </row>
    <row r="56" spans="1:19" ht="13.15" customHeight="1" x14ac:dyDescent="0.25">
      <c r="A56" s="110" t="str">
        <f>'[2]SWA(abd)'!A17</f>
        <v>105(1)</v>
      </c>
      <c r="B56" s="111" t="str">
        <f>'[2]SWA(abd)'!B17:C17</f>
        <v>Sub Grade Preparation</v>
      </c>
      <c r="C56" s="30"/>
      <c r="D56" s="428">
        <f>'[2]SWA(abd)'!D17</f>
        <v>1075.8</v>
      </c>
      <c r="E56" s="15" t="str">
        <f>'[2]SWA(abd)'!E17</f>
        <v>sq.m.</v>
      </c>
      <c r="F56" s="59">
        <f>'[2]SWA(abd)'!F17</f>
        <v>102.17</v>
      </c>
      <c r="G56" s="104">
        <f>'[2]SWA(abd)'!G17</f>
        <v>109364.91</v>
      </c>
      <c r="H56" s="113">
        <f t="shared" ref="H56:H62" si="6">(G56/$G$63)*100</f>
        <v>10.022837773851711</v>
      </c>
      <c r="I56" s="35"/>
      <c r="J56" s="36"/>
      <c r="K56" s="35">
        <f t="shared" ref="K56:K62" si="7">I56+J56</f>
        <v>0</v>
      </c>
      <c r="L56" s="37" t="e">
        <f>ROUND(K56/#REF!,4)</f>
        <v>#REF!</v>
      </c>
      <c r="M56" s="38" t="s">
        <v>90</v>
      </c>
      <c r="Q56" s="40">
        <f t="shared" ref="Q56:Q62" si="8">D56*F56</f>
        <v>109914.486</v>
      </c>
      <c r="R56" s="40">
        <f>Q56*$R$55</f>
        <v>17586.317760000002</v>
      </c>
      <c r="S56" s="40">
        <f>Q56-R56</f>
        <v>92328.168239999999</v>
      </c>
    </row>
    <row r="57" spans="1:19" ht="13.15" customHeight="1" x14ac:dyDescent="0.25">
      <c r="A57" s="110" t="str">
        <f>'[2]SWA(abd)'!A18</f>
        <v>200(1)</v>
      </c>
      <c r="B57" s="111" t="str">
        <f>'[2]SWA(abd)'!B18:C18</f>
        <v>Aggregate Sub Base Coarse</v>
      </c>
      <c r="C57" s="30"/>
      <c r="D57" s="428">
        <f>'[2]SWA(abd)'!D18</f>
        <v>173.25</v>
      </c>
      <c r="E57" s="15" t="str">
        <f>'[2]SWA(abd)'!E18</f>
        <v>sq.m.</v>
      </c>
      <c r="F57" s="104">
        <v>804.58</v>
      </c>
      <c r="G57" s="104">
        <f>'[2]SWA(abd)'!G18</f>
        <v>223636.89</v>
      </c>
      <c r="H57" s="113">
        <f t="shared" si="6"/>
        <v>20.495388042825802</v>
      </c>
      <c r="I57" s="35"/>
      <c r="J57" s="36"/>
      <c r="K57" s="35">
        <f t="shared" si="7"/>
        <v>0</v>
      </c>
      <c r="L57" s="37">
        <f t="shared" ref="L57:L62" si="9">ROUND(K57/$G$63,4)</f>
        <v>0</v>
      </c>
      <c r="M57" s="38" t="s">
        <v>90</v>
      </c>
      <c r="Q57" s="40">
        <f t="shared" si="8"/>
        <v>139393.48500000002</v>
      </c>
      <c r="R57" s="40">
        <f t="shared" ref="R57:R62" si="10">Q57*$R$55</f>
        <v>22302.957600000002</v>
      </c>
      <c r="S57" s="40">
        <f t="shared" ref="S57:S62" si="11">Q57-R57</f>
        <v>117090.52740000002</v>
      </c>
    </row>
    <row r="58" spans="1:19" ht="13.15" customHeight="1" x14ac:dyDescent="0.25">
      <c r="A58" s="110" t="str">
        <f>'[2]SWA(abd)'!A19</f>
        <v>311(1)C</v>
      </c>
      <c r="B58" s="111" t="str">
        <f>'[2]SWA(abd)'!B19:C19</f>
        <v>PCCP</v>
      </c>
      <c r="C58" s="30"/>
      <c r="D58" s="428">
        <f>'[2]SWA(abd)'!D19</f>
        <v>660</v>
      </c>
      <c r="E58" s="15" t="str">
        <f>'[2]SWA(abd)'!E19</f>
        <v>sq.m.</v>
      </c>
      <c r="F58" s="104">
        <v>72.959999999999994</v>
      </c>
      <c r="G58" s="104">
        <f>'[2]SWA(abd)'!G19</f>
        <v>672973.03</v>
      </c>
      <c r="H58" s="113">
        <f t="shared" si="6"/>
        <v>61.675170819117767</v>
      </c>
      <c r="I58" s="35"/>
      <c r="J58" s="36"/>
      <c r="K58" s="35">
        <f t="shared" si="7"/>
        <v>0</v>
      </c>
      <c r="L58" s="37">
        <f t="shared" si="9"/>
        <v>0</v>
      </c>
      <c r="M58" s="38" t="s">
        <v>90</v>
      </c>
      <c r="O58" s="1" t="e">
        <f>0.2*#REF!</f>
        <v>#REF!</v>
      </c>
      <c r="P58" s="1" t="e">
        <f>0.95*#REF!</f>
        <v>#REF!</v>
      </c>
      <c r="Q58" s="40">
        <f t="shared" si="8"/>
        <v>48153.599999999999</v>
      </c>
      <c r="R58" s="40">
        <f t="shared" si="10"/>
        <v>7704.576</v>
      </c>
      <c r="S58" s="40">
        <f t="shared" si="11"/>
        <v>40449.023999999998</v>
      </c>
    </row>
    <row r="59" spans="1:19" ht="13.15" customHeight="1" x14ac:dyDescent="0.25">
      <c r="A59" s="110" t="str">
        <f>'[2]SWA(abd)'!A20</f>
        <v>B.9</v>
      </c>
      <c r="B59" s="111" t="str">
        <f>'[2]SWA(abd)'!B20:C20</f>
        <v>Mobilization/ Demobilization</v>
      </c>
      <c r="C59" s="30"/>
      <c r="D59" s="428">
        <f>'[2]SWA(abd)'!D20</f>
        <v>1</v>
      </c>
      <c r="E59" s="15" t="str">
        <f>'[2]SWA(abd)'!E20</f>
        <v>l/s</v>
      </c>
      <c r="F59" s="112">
        <v>128.93</v>
      </c>
      <c r="G59" s="104">
        <f>'[2]SWA(abd)'!G20</f>
        <v>25951.88</v>
      </c>
      <c r="H59" s="113">
        <f t="shared" si="6"/>
        <v>2.3783815409025322</v>
      </c>
      <c r="I59" s="35"/>
      <c r="J59" s="36"/>
      <c r="K59" s="35">
        <f t="shared" si="7"/>
        <v>0</v>
      </c>
      <c r="L59" s="37">
        <f t="shared" si="9"/>
        <v>0</v>
      </c>
      <c r="M59" s="38" t="s">
        <v>90</v>
      </c>
      <c r="O59" s="1">
        <v>604.87</v>
      </c>
      <c r="P59" s="1" t="e">
        <f>0.95*#REF!</f>
        <v>#REF!</v>
      </c>
      <c r="Q59" s="40">
        <f t="shared" si="8"/>
        <v>128.93</v>
      </c>
      <c r="R59" s="40">
        <f t="shared" si="10"/>
        <v>20.628800000000002</v>
      </c>
      <c r="S59" s="40">
        <f t="shared" si="11"/>
        <v>108.30120000000001</v>
      </c>
    </row>
    <row r="60" spans="1:19" ht="13.15" customHeight="1" x14ac:dyDescent="0.25">
      <c r="A60" s="110" t="str">
        <f>'[2]SWA(abd)'!A21</f>
        <v>B.5</v>
      </c>
      <c r="B60" s="111" t="str">
        <f>'[2]SWA(abd)'!B21:C21</f>
        <v>Billboards and Signages</v>
      </c>
      <c r="C60" s="30"/>
      <c r="D60" s="428">
        <f>'[2]SWA(abd)'!D21</f>
        <v>2</v>
      </c>
      <c r="E60" s="15" t="str">
        <f>'[2]SWA(abd)'!E21</f>
        <v>each</v>
      </c>
      <c r="F60" s="112">
        <v>18.37</v>
      </c>
      <c r="G60" s="104">
        <f>'[2]SWA(abd)'!G21</f>
        <v>10196.76</v>
      </c>
      <c r="H60" s="113">
        <f t="shared" si="6"/>
        <v>0.93449051710370512</v>
      </c>
      <c r="I60" s="35"/>
      <c r="J60" s="36"/>
      <c r="K60" s="35">
        <f t="shared" si="7"/>
        <v>0</v>
      </c>
      <c r="L60" s="37">
        <f t="shared" si="9"/>
        <v>0</v>
      </c>
      <c r="M60" s="38" t="s">
        <v>90</v>
      </c>
      <c r="O60" s="1" t="e">
        <f>0.2*#REF!</f>
        <v>#REF!</v>
      </c>
      <c r="P60" s="1" t="e">
        <f>0.95*#REF!</f>
        <v>#REF!</v>
      </c>
      <c r="Q60" s="40">
        <f t="shared" si="8"/>
        <v>36.74</v>
      </c>
      <c r="R60" s="40">
        <f t="shared" si="10"/>
        <v>5.8784000000000001</v>
      </c>
      <c r="S60" s="40">
        <f t="shared" si="11"/>
        <v>30.861600000000003</v>
      </c>
    </row>
    <row r="61" spans="1:19" ht="13.15" customHeight="1" x14ac:dyDescent="0.25">
      <c r="A61" s="110" t="str">
        <f>'[2]SWA(abd)'!A22</f>
        <v>B.7</v>
      </c>
      <c r="B61" s="111" t="str">
        <f>'[2]SWA(abd)'!B22:C22</f>
        <v>Occupational Health and Safety</v>
      </c>
      <c r="C61" s="30"/>
      <c r="D61" s="428">
        <f>'[2]SWA(abd)'!D22</f>
        <v>1</v>
      </c>
      <c r="E61" s="15" t="str">
        <f>'[2]SWA(abd)'!E22</f>
        <v>l/s</v>
      </c>
      <c r="F61" s="112">
        <v>1208.8900000000001</v>
      </c>
      <c r="G61" s="104">
        <f>'[2]SWA(abd)'!G22</f>
        <v>28041.09</v>
      </c>
      <c r="H61" s="113">
        <f t="shared" si="6"/>
        <v>2.5698489220351886</v>
      </c>
      <c r="I61" s="35"/>
      <c r="J61" s="36"/>
      <c r="K61" s="35">
        <f t="shared" si="7"/>
        <v>0</v>
      </c>
      <c r="L61" s="37">
        <f t="shared" si="9"/>
        <v>0</v>
      </c>
      <c r="M61" s="38" t="s">
        <v>90</v>
      </c>
      <c r="O61" s="1" t="e">
        <f>0.2*#REF!</f>
        <v>#REF!</v>
      </c>
      <c r="P61" s="1" t="e">
        <f>0.9*#REF!</f>
        <v>#REF!</v>
      </c>
      <c r="Q61" s="40">
        <f t="shared" si="8"/>
        <v>1208.8900000000001</v>
      </c>
      <c r="R61" s="40">
        <f t="shared" si="10"/>
        <v>193.42240000000001</v>
      </c>
      <c r="S61" s="40">
        <f t="shared" si="11"/>
        <v>1015.4676000000001</v>
      </c>
    </row>
    <row r="62" spans="1:19" ht="13.15" customHeight="1" thickBot="1" x14ac:dyDescent="0.3">
      <c r="A62" s="110" t="str">
        <f>'[2]SWA(abd)'!A23</f>
        <v>A.1.1(8a)</v>
      </c>
      <c r="B62" s="111" t="str">
        <f>'[2]SWA(abd)'!B23:C23</f>
        <v>Provisions of Field Office for the Engineer</v>
      </c>
      <c r="C62" s="30"/>
      <c r="D62" s="428">
        <f>'[2]SWA(abd)'!D23</f>
        <v>1.83</v>
      </c>
      <c r="E62" s="15" t="str">
        <f>'[2]SWA(abd)'!E23</f>
        <v>mos</v>
      </c>
      <c r="F62" s="104">
        <v>1291.19</v>
      </c>
      <c r="G62" s="104">
        <f>'[2]SWA(abd)'!G23</f>
        <v>20992.58</v>
      </c>
      <c r="H62" s="113">
        <f t="shared" si="6"/>
        <v>1.9238823841632928</v>
      </c>
      <c r="I62" s="35"/>
      <c r="J62" s="36"/>
      <c r="K62" s="35">
        <f t="shared" si="7"/>
        <v>0</v>
      </c>
      <c r="L62" s="37">
        <f t="shared" si="9"/>
        <v>0</v>
      </c>
      <c r="M62" s="38" t="s">
        <v>90</v>
      </c>
      <c r="O62" s="1">
        <f>350*3.05</f>
        <v>1067.5</v>
      </c>
      <c r="Q62" s="40">
        <f t="shared" si="8"/>
        <v>2362.8777</v>
      </c>
      <c r="R62" s="40">
        <f t="shared" si="10"/>
        <v>378.06043199999999</v>
      </c>
      <c r="S62" s="40">
        <f t="shared" si="11"/>
        <v>1984.817268</v>
      </c>
    </row>
    <row r="63" spans="1:19" s="47" customFormat="1" ht="13.15" customHeight="1" thickBot="1" x14ac:dyDescent="0.25">
      <c r="A63" s="498" t="s">
        <v>18</v>
      </c>
      <c r="B63" s="499"/>
      <c r="C63" s="499"/>
      <c r="D63" s="499"/>
      <c r="E63" s="499"/>
      <c r="F63" s="43"/>
      <c r="G63" s="44">
        <f t="shared" ref="G63:L63" si="12">SUM(G56:G62)</f>
        <v>1091157.1400000001</v>
      </c>
      <c r="H63" s="44">
        <f t="shared" si="12"/>
        <v>100.00000000000001</v>
      </c>
      <c r="I63" s="44">
        <f t="shared" si="12"/>
        <v>0</v>
      </c>
      <c r="J63" s="44">
        <f t="shared" si="12"/>
        <v>0</v>
      </c>
      <c r="K63" s="44">
        <f t="shared" si="12"/>
        <v>0</v>
      </c>
      <c r="L63" s="114" t="e">
        <f t="shared" si="12"/>
        <v>#REF!</v>
      </c>
      <c r="M63" s="46"/>
      <c r="O63" s="49"/>
      <c r="P63" s="49"/>
      <c r="Q63" s="48">
        <f>SUM(Q56:Q62)</f>
        <v>301199.00870000001</v>
      </c>
      <c r="R63" s="40">
        <f>SUM(R56:R62)</f>
        <v>48191.841392000002</v>
      </c>
      <c r="S63" s="49">
        <f>SUM(S56:S62)</f>
        <v>253007.16730800003</v>
      </c>
    </row>
    <row r="64" spans="1:19" s="5" customFormat="1" ht="13.15" customHeight="1" x14ac:dyDescent="0.2">
      <c r="A64" s="50"/>
      <c r="B64" s="50"/>
      <c r="C64" s="50"/>
      <c r="D64" s="423"/>
      <c r="E64" s="50"/>
      <c r="F64" s="51"/>
      <c r="G64" s="52"/>
      <c r="H64" s="52"/>
      <c r="I64" s="51"/>
      <c r="J64" s="51"/>
      <c r="K64" s="51"/>
      <c r="L64" s="51"/>
      <c r="M64" s="53"/>
      <c r="O64" s="1" t="e">
        <f>0.85*#REF!</f>
        <v>#REF!</v>
      </c>
      <c r="P64" s="1"/>
      <c r="Q64" s="40">
        <f>Q63*0.0065</f>
        <v>1957.7935565499999</v>
      </c>
    </row>
    <row r="65" spans="1:19" s="5" customFormat="1" ht="13.15" customHeight="1" x14ac:dyDescent="0.2">
      <c r="A65" s="53"/>
      <c r="B65" s="53"/>
      <c r="C65" s="53"/>
      <c r="D65" s="424"/>
      <c r="E65" s="53"/>
      <c r="F65" s="51"/>
      <c r="G65" s="51"/>
      <c r="H65" s="51"/>
      <c r="I65" s="53"/>
      <c r="J65" s="53"/>
      <c r="K65" s="53"/>
      <c r="L65" s="53"/>
      <c r="M65" s="53"/>
      <c r="O65" s="1"/>
      <c r="P65" s="1"/>
      <c r="Q65" s="40">
        <f>Q63-Q64</f>
        <v>299241.21514345001</v>
      </c>
    </row>
    <row r="66" spans="1:19" s="5" customFormat="1" ht="13.15" customHeight="1" x14ac:dyDescent="0.25">
      <c r="A66" s="53"/>
      <c r="B66" s="53"/>
      <c r="C66" s="53"/>
      <c r="D66" s="425"/>
      <c r="E66" s="53"/>
      <c r="F66" s="53" t="s">
        <v>19</v>
      </c>
      <c r="I66" s="500" t="e">
        <f>L63*100</f>
        <v>#REF!</v>
      </c>
      <c r="J66" s="500"/>
      <c r="K66" s="54" t="s">
        <v>12</v>
      </c>
      <c r="L66" s="53"/>
      <c r="M66" s="53"/>
      <c r="O66" s="1"/>
      <c r="P66" s="1"/>
    </row>
    <row r="67" spans="1:19" s="5" customFormat="1" ht="13.15" customHeight="1" x14ac:dyDescent="0.2">
      <c r="A67" s="53"/>
      <c r="B67" s="53"/>
      <c r="C67" s="53"/>
      <c r="D67" s="425"/>
      <c r="E67" s="53"/>
      <c r="F67" s="55" t="s">
        <v>20</v>
      </c>
      <c r="I67" s="483">
        <f>ROUND(G63,2)</f>
        <v>1091157.1399999999</v>
      </c>
      <c r="J67" s="483"/>
      <c r="K67" s="53"/>
      <c r="L67" s="53"/>
      <c r="M67" s="51"/>
      <c r="O67" s="1"/>
      <c r="P67" s="1"/>
    </row>
    <row r="68" spans="1:19" s="5" customFormat="1" ht="13.15" customHeight="1" x14ac:dyDescent="0.2">
      <c r="A68" s="53"/>
      <c r="B68" s="56"/>
      <c r="C68" s="56"/>
      <c r="D68" s="425"/>
      <c r="E68" s="53"/>
      <c r="F68" s="55" t="s">
        <v>21</v>
      </c>
      <c r="I68" s="483">
        <f>J63</f>
        <v>0</v>
      </c>
      <c r="J68" s="483"/>
      <c r="K68" s="51"/>
      <c r="L68" s="53"/>
      <c r="M68" s="53"/>
      <c r="O68" s="1"/>
      <c r="P68" s="1"/>
    </row>
    <row r="69" spans="1:19" s="5" customFormat="1" ht="13.15" customHeight="1" thickBot="1" x14ac:dyDescent="0.25">
      <c r="A69" s="53"/>
      <c r="D69" s="425"/>
      <c r="E69" s="56" t="s">
        <v>22</v>
      </c>
      <c r="F69" s="55" t="s">
        <v>23</v>
      </c>
      <c r="I69" s="480"/>
      <c r="J69" s="480"/>
      <c r="K69" s="51"/>
      <c r="L69" s="53"/>
      <c r="M69" s="53"/>
      <c r="O69" s="1"/>
      <c r="P69" s="1"/>
    </row>
    <row r="70" spans="1:19" s="5" customFormat="1" ht="13.15" customHeight="1" x14ac:dyDescent="0.2">
      <c r="A70" s="53"/>
      <c r="B70" s="53"/>
      <c r="C70" s="53"/>
      <c r="D70" s="425"/>
      <c r="E70" s="53"/>
      <c r="F70" s="55" t="s">
        <v>24</v>
      </c>
      <c r="I70" s="481">
        <f>SUM(J63-I69)</f>
        <v>0</v>
      </c>
      <c r="J70" s="481"/>
      <c r="K70" s="51"/>
      <c r="L70" s="53"/>
      <c r="M70" s="53"/>
      <c r="O70" s="1"/>
      <c r="P70" s="1"/>
    </row>
    <row r="72" spans="1:19" ht="12.6" customHeight="1" x14ac:dyDescent="0.25">
      <c r="A72" s="99" t="s">
        <v>25</v>
      </c>
      <c r="B72" s="2"/>
      <c r="C72" s="2" t="s">
        <v>26</v>
      </c>
      <c r="F72" s="2" t="s">
        <v>86</v>
      </c>
      <c r="G72" s="2"/>
      <c r="J72" s="100" t="s">
        <v>28</v>
      </c>
      <c r="S72" s="2"/>
    </row>
    <row r="73" spans="1:19" ht="12.6" customHeight="1" x14ac:dyDescent="0.25">
      <c r="A73" s="99"/>
      <c r="B73" s="2"/>
      <c r="C73" s="2"/>
      <c r="D73" s="429"/>
      <c r="F73" s="2"/>
      <c r="G73" s="2"/>
      <c r="I73" s="2"/>
      <c r="J73" s="2"/>
      <c r="K73" s="2"/>
      <c r="L73" s="2"/>
      <c r="O73" s="58"/>
      <c r="P73" s="58"/>
      <c r="Q73" s="2"/>
      <c r="S73" s="2"/>
    </row>
    <row r="74" spans="1:19" ht="12.6" customHeight="1" x14ac:dyDescent="0.25">
      <c r="A74" s="2"/>
      <c r="B74" s="2"/>
      <c r="C74" s="2"/>
      <c r="D74" s="429"/>
      <c r="F74" s="2"/>
      <c r="G74" s="2"/>
      <c r="I74" s="2"/>
      <c r="J74" s="2"/>
      <c r="K74" s="2"/>
      <c r="L74" s="2"/>
      <c r="O74" s="58"/>
      <c r="P74" s="58"/>
      <c r="Q74" s="2"/>
      <c r="S74" s="2"/>
    </row>
    <row r="75" spans="1:19" ht="12.6" customHeight="1" x14ac:dyDescent="0.25">
      <c r="A75" s="2"/>
      <c r="B75" s="2"/>
      <c r="C75" s="2"/>
      <c r="D75" s="429"/>
      <c r="F75" s="2"/>
      <c r="G75" s="2"/>
      <c r="I75" s="2"/>
      <c r="J75" s="2"/>
      <c r="K75" s="2"/>
      <c r="L75" s="2"/>
      <c r="O75" s="58"/>
      <c r="P75" s="58"/>
      <c r="Q75" s="2"/>
      <c r="S75" s="2"/>
    </row>
    <row r="76" spans="1:19" ht="12.6" customHeight="1" x14ac:dyDescent="0.25">
      <c r="A76" s="482" t="s">
        <v>91</v>
      </c>
      <c r="B76" s="482"/>
      <c r="C76" s="482" t="s">
        <v>87</v>
      </c>
      <c r="D76" s="482"/>
      <c r="E76" s="482"/>
      <c r="F76" s="482" t="s">
        <v>29</v>
      </c>
      <c r="G76" s="482"/>
      <c r="H76" s="482"/>
      <c r="I76" s="4"/>
      <c r="J76" s="482" t="s">
        <v>30</v>
      </c>
      <c r="K76" s="482"/>
      <c r="L76" s="482"/>
      <c r="N76" s="4"/>
    </row>
    <row r="77" spans="1:19" ht="12.6" customHeight="1" x14ac:dyDescent="0.25">
      <c r="A77" s="479" t="s">
        <v>31</v>
      </c>
      <c r="B77" s="479"/>
      <c r="C77" s="479" t="s">
        <v>88</v>
      </c>
      <c r="D77" s="479"/>
      <c r="E77" s="479"/>
      <c r="F77" s="479" t="s">
        <v>32</v>
      </c>
      <c r="G77" s="479"/>
      <c r="H77" s="479"/>
      <c r="I77" s="2"/>
      <c r="J77" s="479" t="s">
        <v>33</v>
      </c>
      <c r="K77" s="479"/>
      <c r="L77" s="479"/>
      <c r="N77" s="2"/>
    </row>
  </sheetData>
  <mergeCells count="34">
    <mergeCell ref="I37:J37"/>
    <mergeCell ref="B1:M1"/>
    <mergeCell ref="B7:C8"/>
    <mergeCell ref="D7:E7"/>
    <mergeCell ref="I7:K7"/>
    <mergeCell ref="D8:E8"/>
    <mergeCell ref="D9:G9"/>
    <mergeCell ref="B14:C14"/>
    <mergeCell ref="A31:E31"/>
    <mergeCell ref="I34:J34"/>
    <mergeCell ref="I35:J35"/>
    <mergeCell ref="I36:J36"/>
    <mergeCell ref="I38:J38"/>
    <mergeCell ref="B47:M47"/>
    <mergeCell ref="B48:M48"/>
    <mergeCell ref="B53:C54"/>
    <mergeCell ref="D53:E53"/>
    <mergeCell ref="I53:K53"/>
    <mergeCell ref="D54:E54"/>
    <mergeCell ref="A77:B77"/>
    <mergeCell ref="C77:E77"/>
    <mergeCell ref="F77:H77"/>
    <mergeCell ref="J77:L77"/>
    <mergeCell ref="D55:G55"/>
    <mergeCell ref="A63:E63"/>
    <mergeCell ref="I66:J66"/>
    <mergeCell ref="I67:J67"/>
    <mergeCell ref="I68:J68"/>
    <mergeCell ref="I69:J69"/>
    <mergeCell ref="I70:J70"/>
    <mergeCell ref="A76:B76"/>
    <mergeCell ref="C76:E76"/>
    <mergeCell ref="F76:H76"/>
    <mergeCell ref="J76:L76"/>
  </mergeCells>
  <printOptions horizontalCentered="1" verticalCentered="1"/>
  <pageMargins left="3.937007874015748E-2" right="3.937007874015748E-2" top="0.15748031496062992" bottom="0.15748031496062992" header="0.31496062992125984" footer="0.31496062992125984"/>
  <pageSetup paperSize="14" scale="7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92D050"/>
  </sheetPr>
  <dimension ref="A2:Q41"/>
  <sheetViews>
    <sheetView view="pageBreakPreview" topLeftCell="A11" zoomScaleNormal="100" zoomScaleSheetLayoutView="100" workbookViewId="0">
      <selection activeCell="I29" sqref="I29"/>
    </sheetView>
  </sheetViews>
  <sheetFormatPr defaultColWidth="9.140625" defaultRowHeight="15.75" x14ac:dyDescent="0.25"/>
  <cols>
    <col min="1" max="1" width="4" style="60" customWidth="1"/>
    <col min="2" max="2" width="39.28515625" style="60" customWidth="1"/>
    <col min="3" max="3" width="3.28515625" style="60" customWidth="1"/>
    <col min="4" max="5" width="18.7109375" style="60" customWidth="1"/>
    <col min="6" max="6" width="9.42578125" style="60" customWidth="1"/>
    <col min="7" max="7" width="7.42578125" style="60" customWidth="1"/>
    <col min="8" max="8" width="12.7109375" style="316" customWidth="1"/>
    <col min="9" max="9" width="28.42578125" style="316" customWidth="1"/>
    <col min="10" max="10" width="11.85546875" style="60" customWidth="1"/>
    <col min="11" max="11" width="13.28515625" style="60" customWidth="1"/>
    <col min="12" max="12" width="9.140625" style="60"/>
    <col min="13" max="13" width="11.28515625" style="60" customWidth="1"/>
    <col min="14" max="16" width="9.140625" style="60"/>
    <col min="17" max="17" width="15.28515625" style="60" customWidth="1"/>
    <col min="18" max="16384" width="9.140625" style="60"/>
  </cols>
  <sheetData>
    <row r="2" spans="1:17" x14ac:dyDescent="0.25">
      <c r="A2" s="456" t="s">
        <v>37</v>
      </c>
      <c r="B2" s="456"/>
      <c r="C2" s="456"/>
      <c r="D2" s="456"/>
      <c r="E2" s="456"/>
      <c r="F2" s="456"/>
      <c r="G2" s="315"/>
    </row>
    <row r="3" spans="1:17" x14ac:dyDescent="0.25">
      <c r="A3" s="457" t="s">
        <v>38</v>
      </c>
      <c r="B3" s="457"/>
      <c r="C3" s="457"/>
      <c r="D3" s="457"/>
      <c r="E3" s="457"/>
      <c r="F3" s="457"/>
      <c r="G3" s="317"/>
    </row>
    <row r="4" spans="1:17" x14ac:dyDescent="0.25">
      <c r="A4" s="456" t="s">
        <v>247</v>
      </c>
      <c r="B4" s="456"/>
      <c r="C4" s="456"/>
      <c r="D4" s="456"/>
      <c r="E4" s="456"/>
      <c r="F4" s="456"/>
      <c r="G4" s="315"/>
    </row>
    <row r="5" spans="1:17" ht="16.5" x14ac:dyDescent="0.25">
      <c r="A5" s="458" t="s">
        <v>248</v>
      </c>
      <c r="B5" s="458"/>
      <c r="C5" s="458"/>
      <c r="D5" s="458"/>
      <c r="E5" s="458"/>
      <c r="F5" s="458"/>
      <c r="G5" s="318"/>
    </row>
    <row r="6" spans="1:17" ht="20.25" x14ac:dyDescent="0.3">
      <c r="A6" s="61"/>
      <c r="H6" s="459" t="s">
        <v>250</v>
      </c>
      <c r="I6" s="460"/>
      <c r="J6" s="460"/>
      <c r="K6" s="461"/>
      <c r="M6" s="319" t="s">
        <v>251</v>
      </c>
    </row>
    <row r="7" spans="1:17" ht="18.75" x14ac:dyDescent="0.3">
      <c r="A7" s="462" t="s">
        <v>40</v>
      </c>
      <c r="B7" s="462"/>
      <c r="C7" s="462"/>
      <c r="D7" s="462"/>
      <c r="E7" s="462"/>
      <c r="F7" s="462"/>
      <c r="G7" s="320"/>
      <c r="H7" s="321"/>
      <c r="I7" s="321"/>
      <c r="M7" s="322" t="s">
        <v>252</v>
      </c>
      <c r="N7" s="323" t="s">
        <v>253</v>
      </c>
      <c r="O7" s="324"/>
      <c r="P7" s="324"/>
      <c r="Q7" s="325"/>
    </row>
    <row r="8" spans="1:17" x14ac:dyDescent="0.25">
      <c r="A8" s="63"/>
      <c r="B8" s="63"/>
      <c r="C8" s="63"/>
      <c r="D8" s="63"/>
      <c r="E8" s="63"/>
      <c r="F8" s="63"/>
      <c r="G8" s="63"/>
      <c r="H8" s="326"/>
      <c r="I8" s="60"/>
      <c r="M8" s="327" t="s">
        <v>254</v>
      </c>
      <c r="N8" s="328" t="s">
        <v>255</v>
      </c>
      <c r="O8" s="329"/>
      <c r="P8" s="329"/>
      <c r="Q8" s="330"/>
    </row>
    <row r="9" spans="1:17" x14ac:dyDescent="0.25">
      <c r="A9" s="326"/>
      <c r="B9" s="452">
        <f>I9</f>
        <v>45534</v>
      </c>
      <c r="C9" s="452"/>
      <c r="D9" s="452"/>
      <c r="E9" s="452"/>
      <c r="F9" s="452"/>
      <c r="H9" s="331" t="s">
        <v>256</v>
      </c>
      <c r="I9" s="332">
        <v>45534</v>
      </c>
      <c r="M9" s="333" t="s">
        <v>257</v>
      </c>
      <c r="N9" s="334" t="s">
        <v>258</v>
      </c>
      <c r="O9" s="335"/>
      <c r="P9" s="335"/>
      <c r="Q9" s="336"/>
    </row>
    <row r="10" spans="1:17" x14ac:dyDescent="0.25">
      <c r="A10" s="326"/>
      <c r="B10" s="337"/>
      <c r="C10" s="337"/>
      <c r="D10" s="337"/>
      <c r="E10" s="337"/>
      <c r="F10" s="337"/>
      <c r="H10" s="331"/>
      <c r="I10" s="64"/>
      <c r="M10" s="338" t="s">
        <v>259</v>
      </c>
      <c r="N10" s="339" t="s">
        <v>260</v>
      </c>
      <c r="O10" s="340"/>
      <c r="P10" s="340"/>
      <c r="Q10" s="341"/>
    </row>
    <row r="11" spans="1:17" x14ac:dyDescent="0.25">
      <c r="A11" s="326"/>
      <c r="B11" s="337"/>
      <c r="C11" s="337"/>
      <c r="D11" s="337"/>
      <c r="E11" s="337"/>
      <c r="F11" s="337"/>
      <c r="H11" s="331"/>
      <c r="I11" s="64"/>
      <c r="M11" s="342" t="s">
        <v>261</v>
      </c>
      <c r="N11" s="343" t="s">
        <v>262</v>
      </c>
      <c r="O11" s="344"/>
      <c r="P11" s="344"/>
      <c r="Q11" s="345"/>
    </row>
    <row r="12" spans="1:17" ht="26.25" customHeight="1" x14ac:dyDescent="0.25">
      <c r="A12" s="346" t="s">
        <v>263</v>
      </c>
      <c r="B12" s="346"/>
      <c r="C12" s="347" t="s">
        <v>45</v>
      </c>
      <c r="D12" s="453" t="str">
        <f>I12</f>
        <v>Construction of Multi-Purpose Building Lallo National High School</v>
      </c>
      <c r="E12" s="453"/>
      <c r="F12" s="453"/>
      <c r="H12" s="331" t="s">
        <v>256</v>
      </c>
      <c r="I12" s="348" t="s">
        <v>342</v>
      </c>
      <c r="J12" s="346" t="s">
        <v>263</v>
      </c>
      <c r="M12" s="349" t="s">
        <v>264</v>
      </c>
      <c r="N12" s="350" t="s">
        <v>265</v>
      </c>
      <c r="O12" s="351"/>
      <c r="P12" s="351"/>
      <c r="Q12" s="352"/>
    </row>
    <row r="13" spans="1:17" ht="17.25" customHeight="1" x14ac:dyDescent="0.25">
      <c r="A13" s="353" t="s">
        <v>47</v>
      </c>
      <c r="B13" s="353"/>
      <c r="C13" s="354" t="s">
        <v>45</v>
      </c>
      <c r="D13" s="355" t="str">
        <f>I13</f>
        <v>Lallo, Cagayan</v>
      </c>
      <c r="E13" s="355"/>
      <c r="F13" s="356"/>
      <c r="H13" s="331" t="s">
        <v>256</v>
      </c>
      <c r="I13" s="348" t="s">
        <v>343</v>
      </c>
      <c r="J13" s="353" t="s">
        <v>47</v>
      </c>
      <c r="M13" s="358" t="s">
        <v>266</v>
      </c>
      <c r="N13" s="359" t="s">
        <v>253</v>
      </c>
      <c r="O13" s="360"/>
      <c r="P13" s="360"/>
      <c r="Q13" s="361"/>
    </row>
    <row r="14" spans="1:17" x14ac:dyDescent="0.25">
      <c r="A14" s="362" t="s">
        <v>48</v>
      </c>
      <c r="B14" s="362"/>
      <c r="C14" s="354" t="s">
        <v>45</v>
      </c>
      <c r="D14" s="363">
        <f>I14</f>
        <v>3796932.5</v>
      </c>
      <c r="E14" s="363"/>
      <c r="F14" s="363"/>
      <c r="H14" s="331" t="s">
        <v>256</v>
      </c>
      <c r="I14" s="348">
        <v>3796932.5</v>
      </c>
      <c r="J14" s="362" t="s">
        <v>48</v>
      </c>
      <c r="M14" s="365" t="s">
        <v>267</v>
      </c>
      <c r="N14" s="366" t="s">
        <v>255</v>
      </c>
      <c r="O14" s="367"/>
      <c r="P14" s="367"/>
      <c r="Q14" s="368"/>
    </row>
    <row r="15" spans="1:17" s="76" customFormat="1" ht="15.6" customHeight="1" x14ac:dyDescent="0.2">
      <c r="A15" s="353" t="s">
        <v>31</v>
      </c>
      <c r="B15" s="353"/>
      <c r="C15" s="354" t="s">
        <v>45</v>
      </c>
      <c r="D15" s="355" t="str">
        <f>I15</f>
        <v>Rucs Konsult and Construction Services</v>
      </c>
      <c r="E15" s="355"/>
      <c r="F15" s="355"/>
      <c r="H15" s="331" t="s">
        <v>256</v>
      </c>
      <c r="I15" s="348" t="s">
        <v>345</v>
      </c>
      <c r="J15" s="353" t="s">
        <v>31</v>
      </c>
    </row>
    <row r="16" spans="1:17" x14ac:dyDescent="0.25">
      <c r="A16" s="362"/>
      <c r="B16" s="362"/>
      <c r="C16" s="354"/>
      <c r="D16" s="370"/>
      <c r="E16" s="370"/>
      <c r="F16" s="370"/>
      <c r="G16" s="72"/>
      <c r="H16" s="331"/>
      <c r="I16" s="60"/>
    </row>
    <row r="17" spans="1:14" x14ac:dyDescent="0.25">
      <c r="A17" s="371" t="s">
        <v>50</v>
      </c>
      <c r="B17" s="353" t="s">
        <v>51</v>
      </c>
      <c r="C17" s="354" t="s">
        <v>45</v>
      </c>
      <c r="D17" s="372">
        <f>D20+9</f>
        <v>45045</v>
      </c>
      <c r="E17" s="356" t="s">
        <v>52</v>
      </c>
      <c r="F17" s="68"/>
      <c r="H17" s="373"/>
      <c r="J17" s="72"/>
      <c r="K17" s="374"/>
    </row>
    <row r="18" spans="1:14" x14ac:dyDescent="0.25">
      <c r="A18" s="371"/>
      <c r="B18" s="353"/>
      <c r="C18" s="354"/>
      <c r="D18" s="375">
        <f>+B9</f>
        <v>45534</v>
      </c>
      <c r="E18" s="375"/>
      <c r="F18" s="375"/>
      <c r="G18" s="376"/>
      <c r="H18" s="377"/>
      <c r="J18" s="72"/>
      <c r="K18" s="374"/>
    </row>
    <row r="19" spans="1:14" x14ac:dyDescent="0.25">
      <c r="A19" s="371" t="s">
        <v>54</v>
      </c>
      <c r="B19" s="353" t="s">
        <v>268</v>
      </c>
      <c r="C19" s="354" t="s">
        <v>45</v>
      </c>
      <c r="D19" s="378">
        <f>I19</f>
        <v>180</v>
      </c>
      <c r="E19" s="379"/>
      <c r="F19" s="379"/>
      <c r="G19" s="72"/>
      <c r="H19" s="380" t="s">
        <v>256</v>
      </c>
      <c r="I19" s="381">
        <v>180</v>
      </c>
      <c r="J19" s="353" t="s">
        <v>268</v>
      </c>
    </row>
    <row r="20" spans="1:14" x14ac:dyDescent="0.25">
      <c r="A20" s="371" t="s">
        <v>56</v>
      </c>
      <c r="B20" s="353" t="s">
        <v>269</v>
      </c>
      <c r="C20" s="354" t="s">
        <v>45</v>
      </c>
      <c r="D20" s="372">
        <f>I20</f>
        <v>45036</v>
      </c>
      <c r="E20" s="372"/>
      <c r="F20" s="372"/>
      <c r="H20" s="380" t="s">
        <v>256</v>
      </c>
      <c r="I20" s="332">
        <v>45036</v>
      </c>
      <c r="J20" s="353" t="s">
        <v>269</v>
      </c>
    </row>
    <row r="21" spans="1:14" x14ac:dyDescent="0.25">
      <c r="A21" s="371" t="s">
        <v>270</v>
      </c>
      <c r="B21" s="353" t="s">
        <v>59</v>
      </c>
      <c r="C21" s="354" t="s">
        <v>45</v>
      </c>
      <c r="D21" s="375">
        <f>+D17+D19</f>
        <v>45225</v>
      </c>
      <c r="E21" s="375"/>
      <c r="F21" s="375"/>
      <c r="G21" s="72"/>
      <c r="H21" s="382"/>
      <c r="I21" s="72"/>
      <c r="J21" s="72"/>
    </row>
    <row r="22" spans="1:14" x14ac:dyDescent="0.25">
      <c r="A22" s="371" t="s">
        <v>58</v>
      </c>
      <c r="B22" s="353" t="s">
        <v>79</v>
      </c>
      <c r="C22" s="354" t="s">
        <v>45</v>
      </c>
      <c r="D22" s="383">
        <f>I22</f>
        <v>0</v>
      </c>
      <c r="E22" s="370"/>
      <c r="F22" s="370"/>
      <c r="G22" s="72"/>
      <c r="H22" s="380" t="s">
        <v>256</v>
      </c>
      <c r="I22" s="381"/>
      <c r="J22" s="353" t="s">
        <v>79</v>
      </c>
    </row>
    <row r="23" spans="1:14" x14ac:dyDescent="0.25">
      <c r="A23" s="371" t="s">
        <v>60</v>
      </c>
      <c r="B23" s="353" t="s">
        <v>78</v>
      </c>
      <c r="C23" s="354" t="s">
        <v>45</v>
      </c>
      <c r="D23" s="383">
        <f>I23</f>
        <v>446</v>
      </c>
      <c r="E23" s="370"/>
      <c r="F23" s="370"/>
      <c r="G23" s="72"/>
      <c r="H23" s="380" t="s">
        <v>256</v>
      </c>
      <c r="I23" s="384">
        <v>446</v>
      </c>
      <c r="J23" s="353" t="s">
        <v>78</v>
      </c>
    </row>
    <row r="24" spans="1:14" x14ac:dyDescent="0.25">
      <c r="A24" s="371" t="s">
        <v>271</v>
      </c>
      <c r="B24" s="353" t="s">
        <v>272</v>
      </c>
      <c r="C24" s="354"/>
      <c r="D24" s="383">
        <f>IF(I24&gt;0,I24,0)</f>
        <v>0</v>
      </c>
      <c r="E24" s="370"/>
      <c r="F24" s="370"/>
      <c r="G24" s="72"/>
      <c r="H24" s="382" t="s">
        <v>273</v>
      </c>
      <c r="I24" s="385">
        <f>D22</f>
        <v>0</v>
      </c>
      <c r="J24" s="353" t="s">
        <v>272</v>
      </c>
    </row>
    <row r="25" spans="1:14" x14ac:dyDescent="0.25">
      <c r="A25" s="371" t="s">
        <v>274</v>
      </c>
      <c r="B25" s="353" t="s">
        <v>63</v>
      </c>
      <c r="C25" s="354" t="s">
        <v>45</v>
      </c>
      <c r="D25" s="383">
        <f>IF(I24&gt;0,I25,0)</f>
        <v>0</v>
      </c>
      <c r="E25" s="370"/>
      <c r="F25" s="386"/>
      <c r="H25" s="382" t="s">
        <v>273</v>
      </c>
      <c r="I25" s="385">
        <f>IF(D22&gt;0,D22+I19,0)-1</f>
        <v>-1</v>
      </c>
      <c r="J25" s="353" t="s">
        <v>63</v>
      </c>
    </row>
    <row r="26" spans="1:14" x14ac:dyDescent="0.25">
      <c r="A26" s="371" t="s">
        <v>275</v>
      </c>
      <c r="B26" s="353" t="s">
        <v>276</v>
      </c>
      <c r="C26" s="354" t="s">
        <v>45</v>
      </c>
      <c r="D26" s="375">
        <f>D21+D23</f>
        <v>45671</v>
      </c>
      <c r="E26" s="375"/>
      <c r="F26" s="375"/>
      <c r="G26" s="72"/>
      <c r="H26" s="387"/>
      <c r="I26" s="72"/>
      <c r="J26" s="72"/>
    </row>
    <row r="27" spans="1:14" x14ac:dyDescent="0.25">
      <c r="A27" s="371" t="s">
        <v>277</v>
      </c>
      <c r="B27" s="353" t="s">
        <v>67</v>
      </c>
      <c r="C27" s="354" t="s">
        <v>45</v>
      </c>
      <c r="D27" s="383">
        <f>+D18-D17+1-D23</f>
        <v>44</v>
      </c>
      <c r="E27" s="388"/>
      <c r="F27" s="388"/>
      <c r="G27" s="72"/>
      <c r="H27" s="387"/>
      <c r="I27" s="389"/>
    </row>
    <row r="28" spans="1:14" x14ac:dyDescent="0.25">
      <c r="A28" s="371" t="s">
        <v>278</v>
      </c>
      <c r="B28" s="353" t="s">
        <v>279</v>
      </c>
      <c r="C28" s="354" t="s">
        <v>45</v>
      </c>
      <c r="D28" s="390" t="e">
        <f>#REF!</f>
        <v>#REF!</v>
      </c>
      <c r="E28" s="390"/>
      <c r="F28" s="390"/>
      <c r="G28" s="72"/>
      <c r="H28" s="331"/>
      <c r="I28" s="391">
        <f>'SWA (August 30, 2024)'!L31</f>
        <v>6.5799999999999999E-3</v>
      </c>
      <c r="J28" s="72" t="s">
        <v>280</v>
      </c>
    </row>
    <row r="29" spans="1:14" ht="15.6" customHeight="1" x14ac:dyDescent="0.25">
      <c r="A29" s="371" t="s">
        <v>281</v>
      </c>
      <c r="B29" s="353" t="s">
        <v>282</v>
      </c>
      <c r="C29" s="354" t="s">
        <v>45</v>
      </c>
      <c r="D29" s="392">
        <f>I29</f>
        <v>0.14033009983067468</v>
      </c>
      <c r="E29" s="392"/>
      <c r="F29" s="392"/>
      <c r="G29" s="72"/>
      <c r="H29" s="382" t="s">
        <v>273</v>
      </c>
      <c r="I29" s="393">
        <f>(((SIN((((180*((D27))/D19)-90)*(3.14159265358979/180)))+1)*50)/100)</f>
        <v>0.14033009983067468</v>
      </c>
      <c r="J29" s="394" t="s">
        <v>283</v>
      </c>
      <c r="K29" s="355"/>
      <c r="L29" s="355"/>
      <c r="M29" s="68"/>
      <c r="N29" s="395"/>
    </row>
    <row r="30" spans="1:14" x14ac:dyDescent="0.25">
      <c r="A30" s="371" t="s">
        <v>284</v>
      </c>
      <c r="B30" s="353" t="s">
        <v>73</v>
      </c>
      <c r="C30" s="354" t="s">
        <v>45</v>
      </c>
      <c r="D30" s="396" t="e">
        <f>D28-D29</f>
        <v>#REF!</v>
      </c>
      <c r="E30" s="396"/>
      <c r="F30" s="396"/>
      <c r="G30" s="72"/>
      <c r="H30" s="382" t="s">
        <v>273</v>
      </c>
      <c r="I30" s="393" t="str">
        <f>IF(I25&gt;0,(((SIN((((180*((D27))/D25)-90)*(3.14159265358979/180)))+1)*50)/100),"")</f>
        <v/>
      </c>
      <c r="J30" s="394" t="s">
        <v>285</v>
      </c>
      <c r="K30" s="355"/>
      <c r="L30" s="355"/>
      <c r="M30" s="68"/>
      <c r="N30" s="395"/>
    </row>
    <row r="31" spans="1:14" x14ac:dyDescent="0.25">
      <c r="A31" s="371" t="s">
        <v>64</v>
      </c>
      <c r="B31" s="353" t="s">
        <v>75</v>
      </c>
      <c r="C31" s="354" t="s">
        <v>45</v>
      </c>
      <c r="D31" s="397"/>
      <c r="E31" s="397"/>
      <c r="F31" s="397"/>
      <c r="G31" s="72"/>
      <c r="H31" s="331"/>
      <c r="I31" s="60"/>
    </row>
    <row r="32" spans="1:14" x14ac:dyDescent="0.25">
      <c r="A32" s="371"/>
      <c r="B32" s="316"/>
      <c r="C32" s="316"/>
      <c r="D32" s="398"/>
      <c r="E32" s="398"/>
      <c r="F32" s="398"/>
      <c r="H32" s="382" t="s">
        <v>273</v>
      </c>
      <c r="I32" s="393">
        <f>D27/D19</f>
        <v>0.24444444444444444</v>
      </c>
      <c r="J32" s="394" t="s">
        <v>286</v>
      </c>
      <c r="K32" s="68"/>
      <c r="L32" s="68"/>
      <c r="M32" s="68"/>
      <c r="N32" s="395"/>
    </row>
    <row r="33" spans="1:14" x14ac:dyDescent="0.25">
      <c r="A33" s="316"/>
      <c r="B33" s="316"/>
      <c r="C33" s="316"/>
      <c r="D33" s="316"/>
      <c r="E33" s="316"/>
      <c r="F33" s="316"/>
      <c r="H33" s="382" t="s">
        <v>273</v>
      </c>
      <c r="I33" s="393">
        <v>1</v>
      </c>
      <c r="J33" s="394" t="s">
        <v>287</v>
      </c>
      <c r="K33" s="68"/>
      <c r="L33" s="68"/>
      <c r="M33" s="68"/>
      <c r="N33" s="395"/>
    </row>
    <row r="34" spans="1:14" x14ac:dyDescent="0.25">
      <c r="E34" s="316"/>
      <c r="F34" s="316"/>
      <c r="H34" s="399"/>
    </row>
    <row r="35" spans="1:14" x14ac:dyDescent="0.25">
      <c r="A35" s="316"/>
      <c r="B35" s="353" t="s">
        <v>27</v>
      </c>
      <c r="C35" s="316"/>
      <c r="D35" s="353" t="s">
        <v>288</v>
      </c>
      <c r="E35" s="316"/>
      <c r="F35" s="316"/>
      <c r="H35" s="454" t="s">
        <v>289</v>
      </c>
      <c r="I35" s="400" t="s">
        <v>290</v>
      </c>
      <c r="J35" s="401"/>
    </row>
    <row r="36" spans="1:14" x14ac:dyDescent="0.25">
      <c r="A36" s="316"/>
      <c r="B36" s="316"/>
      <c r="C36" s="316"/>
      <c r="D36" s="316"/>
      <c r="E36" s="316"/>
      <c r="F36" s="316"/>
      <c r="H36" s="455"/>
      <c r="I36" s="402" t="s">
        <v>291</v>
      </c>
      <c r="J36" s="403"/>
    </row>
    <row r="37" spans="1:14" x14ac:dyDescent="0.25">
      <c r="A37" s="316"/>
      <c r="B37" s="316"/>
      <c r="C37" s="316"/>
      <c r="D37" s="316"/>
      <c r="E37" s="326"/>
      <c r="F37" s="326"/>
      <c r="G37" s="63"/>
      <c r="H37" s="321"/>
      <c r="I37" s="321"/>
    </row>
    <row r="38" spans="1:14" x14ac:dyDescent="0.25">
      <c r="A38" s="316"/>
      <c r="B38" s="321" t="s">
        <v>295</v>
      </c>
      <c r="C38" s="316"/>
      <c r="D38" s="321" t="s">
        <v>296</v>
      </c>
      <c r="E38" s="404"/>
      <c r="F38" s="404"/>
    </row>
    <row r="39" spans="1:14" x14ac:dyDescent="0.25">
      <c r="B39" s="316" t="s">
        <v>32</v>
      </c>
      <c r="C39" s="316"/>
      <c r="D39" s="316" t="s">
        <v>297</v>
      </c>
    </row>
    <row r="41" spans="1:14" x14ac:dyDescent="0.25">
      <c r="B41" s="63"/>
    </row>
  </sheetData>
  <mergeCells count="9">
    <mergeCell ref="B9:F9"/>
    <mergeCell ref="D12:F12"/>
    <mergeCell ref="H35:H36"/>
    <mergeCell ref="A2:F2"/>
    <mergeCell ref="A3:F3"/>
    <mergeCell ref="A4:F4"/>
    <mergeCell ref="A5:F5"/>
    <mergeCell ref="H6:K6"/>
    <mergeCell ref="A7:F7"/>
  </mergeCells>
  <printOptions horizontalCentered="1"/>
  <pageMargins left="0.51181102362204722" right="0.51181102362204722" top="1.1417322834645669" bottom="0.74803149606299213" header="0.31496062992125984" footer="0.31496062992125984"/>
  <pageSetup paperSize="14" scale="9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Y93"/>
  <sheetViews>
    <sheetView view="pageBreakPreview" zoomScaleNormal="100" zoomScaleSheetLayoutView="100" workbookViewId="0">
      <pane xSplit="3" topLeftCell="D1" activePane="topRight" state="frozen"/>
      <selection activeCell="A4" sqref="A4"/>
      <selection pane="topRight" activeCell="B10" sqref="B10:C17"/>
    </sheetView>
  </sheetViews>
  <sheetFormatPr defaultRowHeight="15" x14ac:dyDescent="0.25"/>
  <cols>
    <col min="2" max="2" width="24.42578125" customWidth="1"/>
    <col min="3" max="3" width="12.85546875" customWidth="1"/>
    <col min="4" max="4" width="9.7109375" customWidth="1"/>
    <col min="5" max="5" width="5.140625" customWidth="1"/>
    <col min="6" max="6" width="13.85546875" customWidth="1"/>
    <col min="7" max="7" width="17" customWidth="1"/>
    <col min="8" max="8" width="10.140625" customWidth="1"/>
    <col min="9" max="9" width="10.28515625" customWidth="1"/>
    <col min="10" max="11" width="10.7109375" customWidth="1"/>
    <col min="12" max="12" width="10" customWidth="1"/>
    <col min="13" max="13" width="13.7109375" customWidth="1"/>
    <col min="14" max="16" width="13.140625" customWidth="1"/>
    <col min="17" max="17" width="14" customWidth="1"/>
    <col min="18" max="18" width="13.140625" bestFit="1" customWidth="1"/>
    <col min="19" max="19" width="15.7109375" style="1" customWidth="1"/>
    <col min="20" max="20" width="10.28515625" style="1" customWidth="1"/>
    <col min="21" max="21" width="11.7109375" customWidth="1"/>
    <col min="22" max="22" width="11" bestFit="1" customWidth="1"/>
    <col min="23" max="23" width="11.7109375" bestFit="1" customWidth="1"/>
    <col min="24" max="24" width="12.85546875" bestFit="1" customWidth="1"/>
  </cols>
  <sheetData>
    <row r="1" spans="1:21" ht="21" customHeight="1" x14ac:dyDescent="0.25">
      <c r="A1" s="502" t="s">
        <v>96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129"/>
      <c r="O1" s="129"/>
      <c r="P1" s="129"/>
      <c r="Q1" s="129"/>
      <c r="R1" s="129"/>
    </row>
    <row r="2" spans="1:21" x14ac:dyDescent="0.25">
      <c r="A2" s="479"/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130"/>
      <c r="O2" s="130"/>
      <c r="P2" s="130"/>
      <c r="Q2" s="130"/>
    </row>
    <row r="3" spans="1:21" x14ac:dyDescent="0.25">
      <c r="A3" s="2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spans="1:21" s="5" customFormat="1" ht="13.15" customHeight="1" x14ac:dyDescent="0.25">
      <c r="A4" s="3"/>
      <c r="B4" s="4" t="s">
        <v>298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/>
      <c r="S4" s="1"/>
      <c r="T4" s="1"/>
      <c r="U4"/>
    </row>
    <row r="5" spans="1:21" s="5" customFormat="1" ht="13.15" customHeight="1" x14ac:dyDescent="0.25">
      <c r="A5" s="2"/>
      <c r="B5" s="6" t="s">
        <v>294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/>
      <c r="S5" s="1"/>
      <c r="T5" s="1"/>
      <c r="U5"/>
    </row>
    <row r="6" spans="1:21" s="5" customFormat="1" ht="13.15" customHeight="1" thickBot="1" x14ac:dyDescent="0.3">
      <c r="A6" s="2"/>
      <c r="B6" s="100"/>
      <c r="C6" s="100"/>
      <c r="D6" s="100"/>
      <c r="E6" s="100"/>
      <c r="F6" s="100"/>
      <c r="G6" s="100"/>
      <c r="H6" s="100"/>
      <c r="I6" s="7"/>
      <c r="J6" s="100"/>
      <c r="K6" s="100"/>
      <c r="L6" s="100"/>
      <c r="M6" s="100"/>
      <c r="N6" s="100"/>
      <c r="O6" s="100"/>
      <c r="P6" s="100"/>
      <c r="Q6" s="100"/>
      <c r="R6"/>
      <c r="S6" s="1"/>
      <c r="T6" s="1"/>
    </row>
    <row r="7" spans="1:21" s="5" customFormat="1" ht="13.15" customHeight="1" x14ac:dyDescent="0.25">
      <c r="A7" s="8" t="s">
        <v>0</v>
      </c>
      <c r="B7" s="484" t="s">
        <v>1</v>
      </c>
      <c r="C7" s="485"/>
      <c r="D7" s="488" t="s">
        <v>2</v>
      </c>
      <c r="E7" s="489"/>
      <c r="F7" s="101" t="s">
        <v>3</v>
      </c>
      <c r="G7" s="101" t="s">
        <v>4</v>
      </c>
      <c r="H7" s="9" t="s">
        <v>5</v>
      </c>
      <c r="I7" s="490" t="s">
        <v>6</v>
      </c>
      <c r="J7" s="491"/>
      <c r="K7" s="492"/>
      <c r="L7" s="101" t="s">
        <v>5</v>
      </c>
      <c r="M7" s="10" t="s">
        <v>7</v>
      </c>
      <c r="N7" s="96"/>
      <c r="O7" s="115"/>
      <c r="P7" s="116"/>
      <c r="Q7" s="124"/>
      <c r="R7" s="121"/>
    </row>
    <row r="8" spans="1:21" s="5" customFormat="1" ht="13.15" customHeight="1" x14ac:dyDescent="0.25">
      <c r="A8" s="12" t="s">
        <v>8</v>
      </c>
      <c r="B8" s="486"/>
      <c r="C8" s="487"/>
      <c r="D8" s="493" t="s">
        <v>9</v>
      </c>
      <c r="E8" s="494"/>
      <c r="F8" s="102" t="s">
        <v>10</v>
      </c>
      <c r="G8" s="102" t="s">
        <v>11</v>
      </c>
      <c r="H8" s="13" t="s">
        <v>12</v>
      </c>
      <c r="I8" s="14" t="s">
        <v>13</v>
      </c>
      <c r="J8" s="15" t="s">
        <v>14</v>
      </c>
      <c r="K8" s="16" t="s">
        <v>15</v>
      </c>
      <c r="L8" s="102" t="s">
        <v>12</v>
      </c>
      <c r="M8" s="17" t="s">
        <v>16</v>
      </c>
      <c r="N8" s="117"/>
      <c r="O8" s="118"/>
      <c r="P8" s="119"/>
      <c r="Q8" s="118"/>
      <c r="R8"/>
      <c r="S8"/>
    </row>
    <row r="9" spans="1:21" s="5" customFormat="1" ht="13.15" customHeight="1" x14ac:dyDescent="0.2">
      <c r="A9" s="18"/>
      <c r="B9" s="19"/>
      <c r="C9" s="20"/>
      <c r="D9" s="495" t="s">
        <v>17</v>
      </c>
      <c r="E9" s="496"/>
      <c r="F9" s="496"/>
      <c r="G9" s="496"/>
      <c r="H9" s="21"/>
      <c r="I9" s="22"/>
      <c r="J9" s="22"/>
      <c r="K9" s="23"/>
      <c r="L9" s="24"/>
      <c r="M9" s="25"/>
      <c r="N9" s="99"/>
      <c r="O9" s="125"/>
      <c r="P9" s="99">
        <v>497476.03</v>
      </c>
      <c r="Q9" s="99"/>
      <c r="R9" s="27"/>
      <c r="S9" s="26"/>
    </row>
    <row r="10" spans="1:21" s="5" customFormat="1" ht="13.15" customHeight="1" x14ac:dyDescent="0.25">
      <c r="A10" s="122"/>
      <c r="B10" s="29" t="s">
        <v>299</v>
      </c>
      <c r="C10" s="30"/>
      <c r="D10" s="405">
        <v>230</v>
      </c>
      <c r="E10" s="406" t="s">
        <v>104</v>
      </c>
      <c r="F10" s="407">
        <v>50.74</v>
      </c>
      <c r="G10" s="408">
        <f>ROUND(F10*D10,2)</f>
        <v>11670.2</v>
      </c>
      <c r="H10" s="409">
        <f t="shared" ref="H10:H20" si="0">ROUND((G10/$G$30),5)</f>
        <v>1.1849999999999999E-2</v>
      </c>
      <c r="I10" s="410"/>
      <c r="J10" s="411">
        <f>G10</f>
        <v>11670.2</v>
      </c>
      <c r="K10" s="410">
        <f t="shared" ref="K10:K20" si="1">J10</f>
        <v>11670.2</v>
      </c>
      <c r="L10" s="409">
        <f t="shared" ref="L10:L20" si="2">ROUND(K10/$G$30,5)</f>
        <v>1.1849999999999999E-2</v>
      </c>
      <c r="M10" s="412" t="str">
        <f>IF(G10=K10,IF(G10&gt;0,"COMPLETED","Removed"),"On-going")</f>
        <v>COMPLETED</v>
      </c>
      <c r="N10" s="11"/>
      <c r="O10" s="126">
        <v>1.4200000000000001E-2</v>
      </c>
      <c r="P10" s="1">
        <f>ROUND($P$9*O10,3)</f>
        <v>7064.16</v>
      </c>
      <c r="Q10" s="128">
        <f>ROUND(P10/D10,5)</f>
        <v>30.713740000000001</v>
      </c>
      <c r="R10" s="40">
        <f>ROUND(Q10*D10,2)</f>
        <v>7064.16</v>
      </c>
      <c r="S10" s="40"/>
      <c r="T10" s="1"/>
    </row>
    <row r="11" spans="1:21" s="5" customFormat="1" ht="13.9" customHeight="1" x14ac:dyDescent="0.25">
      <c r="A11" s="122"/>
      <c r="B11" s="29" t="s">
        <v>111</v>
      </c>
      <c r="C11" s="30"/>
      <c r="D11" s="405">
        <v>46</v>
      </c>
      <c r="E11" s="406" t="s">
        <v>103</v>
      </c>
      <c r="F11" s="407">
        <v>979.58</v>
      </c>
      <c r="G11" s="408">
        <f t="shared" ref="G11:G20" si="3">ROUND(F11*D11,2)</f>
        <v>45060.68</v>
      </c>
      <c r="H11" s="409">
        <f t="shared" si="0"/>
        <v>4.5749999999999999E-2</v>
      </c>
      <c r="I11" s="410"/>
      <c r="J11" s="411">
        <f t="shared" ref="J11:J16" si="4">G11</f>
        <v>45060.68</v>
      </c>
      <c r="K11" s="410">
        <f t="shared" si="1"/>
        <v>45060.68</v>
      </c>
      <c r="L11" s="409">
        <f t="shared" si="2"/>
        <v>4.5749999999999999E-2</v>
      </c>
      <c r="M11" s="412" t="str">
        <f t="shared" ref="M11:M16" si="5">IF(G11=K11,IF(G11&gt;0,"COMPLETED","Removed"),"On-going")</f>
        <v>COMPLETED</v>
      </c>
      <c r="N11" s="11"/>
      <c r="O11" s="126">
        <v>1.4200000000000001E-2</v>
      </c>
      <c r="P11" s="1">
        <f t="shared" ref="P11:P19" si="6">ROUND($P$9*O11,3)</f>
        <v>7064.16</v>
      </c>
      <c r="Q11" s="128">
        <f t="shared" ref="Q11:Q16" si="7">ROUND(P11/D11,5)</f>
        <v>153.56870000000001</v>
      </c>
      <c r="R11" s="40">
        <f t="shared" ref="R11:R16" si="8">ROUND(Q11*D11,2)</f>
        <v>7064.16</v>
      </c>
      <c r="S11" s="40"/>
      <c r="T11" s="1"/>
    </row>
    <row r="12" spans="1:21" s="5" customFormat="1" ht="13.9" customHeight="1" x14ac:dyDescent="0.25">
      <c r="A12" s="122"/>
      <c r="B12" s="29" t="s">
        <v>102</v>
      </c>
      <c r="C12" s="30"/>
      <c r="D12" s="405">
        <v>230</v>
      </c>
      <c r="E12" s="406" t="s">
        <v>104</v>
      </c>
      <c r="F12" s="407">
        <v>1360.32</v>
      </c>
      <c r="G12" s="408">
        <f t="shared" si="3"/>
        <v>312873.59999999998</v>
      </c>
      <c r="H12" s="409">
        <f t="shared" si="0"/>
        <v>0.31764999999999999</v>
      </c>
      <c r="I12" s="410"/>
      <c r="J12" s="411">
        <f t="shared" si="4"/>
        <v>312873.59999999998</v>
      </c>
      <c r="K12" s="410">
        <f t="shared" si="1"/>
        <v>312873.59999999998</v>
      </c>
      <c r="L12" s="409">
        <f t="shared" si="2"/>
        <v>0.31764999999999999</v>
      </c>
      <c r="M12" s="412" t="str">
        <f t="shared" si="5"/>
        <v>COMPLETED</v>
      </c>
      <c r="N12" s="11"/>
      <c r="O12" s="126">
        <v>0.64229999999999998</v>
      </c>
      <c r="P12" s="1">
        <f t="shared" si="6"/>
        <v>319528.85399999999</v>
      </c>
      <c r="Q12" s="128">
        <f t="shared" si="7"/>
        <v>1389.2558899999999</v>
      </c>
      <c r="R12" s="40">
        <f t="shared" si="8"/>
        <v>319528.84999999998</v>
      </c>
      <c r="S12" s="40"/>
      <c r="T12" s="1"/>
    </row>
    <row r="13" spans="1:21" s="5" customFormat="1" ht="12.75" customHeight="1" x14ac:dyDescent="0.25">
      <c r="A13" s="122"/>
      <c r="B13" s="29" t="s">
        <v>300</v>
      </c>
      <c r="C13" s="30"/>
      <c r="D13" s="405">
        <v>64.8</v>
      </c>
      <c r="E13" s="406" t="s">
        <v>103</v>
      </c>
      <c r="F13" s="407">
        <v>169.17</v>
      </c>
      <c r="G13" s="408">
        <f t="shared" si="3"/>
        <v>10962.22</v>
      </c>
      <c r="H13" s="409">
        <f t="shared" si="0"/>
        <v>1.1129999999999999E-2</v>
      </c>
      <c r="I13" s="410"/>
      <c r="J13" s="411">
        <f t="shared" si="4"/>
        <v>10962.22</v>
      </c>
      <c r="K13" s="410">
        <f t="shared" si="1"/>
        <v>10962.22</v>
      </c>
      <c r="L13" s="409">
        <f t="shared" si="2"/>
        <v>1.1129999999999999E-2</v>
      </c>
      <c r="M13" s="412" t="str">
        <f t="shared" si="5"/>
        <v>COMPLETED</v>
      </c>
      <c r="N13" s="11"/>
      <c r="O13" s="126">
        <v>0.28570000000000001</v>
      </c>
      <c r="P13" s="1">
        <f t="shared" si="6"/>
        <v>142128.902</v>
      </c>
      <c r="Q13" s="128">
        <f t="shared" si="7"/>
        <v>2193.3472499999998</v>
      </c>
      <c r="R13" s="40">
        <f t="shared" si="8"/>
        <v>142128.9</v>
      </c>
      <c r="S13" s="40"/>
      <c r="T13" s="1"/>
    </row>
    <row r="14" spans="1:21" s="5" customFormat="1" ht="25.15" customHeight="1" x14ac:dyDescent="0.25">
      <c r="A14" s="122"/>
      <c r="B14" s="507" t="s">
        <v>301</v>
      </c>
      <c r="C14" s="508"/>
      <c r="D14" s="405">
        <v>3021.44</v>
      </c>
      <c r="E14" s="406" t="s">
        <v>112</v>
      </c>
      <c r="F14" s="407">
        <v>76.22</v>
      </c>
      <c r="G14" s="408">
        <f t="shared" si="3"/>
        <v>230294.16</v>
      </c>
      <c r="H14" s="409">
        <f t="shared" si="0"/>
        <v>0.23380999999999999</v>
      </c>
      <c r="I14" s="410"/>
      <c r="J14" s="411">
        <f t="shared" si="4"/>
        <v>230294.16</v>
      </c>
      <c r="K14" s="410">
        <f t="shared" si="1"/>
        <v>230294.16</v>
      </c>
      <c r="L14" s="409">
        <f t="shared" si="2"/>
        <v>0.23380999999999999</v>
      </c>
      <c r="M14" s="412" t="str">
        <f t="shared" si="5"/>
        <v>COMPLETED</v>
      </c>
      <c r="N14" s="1"/>
      <c r="O14" s="126">
        <v>2.5399999999999999E-2</v>
      </c>
      <c r="P14" s="1">
        <f t="shared" si="6"/>
        <v>12635.891</v>
      </c>
      <c r="Q14" s="128">
        <f t="shared" si="7"/>
        <v>4.18208</v>
      </c>
      <c r="R14" s="40">
        <f t="shared" si="8"/>
        <v>12635.9</v>
      </c>
      <c r="S14" s="40"/>
      <c r="T14" s="1"/>
    </row>
    <row r="15" spans="1:21" ht="25.15" customHeight="1" x14ac:dyDescent="0.25">
      <c r="A15" s="122"/>
      <c r="B15" s="507" t="s">
        <v>302</v>
      </c>
      <c r="C15" s="508"/>
      <c r="D15" s="405">
        <v>36</v>
      </c>
      <c r="E15" s="406" t="s">
        <v>103</v>
      </c>
      <c r="F15" s="407">
        <v>7119</v>
      </c>
      <c r="G15" s="408">
        <f t="shared" si="3"/>
        <v>256284</v>
      </c>
      <c r="H15" s="409">
        <f t="shared" si="0"/>
        <v>0.26019999999999999</v>
      </c>
      <c r="I15" s="410"/>
      <c r="J15" s="411">
        <f t="shared" si="4"/>
        <v>256284</v>
      </c>
      <c r="K15" s="410">
        <f t="shared" si="1"/>
        <v>256284</v>
      </c>
      <c r="L15" s="409">
        <f t="shared" si="2"/>
        <v>0.26019999999999999</v>
      </c>
      <c r="M15" s="412" t="str">
        <f t="shared" si="5"/>
        <v>COMPLETED</v>
      </c>
      <c r="N15" s="11"/>
      <c r="O15" s="126">
        <v>1.03E-2</v>
      </c>
      <c r="P15" s="1">
        <f t="shared" si="6"/>
        <v>5124.0029999999997</v>
      </c>
      <c r="Q15" s="128">
        <f t="shared" si="7"/>
        <v>142.33341999999999</v>
      </c>
      <c r="R15" s="40">
        <f t="shared" si="8"/>
        <v>5124</v>
      </c>
      <c r="S15" s="40"/>
    </row>
    <row r="16" spans="1:21" s="5" customFormat="1" ht="13.9" customHeight="1" x14ac:dyDescent="0.25">
      <c r="A16" s="122"/>
      <c r="B16" s="29" t="s">
        <v>107</v>
      </c>
      <c r="C16" s="30"/>
      <c r="D16" s="405">
        <v>46</v>
      </c>
      <c r="E16" s="406" t="s">
        <v>113</v>
      </c>
      <c r="F16" s="407">
        <v>1607.18</v>
      </c>
      <c r="G16" s="408">
        <f t="shared" si="3"/>
        <v>73930.28</v>
      </c>
      <c r="H16" s="409">
        <f t="shared" si="0"/>
        <v>7.5060000000000002E-2</v>
      </c>
      <c r="I16" s="410"/>
      <c r="J16" s="411">
        <f t="shared" si="4"/>
        <v>73930.28</v>
      </c>
      <c r="K16" s="410">
        <f t="shared" si="1"/>
        <v>73930.28</v>
      </c>
      <c r="L16" s="409">
        <f t="shared" si="2"/>
        <v>7.5060000000000002E-2</v>
      </c>
      <c r="M16" s="412" t="str">
        <f t="shared" si="5"/>
        <v>COMPLETED</v>
      </c>
      <c r="N16" s="42"/>
      <c r="O16" s="126">
        <v>7.9000000000000008E-3</v>
      </c>
      <c r="P16" s="1">
        <f t="shared" si="6"/>
        <v>3930.0610000000001</v>
      </c>
      <c r="Q16" s="128">
        <f t="shared" si="7"/>
        <v>85.436109999999999</v>
      </c>
      <c r="R16" s="40">
        <f t="shared" si="8"/>
        <v>3930.06</v>
      </c>
      <c r="S16" s="40"/>
      <c r="T16" s="1"/>
    </row>
    <row r="17" spans="1:25" s="5" customFormat="1" ht="16.5" customHeight="1" x14ac:dyDescent="0.25">
      <c r="A17" s="122"/>
      <c r="B17" s="29" t="s">
        <v>303</v>
      </c>
      <c r="C17" s="30"/>
      <c r="D17" s="405">
        <v>1</v>
      </c>
      <c r="E17" s="406" t="s">
        <v>105</v>
      </c>
      <c r="F17" s="407">
        <v>6825</v>
      </c>
      <c r="G17" s="408">
        <f t="shared" si="3"/>
        <v>6825</v>
      </c>
      <c r="H17" s="409">
        <f t="shared" si="0"/>
        <v>6.9300000000000004E-3</v>
      </c>
      <c r="I17" s="410"/>
      <c r="J17" s="411">
        <f>G17</f>
        <v>6825</v>
      </c>
      <c r="K17" s="410">
        <f t="shared" si="1"/>
        <v>6825</v>
      </c>
      <c r="L17" s="409">
        <f t="shared" si="2"/>
        <v>6.9300000000000004E-3</v>
      </c>
      <c r="M17" s="412" t="str">
        <f>IF(G17=K17,IF(G17&gt;0,"COMPLETED","Removed"),"On-going")</f>
        <v>COMPLETED</v>
      </c>
      <c r="N17" s="1"/>
      <c r="O17" s="126">
        <v>2.5399999999999999E-2</v>
      </c>
      <c r="P17" s="1">
        <f t="shared" si="6"/>
        <v>12635.891</v>
      </c>
      <c r="Q17" s="128">
        <f>ROUND(P17/D17,5)</f>
        <v>12635.891</v>
      </c>
      <c r="R17" s="40">
        <f>ROUND(Q17*D17,2)</f>
        <v>12635.89</v>
      </c>
      <c r="S17" s="40"/>
      <c r="T17" s="1"/>
    </row>
    <row r="18" spans="1:25" ht="13.9" customHeight="1" x14ac:dyDescent="0.25">
      <c r="A18" s="122"/>
      <c r="B18" s="29" t="s">
        <v>304</v>
      </c>
      <c r="C18" s="30"/>
      <c r="D18" s="405">
        <v>1</v>
      </c>
      <c r="E18" s="406" t="s">
        <v>105</v>
      </c>
      <c r="F18" s="407">
        <v>12726</v>
      </c>
      <c r="G18" s="408">
        <f t="shared" si="3"/>
        <v>12726</v>
      </c>
      <c r="H18" s="409">
        <f t="shared" si="0"/>
        <v>1.2919999999999999E-2</v>
      </c>
      <c r="I18" s="410"/>
      <c r="J18" s="411">
        <f>G18</f>
        <v>12726</v>
      </c>
      <c r="K18" s="410">
        <f t="shared" si="1"/>
        <v>12726</v>
      </c>
      <c r="L18" s="409">
        <f t="shared" si="2"/>
        <v>1.2919999999999999E-2</v>
      </c>
      <c r="M18" s="412" t="str">
        <f>IF(G18=K18,IF(G18&gt;0,"COMPLETED","Removed"),"On-going")</f>
        <v>COMPLETED</v>
      </c>
      <c r="N18" s="11"/>
      <c r="O18" s="126">
        <v>1.03E-2</v>
      </c>
      <c r="P18" s="1">
        <f t="shared" si="6"/>
        <v>5124.0029999999997</v>
      </c>
      <c r="Q18" s="128">
        <f>ROUND(P18/D18,5)</f>
        <v>5124.0029999999997</v>
      </c>
      <c r="R18" s="40">
        <f>ROUND(Q18*D18,2)</f>
        <v>5124</v>
      </c>
      <c r="S18" s="40"/>
    </row>
    <row r="19" spans="1:25" s="5" customFormat="1" ht="13.9" customHeight="1" x14ac:dyDescent="0.25">
      <c r="A19" s="122"/>
      <c r="B19" s="29" t="s">
        <v>305</v>
      </c>
      <c r="C19" s="30"/>
      <c r="D19" s="405">
        <v>2.5</v>
      </c>
      <c r="E19" s="406" t="s">
        <v>106</v>
      </c>
      <c r="F19" s="407">
        <v>5197.5</v>
      </c>
      <c r="G19" s="408">
        <f t="shared" si="3"/>
        <v>12993.75</v>
      </c>
      <c r="H19" s="409">
        <f t="shared" si="0"/>
        <v>1.319E-2</v>
      </c>
      <c r="I19" s="410"/>
      <c r="J19" s="411">
        <f>G19</f>
        <v>12993.75</v>
      </c>
      <c r="K19" s="410">
        <f t="shared" si="1"/>
        <v>12993.75</v>
      </c>
      <c r="L19" s="409">
        <f t="shared" si="2"/>
        <v>1.319E-2</v>
      </c>
      <c r="M19" s="412" t="str">
        <f>IF(G19=K19,IF(G19&gt;0,"COMPLETED","Removed"),"On-going")</f>
        <v>COMPLETED</v>
      </c>
      <c r="N19" s="42"/>
      <c r="O19" s="126">
        <v>7.9000000000000008E-3</v>
      </c>
      <c r="P19" s="1">
        <f t="shared" si="6"/>
        <v>3930.0610000000001</v>
      </c>
      <c r="Q19" s="128">
        <f>ROUND(P19/D19,5)</f>
        <v>1572.0244</v>
      </c>
      <c r="R19" s="40">
        <f>ROUND(Q19*D19,2)</f>
        <v>3930.06</v>
      </c>
      <c r="S19" s="40"/>
      <c r="T19" s="1"/>
    </row>
    <row r="20" spans="1:25" s="5" customFormat="1" ht="13.9" customHeight="1" x14ac:dyDescent="0.25">
      <c r="A20" s="122"/>
      <c r="B20" s="29" t="s">
        <v>110</v>
      </c>
      <c r="C20" s="30"/>
      <c r="D20" s="405">
        <v>2</v>
      </c>
      <c r="E20" s="406" t="s">
        <v>36</v>
      </c>
      <c r="F20" s="407">
        <v>5670</v>
      </c>
      <c r="G20" s="408">
        <f t="shared" si="3"/>
        <v>11340</v>
      </c>
      <c r="H20" s="409">
        <f t="shared" si="0"/>
        <v>1.1509999999999999E-2</v>
      </c>
      <c r="I20" s="410"/>
      <c r="J20" s="411">
        <f>G20</f>
        <v>11340</v>
      </c>
      <c r="K20" s="410">
        <f t="shared" si="1"/>
        <v>11340</v>
      </c>
      <c r="L20" s="409">
        <f t="shared" si="2"/>
        <v>1.1509999999999999E-2</v>
      </c>
      <c r="M20" s="412" t="str">
        <f>IF(G20=K20,IF(G20&gt;0,"COMPLETED","Removed"),"On-going")</f>
        <v>COMPLETED</v>
      </c>
      <c r="N20"/>
      <c r="O20" s="127">
        <f>SUM(O10:O16)</f>
        <v>0.99999999999999989</v>
      </c>
      <c r="P20" s="39">
        <f>SUM(P10:P16)</f>
        <v>497476.03100000002</v>
      </c>
      <c r="Q20" s="40"/>
      <c r="R20" s="39">
        <f>SUM(R10:R16)</f>
        <v>497476.02999999997</v>
      </c>
      <c r="S20" s="40"/>
      <c r="T20" s="1"/>
    </row>
    <row r="21" spans="1:25" s="5" customFormat="1" ht="13.9" customHeight="1" x14ac:dyDescent="0.25">
      <c r="A21" s="122"/>
      <c r="B21" s="29" t="s">
        <v>306</v>
      </c>
      <c r="C21" s="30"/>
      <c r="D21" s="31"/>
      <c r="E21" s="32"/>
      <c r="F21" s="104"/>
      <c r="G21" s="33"/>
      <c r="H21" s="34"/>
      <c r="I21" s="35"/>
      <c r="J21" s="36"/>
      <c r="K21" s="35"/>
      <c r="L21" s="34"/>
      <c r="M21" s="38"/>
      <c r="N21" s="11"/>
      <c r="O21" s="98"/>
      <c r="P21" s="1"/>
      <c r="Q21" s="40"/>
      <c r="R21" s="40"/>
      <c r="S21" s="40"/>
      <c r="T21" s="1"/>
    </row>
    <row r="22" spans="1:25" s="5" customFormat="1" ht="13.9" customHeight="1" x14ac:dyDescent="0.25">
      <c r="A22" s="122"/>
      <c r="B22" s="29" t="s">
        <v>307</v>
      </c>
      <c r="C22" s="30"/>
      <c r="D22" s="31"/>
      <c r="E22" s="32"/>
      <c r="F22" s="104"/>
      <c r="G22" s="33"/>
      <c r="H22" s="34"/>
      <c r="I22" s="35"/>
      <c r="J22" s="36"/>
      <c r="K22" s="35"/>
      <c r="L22" s="34"/>
      <c r="M22" s="38"/>
      <c r="N22" s="11"/>
      <c r="O22" s="98"/>
      <c r="P22" s="1"/>
      <c r="Q22" s="40"/>
      <c r="R22" s="40"/>
      <c r="S22" s="40"/>
      <c r="T22" s="1"/>
    </row>
    <row r="23" spans="1:25" s="5" customFormat="1" ht="13.9" customHeight="1" x14ac:dyDescent="0.25">
      <c r="A23" s="122"/>
      <c r="B23" s="29"/>
      <c r="C23" s="30"/>
      <c r="D23" s="31"/>
      <c r="E23" s="32"/>
      <c r="F23" s="104"/>
      <c r="G23" s="33"/>
      <c r="H23" s="34"/>
      <c r="I23" s="35"/>
      <c r="J23" s="36"/>
      <c r="K23" s="35"/>
      <c r="L23" s="34"/>
      <c r="M23" s="38"/>
      <c r="N23" s="11"/>
      <c r="O23" s="98"/>
      <c r="P23" s="1"/>
      <c r="Q23" s="40"/>
      <c r="R23" s="40"/>
      <c r="S23" s="40"/>
      <c r="T23" s="1"/>
    </row>
    <row r="24" spans="1:25" s="5" customFormat="1" ht="13.9" customHeight="1" x14ac:dyDescent="0.25">
      <c r="A24" s="122"/>
      <c r="B24" s="29"/>
      <c r="C24" s="30"/>
      <c r="D24" s="31"/>
      <c r="E24" s="32"/>
      <c r="F24" s="104"/>
      <c r="G24" s="33"/>
      <c r="H24" s="34"/>
      <c r="I24" s="35"/>
      <c r="J24" s="36"/>
      <c r="K24" s="35"/>
      <c r="L24" s="34"/>
      <c r="M24" s="38"/>
      <c r="N24" s="11"/>
      <c r="O24" s="98"/>
      <c r="P24" s="1"/>
      <c r="Q24" s="40"/>
      <c r="R24" s="40"/>
      <c r="S24" s="40"/>
      <c r="T24" s="1"/>
    </row>
    <row r="25" spans="1:25" s="5" customFormat="1" ht="13.9" customHeight="1" x14ac:dyDescent="0.25">
      <c r="A25" s="122"/>
      <c r="B25" s="29"/>
      <c r="C25" s="30"/>
      <c r="D25" s="31"/>
      <c r="E25" s="32"/>
      <c r="F25" s="104"/>
      <c r="G25" s="33"/>
      <c r="H25" s="34"/>
      <c r="I25" s="35"/>
      <c r="J25" s="36"/>
      <c r="K25" s="35"/>
      <c r="L25" s="34"/>
      <c r="M25" s="38"/>
      <c r="N25" s="11"/>
      <c r="O25" s="98"/>
      <c r="P25" s="1"/>
      <c r="Q25" s="40"/>
      <c r="R25" s="40"/>
      <c r="S25" s="40"/>
      <c r="T25" s="1"/>
    </row>
    <row r="26" spans="1:25" s="5" customFormat="1" ht="13.9" customHeight="1" x14ac:dyDescent="0.25">
      <c r="A26" s="122"/>
      <c r="B26" s="29"/>
      <c r="C26" s="30"/>
      <c r="D26" s="31"/>
      <c r="E26" s="32"/>
      <c r="F26" s="104"/>
      <c r="G26" s="33"/>
      <c r="H26" s="34"/>
      <c r="I26" s="35"/>
      <c r="J26" s="36"/>
      <c r="K26" s="35"/>
      <c r="L26" s="34"/>
      <c r="M26" s="38"/>
      <c r="N26" s="11"/>
      <c r="O26" s="98"/>
      <c r="P26" s="1"/>
      <c r="Q26" s="40"/>
      <c r="R26" s="40"/>
      <c r="S26" s="40"/>
      <c r="T26" s="1"/>
    </row>
    <row r="27" spans="1:25" s="5" customFormat="1" ht="13.9" customHeight="1" x14ac:dyDescent="0.25">
      <c r="A27" s="122"/>
      <c r="B27" s="29"/>
      <c r="C27" s="30"/>
      <c r="D27" s="31"/>
      <c r="E27" s="32"/>
      <c r="F27" s="104"/>
      <c r="G27" s="33"/>
      <c r="H27" s="34"/>
      <c r="I27" s="35"/>
      <c r="J27" s="36"/>
      <c r="K27" s="35"/>
      <c r="L27" s="34"/>
      <c r="M27" s="38"/>
      <c r="N27" s="11"/>
      <c r="O27" s="98"/>
      <c r="P27" s="1"/>
      <c r="Q27" s="40"/>
      <c r="R27" s="40"/>
      <c r="S27" s="40"/>
      <c r="T27" s="1"/>
    </row>
    <row r="28" spans="1:25" s="5" customFormat="1" ht="13.9" customHeight="1" x14ac:dyDescent="0.25">
      <c r="A28" s="122"/>
      <c r="B28" s="29"/>
      <c r="C28" s="30"/>
      <c r="D28" s="31"/>
      <c r="E28" s="32"/>
      <c r="F28" s="104"/>
      <c r="G28" s="33"/>
      <c r="H28" s="34"/>
      <c r="I28" s="35"/>
      <c r="J28" s="36"/>
      <c r="K28" s="35"/>
      <c r="L28" s="34"/>
      <c r="M28" s="38"/>
      <c r="N28" s="11"/>
      <c r="O28" s="98"/>
      <c r="P28" s="1"/>
      <c r="Q28" s="40"/>
      <c r="R28" s="40"/>
      <c r="S28" s="40"/>
      <c r="T28" s="1"/>
    </row>
    <row r="29" spans="1:25" s="5" customFormat="1" ht="13.9" customHeight="1" thickBot="1" x14ac:dyDescent="0.3">
      <c r="A29" s="28"/>
      <c r="B29" s="29"/>
      <c r="C29" s="30"/>
      <c r="D29" s="106"/>
      <c r="E29" s="30"/>
      <c r="F29" s="104"/>
      <c r="G29" s="33"/>
      <c r="H29" s="37"/>
      <c r="I29" s="35"/>
      <c r="J29" s="36"/>
      <c r="K29" s="35"/>
      <c r="L29" s="37"/>
      <c r="M29" s="38"/>
      <c r="N29" s="11"/>
      <c r="O29" s="98"/>
      <c r="P29" s="1"/>
      <c r="Q29" s="40"/>
      <c r="R29" s="40"/>
      <c r="S29" s="40"/>
      <c r="T29" s="1"/>
    </row>
    <row r="30" spans="1:25" ht="13.9" customHeight="1" thickBot="1" x14ac:dyDescent="0.3">
      <c r="A30" s="498" t="s">
        <v>18</v>
      </c>
      <c r="B30" s="499"/>
      <c r="C30" s="499"/>
      <c r="D30" s="499"/>
      <c r="E30" s="499"/>
      <c r="F30" s="43"/>
      <c r="G30" s="44">
        <f>SUM(G10:G21)</f>
        <v>984959.89</v>
      </c>
      <c r="H30" s="45">
        <f>SUM(H10:H21)</f>
        <v>1</v>
      </c>
      <c r="I30" s="44">
        <f>SUM(I10:I29)</f>
        <v>0</v>
      </c>
      <c r="J30" s="44">
        <f>ROUND(SUM(J10:J29),2)</f>
        <v>984959.89</v>
      </c>
      <c r="K30" s="44">
        <f>ROUND(SUM(K10:K29),2)</f>
        <v>984959.89</v>
      </c>
      <c r="L30" s="107">
        <f>SUM(L10:L29)</f>
        <v>1</v>
      </c>
      <c r="M30" s="46"/>
      <c r="N30" s="11"/>
      <c r="O30" s="98"/>
      <c r="P30" s="1"/>
      <c r="Q30" s="40"/>
      <c r="R30" s="40"/>
      <c r="S30" s="40"/>
    </row>
    <row r="31" spans="1:25" s="5" customFormat="1" ht="13.9" customHeight="1" x14ac:dyDescent="0.25">
      <c r="A31" s="50"/>
      <c r="B31" s="50"/>
      <c r="C31" s="50"/>
      <c r="D31" s="50"/>
      <c r="E31" s="50"/>
      <c r="F31" s="51"/>
      <c r="G31" s="51"/>
      <c r="H31" s="52"/>
      <c r="I31" s="52"/>
      <c r="J31" s="52"/>
      <c r="K31" s="52"/>
      <c r="L31" s="52"/>
      <c r="M31" s="51"/>
      <c r="N31" s="51"/>
      <c r="O31" s="51"/>
      <c r="P31" s="51"/>
      <c r="Q31" s="53"/>
      <c r="S31" s="11"/>
      <c r="T31" s="98"/>
      <c r="U31" s="1"/>
      <c r="V31" s="40"/>
      <c r="W31" s="40"/>
      <c r="X31" s="40"/>
      <c r="Y31" s="1"/>
    </row>
    <row r="32" spans="1:25" s="5" customFormat="1" ht="13.9" customHeight="1" x14ac:dyDescent="0.25">
      <c r="A32" s="53"/>
      <c r="B32" s="53"/>
      <c r="C32" s="53"/>
      <c r="D32" s="53"/>
      <c r="E32" s="53"/>
      <c r="F32" s="51"/>
      <c r="G32" s="51"/>
      <c r="H32" s="51"/>
      <c r="I32" s="51"/>
      <c r="J32" s="51"/>
      <c r="K32" s="51"/>
      <c r="L32" s="51"/>
      <c r="M32" s="53"/>
      <c r="N32" s="53"/>
      <c r="O32" s="53"/>
      <c r="P32" s="53"/>
      <c r="Q32" s="53"/>
      <c r="S32"/>
      <c r="T32" s="1"/>
      <c r="U32" s="1"/>
      <c r="V32" s="40"/>
      <c r="W32" s="40"/>
      <c r="X32" s="40"/>
      <c r="Y32" s="1"/>
    </row>
    <row r="33" spans="1:25" s="5" customFormat="1" ht="13.9" customHeight="1" x14ac:dyDescent="0.25">
      <c r="A33" s="53"/>
      <c r="B33" s="53"/>
      <c r="C33" s="53"/>
      <c r="E33" s="53"/>
      <c r="F33" s="53" t="s">
        <v>19</v>
      </c>
      <c r="J33" s="501">
        <f>L30</f>
        <v>1</v>
      </c>
      <c r="K33" s="501"/>
      <c r="O33" s="54"/>
      <c r="P33" s="53"/>
      <c r="Q33" s="53"/>
      <c r="S33" s="41"/>
      <c r="T33" s="1"/>
      <c r="U33" s="1"/>
      <c r="V33" s="40"/>
      <c r="W33" s="40"/>
      <c r="X33" s="40"/>
      <c r="Y33" s="1"/>
    </row>
    <row r="34" spans="1:25" s="5" customFormat="1" ht="13.9" customHeight="1" x14ac:dyDescent="0.2">
      <c r="A34" s="53"/>
      <c r="B34" s="53"/>
      <c r="C34" s="53"/>
      <c r="E34" s="53"/>
      <c r="F34" s="55" t="s">
        <v>20</v>
      </c>
      <c r="J34" s="483">
        <f>G30</f>
        <v>984959.89</v>
      </c>
      <c r="K34" s="483"/>
      <c r="O34" s="53"/>
      <c r="P34" s="53"/>
      <c r="Q34" s="51"/>
      <c r="S34" s="1"/>
      <c r="T34" s="1"/>
      <c r="U34" s="1"/>
      <c r="V34" s="40"/>
      <c r="W34" s="40"/>
      <c r="X34" s="40"/>
      <c r="Y34" s="1"/>
    </row>
    <row r="35" spans="1:25" s="5" customFormat="1" ht="13.9" customHeight="1" x14ac:dyDescent="0.2">
      <c r="A35" s="53"/>
      <c r="B35" s="56"/>
      <c r="C35" s="56"/>
      <c r="E35" s="53"/>
      <c r="F35" s="55" t="s">
        <v>21</v>
      </c>
      <c r="J35" s="483">
        <f>J30</f>
        <v>984959.89</v>
      </c>
      <c r="K35" s="483"/>
      <c r="O35" s="51"/>
      <c r="P35" s="53"/>
      <c r="Q35" s="53"/>
      <c r="S35" s="42"/>
      <c r="T35" s="39"/>
      <c r="U35" s="1"/>
      <c r="V35" s="40"/>
      <c r="W35" s="40"/>
      <c r="X35" s="40"/>
      <c r="Y35" s="1"/>
    </row>
    <row r="36" spans="1:25" s="5" customFormat="1" ht="13.9" customHeight="1" thickBot="1" x14ac:dyDescent="0.3">
      <c r="A36" s="53"/>
      <c r="E36" s="56" t="s">
        <v>22</v>
      </c>
      <c r="F36" s="55"/>
      <c r="J36" s="480"/>
      <c r="K36" s="480"/>
      <c r="O36" s="51"/>
      <c r="P36" s="53"/>
      <c r="Q36" s="53"/>
      <c r="S36"/>
      <c r="T36" s="1"/>
      <c r="U36" s="1"/>
      <c r="V36" s="40"/>
      <c r="W36" s="40"/>
      <c r="X36" s="40"/>
      <c r="Y36" s="1"/>
    </row>
    <row r="37" spans="1:25" s="5" customFormat="1" ht="13.9" customHeight="1" x14ac:dyDescent="0.25">
      <c r="A37" s="53"/>
      <c r="B37" s="53"/>
      <c r="C37" s="53"/>
      <c r="E37" s="53"/>
      <c r="F37" s="55" t="s">
        <v>24</v>
      </c>
      <c r="J37" s="481">
        <f>SUM(K30-J36)</f>
        <v>984959.89</v>
      </c>
      <c r="K37" s="481"/>
      <c r="O37" s="51"/>
      <c r="P37" s="53"/>
      <c r="Q37" s="53"/>
      <c r="S37" s="123"/>
      <c r="T37" s="1"/>
      <c r="U37" s="1"/>
      <c r="V37" s="40"/>
      <c r="W37" s="40"/>
      <c r="X37" s="40"/>
      <c r="Y37" s="1"/>
    </row>
    <row r="38" spans="1:25" s="5" customFormat="1" ht="13.9" customHeight="1" x14ac:dyDescent="0.2">
      <c r="A38" s="53"/>
      <c r="B38" s="53"/>
      <c r="C38" s="53"/>
      <c r="E38" s="53"/>
      <c r="F38" s="55"/>
      <c r="M38" s="57"/>
      <c r="N38" s="57"/>
      <c r="O38" s="51"/>
      <c r="P38" s="53"/>
      <c r="Q38" s="53"/>
      <c r="S38" s="1"/>
      <c r="T38" s="1"/>
      <c r="U38" s="1"/>
      <c r="V38" s="40"/>
      <c r="W38" s="40"/>
      <c r="X38" s="40"/>
      <c r="Y38" s="1"/>
    </row>
    <row r="39" spans="1:25" ht="13.9" customHeight="1" x14ac:dyDescent="0.25">
      <c r="A39" s="99" t="s">
        <v>25</v>
      </c>
      <c r="B39" s="2"/>
      <c r="C39" s="2" t="s">
        <v>26</v>
      </c>
      <c r="F39" s="2" t="s">
        <v>82</v>
      </c>
      <c r="I39" t="s">
        <v>27</v>
      </c>
      <c r="L39" s="99" t="s">
        <v>28</v>
      </c>
      <c r="S39" s="42"/>
      <c r="U39" s="1"/>
      <c r="V39" s="40"/>
      <c r="W39" s="40"/>
      <c r="X39" s="40"/>
      <c r="Y39" s="1"/>
    </row>
    <row r="40" spans="1:25" s="5" customFormat="1" ht="13.15" customHeight="1" x14ac:dyDescent="0.25">
      <c r="A40" s="99"/>
      <c r="B40" s="2"/>
      <c r="C40" s="2"/>
      <c r="D40" s="2"/>
      <c r="F40" s="2"/>
      <c r="G40"/>
      <c r="H40"/>
      <c r="I40"/>
      <c r="K40"/>
      <c r="L40" s="99"/>
      <c r="M40"/>
      <c r="N40"/>
      <c r="P40"/>
      <c r="Q40" s="2"/>
      <c r="R40" s="2"/>
      <c r="S40"/>
      <c r="T40" s="1"/>
      <c r="U40" s="1"/>
      <c r="V40" s="40"/>
      <c r="W40" s="40"/>
      <c r="X40" s="40"/>
    </row>
    <row r="41" spans="1:25" s="5" customFormat="1" ht="13.15" customHeight="1" x14ac:dyDescent="0.25">
      <c r="A41" s="2"/>
      <c r="B41" s="2"/>
      <c r="C41" s="2"/>
      <c r="D41" s="2"/>
      <c r="F41" s="2"/>
      <c r="G41"/>
      <c r="H41"/>
      <c r="I41"/>
      <c r="K41"/>
      <c r="L41" s="99"/>
      <c r="M41"/>
      <c r="N41"/>
      <c r="P41"/>
      <c r="Q41" s="2"/>
      <c r="R41" s="2"/>
      <c r="S41" s="47"/>
      <c r="T41" s="1"/>
      <c r="U41" s="1"/>
      <c r="V41" s="48"/>
      <c r="W41" s="49"/>
      <c r="X41" s="40"/>
      <c r="Y41" s="40"/>
    </row>
    <row r="42" spans="1:25" s="5" customFormat="1" ht="13.15" customHeight="1" x14ac:dyDescent="0.25">
      <c r="A42" s="2"/>
      <c r="B42" s="2"/>
      <c r="C42" s="2"/>
      <c r="D42" s="2"/>
      <c r="F42" s="2"/>
      <c r="G42"/>
      <c r="H42"/>
      <c r="I42"/>
      <c r="K42"/>
      <c r="L42" s="99"/>
      <c r="M42"/>
      <c r="N42"/>
      <c r="P42"/>
      <c r="Q42" s="2"/>
      <c r="R42" s="2"/>
      <c r="S42" s="1"/>
      <c r="T42" s="1"/>
      <c r="U42" s="40"/>
    </row>
    <row r="43" spans="1:25" s="5" customFormat="1" ht="13.15" customHeight="1" x14ac:dyDescent="0.25">
      <c r="A43" s="509"/>
      <c r="B43" s="509"/>
      <c r="C43" s="4" t="s">
        <v>29</v>
      </c>
      <c r="D43" s="4"/>
      <c r="F43" s="4" t="s">
        <v>80</v>
      </c>
      <c r="G43"/>
      <c r="H43" s="4"/>
      <c r="I43" s="96" t="str">
        <f ca="1">$I$43</f>
        <v>VINCENT S. TAGUBA</v>
      </c>
      <c r="K43"/>
      <c r="L43" s="96" t="s">
        <v>30</v>
      </c>
      <c r="M43"/>
      <c r="N43" s="96"/>
      <c r="P43"/>
      <c r="Q43"/>
      <c r="R43" s="120"/>
      <c r="S43" s="1"/>
      <c r="T43" s="1"/>
      <c r="U43" s="40"/>
    </row>
    <row r="44" spans="1:25" s="5" customFormat="1" ht="13.15" customHeight="1" x14ac:dyDescent="0.25">
      <c r="A44" s="510" t="s">
        <v>31</v>
      </c>
      <c r="B44" s="510"/>
      <c r="C44" s="2" t="s">
        <v>32</v>
      </c>
      <c r="D44" s="2"/>
      <c r="F44" s="2" t="s">
        <v>81</v>
      </c>
      <c r="G44"/>
      <c r="H44" s="2"/>
      <c r="I44" s="99" t="str">
        <f ca="1">$I$44</f>
        <v>Asst. Provincial Engineer- Designate</v>
      </c>
      <c r="K44"/>
      <c r="L44" s="99" t="s">
        <v>33</v>
      </c>
      <c r="M44"/>
      <c r="N44" s="99"/>
      <c r="P44"/>
      <c r="Q44"/>
      <c r="R44" s="100"/>
      <c r="S44" s="1"/>
      <c r="T44" s="1"/>
      <c r="U44" s="40"/>
    </row>
    <row r="45" spans="1:25" s="5" customFormat="1" ht="13.15" customHeight="1" x14ac:dyDescent="0.25">
      <c r="A45" s="99" t="s">
        <v>25</v>
      </c>
      <c r="B45" s="2"/>
      <c r="C45" s="2" t="s">
        <v>26</v>
      </c>
      <c r="D45"/>
      <c r="E45"/>
      <c r="F45" s="2" t="s">
        <v>86</v>
      </c>
      <c r="G45" s="2"/>
      <c r="H45"/>
      <c r="I45"/>
      <c r="J45" t="s">
        <v>27</v>
      </c>
      <c r="K45"/>
      <c r="L45"/>
      <c r="M45"/>
      <c r="N45" s="100" t="s">
        <v>28</v>
      </c>
      <c r="O45"/>
      <c r="P45"/>
      <c r="Q45"/>
      <c r="R45"/>
      <c r="S45" s="1"/>
      <c r="T45" s="1"/>
    </row>
    <row r="46" spans="1:25" s="5" customFormat="1" ht="13.15" customHeight="1" x14ac:dyDescent="0.25">
      <c r="A46" s="99"/>
      <c r="B46" s="2"/>
      <c r="C46" s="2"/>
      <c r="D46" s="2"/>
      <c r="E46"/>
      <c r="F46" s="2"/>
      <c r="G46" s="2"/>
      <c r="H46"/>
      <c r="I46"/>
      <c r="J46"/>
      <c r="K46"/>
      <c r="L46"/>
      <c r="M46" s="2"/>
      <c r="N46" s="2"/>
      <c r="O46" s="2"/>
      <c r="P46" s="2"/>
      <c r="Q46"/>
      <c r="R46"/>
      <c r="S46" s="1"/>
      <c r="T46" s="1"/>
    </row>
    <row r="47" spans="1:25" s="5" customFormat="1" ht="13.15" customHeight="1" x14ac:dyDescent="0.25">
      <c r="A47" s="2"/>
      <c r="B47" s="2"/>
      <c r="C47" s="2"/>
      <c r="D47" s="2"/>
      <c r="E47"/>
      <c r="F47" s="2"/>
      <c r="G47" s="2"/>
      <c r="H47"/>
      <c r="I47"/>
      <c r="J47"/>
      <c r="K47"/>
      <c r="L47"/>
      <c r="M47" s="2"/>
      <c r="N47" s="2"/>
      <c r="O47" s="2"/>
      <c r="P47" s="2"/>
      <c r="Q47"/>
      <c r="R47"/>
      <c r="S47" s="1"/>
      <c r="T47" s="1"/>
    </row>
    <row r="48" spans="1:25" s="5" customFormat="1" ht="13.15" customHeight="1" x14ac:dyDescent="0.25">
      <c r="A48" s="2"/>
      <c r="B48" s="2"/>
      <c r="C48" s="2"/>
      <c r="D48" s="2"/>
      <c r="E48"/>
      <c r="F48" s="2"/>
      <c r="G48" s="2"/>
      <c r="H48"/>
      <c r="I48"/>
      <c r="J48"/>
      <c r="K48"/>
      <c r="L48"/>
      <c r="M48" s="2"/>
      <c r="N48" s="2"/>
      <c r="O48" s="2"/>
      <c r="P48" s="2"/>
      <c r="Q48"/>
      <c r="R48"/>
      <c r="S48" s="1"/>
      <c r="T48" s="1"/>
    </row>
    <row r="49" spans="1:23" s="5" customFormat="1" ht="13.15" customHeight="1" x14ac:dyDescent="0.25">
      <c r="A49" s="482" t="e">
        <f>#REF!</f>
        <v>#REF!</v>
      </c>
      <c r="B49" s="482"/>
      <c r="C49" s="482" t="s">
        <v>87</v>
      </c>
      <c r="D49" s="482"/>
      <c r="E49" s="482"/>
      <c r="F49" s="482" t="s">
        <v>29</v>
      </c>
      <c r="G49" s="482"/>
      <c r="H49" s="482"/>
      <c r="I49" s="4"/>
      <c r="J49" s="482" t="str">
        <f>'[2]SWA(abd)'!H134</f>
        <v>VINCENT S. TAGUBA</v>
      </c>
      <c r="K49" s="482"/>
      <c r="L49" s="482"/>
      <c r="M49" s="4"/>
      <c r="N49" s="482" t="s">
        <v>30</v>
      </c>
      <c r="O49" s="482"/>
      <c r="P49" s="482"/>
      <c r="Q49"/>
      <c r="R49" s="4"/>
      <c r="S49" s="1"/>
      <c r="T49" s="1"/>
    </row>
    <row r="50" spans="1:23" ht="12.6" customHeight="1" x14ac:dyDescent="0.25">
      <c r="A50" s="479" t="s">
        <v>31</v>
      </c>
      <c r="B50" s="479"/>
      <c r="C50" s="479" t="s">
        <v>88</v>
      </c>
      <c r="D50" s="479"/>
      <c r="E50" s="479"/>
      <c r="F50" s="479" t="s">
        <v>32</v>
      </c>
      <c r="G50" s="479"/>
      <c r="H50" s="479"/>
      <c r="I50" s="2"/>
      <c r="J50" s="479" t="str">
        <f>'[2]SWA(abd)'!H135</f>
        <v>Asst. Provincial Engineer- Designate</v>
      </c>
      <c r="K50" s="479"/>
      <c r="L50" s="479"/>
      <c r="M50" s="2"/>
      <c r="N50" s="479" t="s">
        <v>33</v>
      </c>
      <c r="O50" s="479"/>
      <c r="P50" s="479"/>
      <c r="R50" s="2"/>
      <c r="S50"/>
      <c r="W50" s="2"/>
    </row>
    <row r="51" spans="1:23" ht="12.6" customHeight="1" x14ac:dyDescent="0.25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2"/>
      <c r="S51" s="2"/>
      <c r="T51" s="58"/>
      <c r="U51" s="2"/>
      <c r="W51" s="2"/>
    </row>
    <row r="52" spans="1:23" ht="12.6" customHeight="1" x14ac:dyDescent="0.25">
      <c r="A52" s="103"/>
      <c r="B52" s="502" t="str">
        <f>A1</f>
        <v>STATEMENT OF WORK ACCOMPLISHMENT</v>
      </c>
      <c r="C52" s="502"/>
      <c r="D52" s="502"/>
      <c r="E52" s="502"/>
      <c r="F52" s="502"/>
      <c r="G52" s="502"/>
      <c r="H52" s="502"/>
      <c r="I52" s="502"/>
      <c r="J52" s="502"/>
      <c r="K52" s="502"/>
      <c r="L52" s="502"/>
      <c r="M52" s="502"/>
      <c r="N52" s="502"/>
      <c r="O52" s="502"/>
      <c r="P52" s="502"/>
      <c r="Q52" s="502"/>
      <c r="S52" s="2"/>
      <c r="T52" s="58"/>
      <c r="U52" s="2"/>
      <c r="W52" s="2"/>
    </row>
    <row r="53" spans="1:23" ht="12.6" customHeight="1" x14ac:dyDescent="0.25">
      <c r="A53" s="2"/>
      <c r="B53" s="479" t="s">
        <v>84</v>
      </c>
      <c r="C53" s="479"/>
      <c r="D53" s="479"/>
      <c r="E53" s="479"/>
      <c r="F53" s="479"/>
      <c r="G53" s="479"/>
      <c r="H53" s="479"/>
      <c r="I53" s="479"/>
      <c r="J53" s="479"/>
      <c r="K53" s="479"/>
      <c r="L53" s="479"/>
      <c r="M53" s="479"/>
      <c r="N53" s="479"/>
      <c r="O53" s="479"/>
      <c r="P53" s="479"/>
      <c r="Q53" s="479"/>
      <c r="S53" s="2"/>
      <c r="T53" s="58"/>
      <c r="U53" s="2"/>
      <c r="W53" s="2"/>
    </row>
    <row r="54" spans="1:23" ht="12.6" customHeight="1" x14ac:dyDescent="0.25">
      <c r="A54" s="2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S54" s="120"/>
    </row>
    <row r="55" spans="1:23" ht="12.6" customHeight="1" x14ac:dyDescent="0.25">
      <c r="A55" s="3" t="s">
        <v>83</v>
      </c>
      <c r="B55" s="4" t="str">
        <f>'[2]SWA(abd)'!B12</f>
        <v>CONCRETING OF FARM TO MARKET ROAD ZIMINILA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S55" s="100"/>
    </row>
    <row r="56" spans="1:23" ht="12.6" customHeight="1" x14ac:dyDescent="0.25">
      <c r="A56" s="2"/>
      <c r="B56" s="6" t="str">
        <f>'[2]SWA(abd)'!B13</f>
        <v>CAMALANIUGAN, CAGAYAN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W56" s="2"/>
    </row>
    <row r="57" spans="1:23" ht="12.6" customHeight="1" thickBot="1" x14ac:dyDescent="0.3">
      <c r="A57" s="2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S57" s="58"/>
      <c r="T57" s="58"/>
      <c r="U57" s="2"/>
      <c r="W57" s="2"/>
    </row>
    <row r="58" spans="1:23" ht="12.6" customHeight="1" x14ac:dyDescent="0.25">
      <c r="A58" s="8" t="s">
        <v>0</v>
      </c>
      <c r="B58" s="484" t="s">
        <v>1</v>
      </c>
      <c r="C58" s="485"/>
      <c r="D58" s="488" t="s">
        <v>2</v>
      </c>
      <c r="E58" s="489"/>
      <c r="F58" s="101" t="s">
        <v>3</v>
      </c>
      <c r="G58" s="101" t="s">
        <v>4</v>
      </c>
      <c r="H58" s="9" t="s">
        <v>5</v>
      </c>
      <c r="I58" s="488" t="s">
        <v>2</v>
      </c>
      <c r="J58" s="489"/>
      <c r="K58" s="101" t="s">
        <v>3</v>
      </c>
      <c r="L58" s="101" t="s">
        <v>4</v>
      </c>
      <c r="M58" s="490" t="s">
        <v>6</v>
      </c>
      <c r="N58" s="491"/>
      <c r="O58" s="492"/>
      <c r="P58" s="101" t="s">
        <v>5</v>
      </c>
      <c r="Q58" s="10" t="s">
        <v>7</v>
      </c>
      <c r="S58" s="58"/>
      <c r="T58" s="58"/>
      <c r="U58" s="2"/>
      <c r="W58" s="2"/>
    </row>
    <row r="59" spans="1:23" ht="12.6" customHeight="1" x14ac:dyDescent="0.25">
      <c r="A59" s="12" t="s">
        <v>8</v>
      </c>
      <c r="B59" s="486"/>
      <c r="C59" s="487"/>
      <c r="D59" s="493" t="s">
        <v>9</v>
      </c>
      <c r="E59" s="494"/>
      <c r="F59" s="102" t="s">
        <v>10</v>
      </c>
      <c r="G59" s="102" t="s">
        <v>11</v>
      </c>
      <c r="H59" s="13" t="s">
        <v>12</v>
      </c>
      <c r="I59" s="493" t="s">
        <v>9</v>
      </c>
      <c r="J59" s="494"/>
      <c r="K59" s="102" t="s">
        <v>10</v>
      </c>
      <c r="L59" s="102" t="s">
        <v>11</v>
      </c>
      <c r="M59" s="14" t="s">
        <v>13</v>
      </c>
      <c r="N59" s="15" t="s">
        <v>14</v>
      </c>
      <c r="O59" s="16" t="s">
        <v>15</v>
      </c>
      <c r="P59" s="102" t="s">
        <v>12</v>
      </c>
      <c r="Q59" s="17" t="s">
        <v>16</v>
      </c>
      <c r="S59" s="58"/>
      <c r="T59" s="58"/>
      <c r="U59" s="2"/>
      <c r="W59" s="2"/>
    </row>
    <row r="60" spans="1:23" ht="12.6" customHeight="1" x14ac:dyDescent="0.25">
      <c r="A60" s="18"/>
      <c r="B60" s="19"/>
      <c r="C60" s="20"/>
      <c r="D60" s="495" t="s">
        <v>17</v>
      </c>
      <c r="E60" s="496"/>
      <c r="F60" s="496"/>
      <c r="G60" s="497"/>
      <c r="H60" s="108"/>
      <c r="I60" s="511" t="s">
        <v>85</v>
      </c>
      <c r="J60" s="511"/>
      <c r="K60" s="511"/>
      <c r="L60" s="512"/>
      <c r="M60" s="22"/>
      <c r="N60" s="22"/>
      <c r="O60" s="23"/>
      <c r="P60" s="24"/>
      <c r="Q60" s="25"/>
    </row>
    <row r="61" spans="1:23" ht="12.6" customHeight="1" x14ac:dyDescent="0.25">
      <c r="A61" s="110" t="str">
        <f>'[2]SWA(abd)'!A17</f>
        <v>105(1)</v>
      </c>
      <c r="B61" s="111" t="str">
        <f>'[2]SWA(abd)'!B17:C17</f>
        <v>Sub Grade Preparation</v>
      </c>
      <c r="C61" s="30"/>
      <c r="D61" s="112">
        <f>'[2]SWA(abd)'!D17</f>
        <v>1075.8</v>
      </c>
      <c r="E61" s="15" t="str">
        <f>'[2]SWA(abd)'!E17</f>
        <v>sq.m.</v>
      </c>
      <c r="F61" s="59">
        <f>'[2]SWA(abd)'!F17</f>
        <v>102.17</v>
      </c>
      <c r="G61" s="104">
        <f>'[2]SWA(abd)'!G17</f>
        <v>109364.91</v>
      </c>
      <c r="H61" s="113">
        <f t="shared" ref="H61:H67" si="9">(G61/$G$68)*100</f>
        <v>10.022837773851711</v>
      </c>
      <c r="I61" s="113">
        <f>[2]vo1_A!K13</f>
        <v>1075.8</v>
      </c>
      <c r="J61" s="15" t="s">
        <v>89</v>
      </c>
      <c r="K61" s="59">
        <f>[2]vo1_A!D13</f>
        <v>102.17</v>
      </c>
      <c r="L61" s="105">
        <f>ROUND(I61*K61*0.995,2)</f>
        <v>109364.91</v>
      </c>
      <c r="M61" s="35"/>
      <c r="N61" s="36"/>
      <c r="O61" s="35">
        <f t="shared" ref="O61:O67" si="10">M61+N61</f>
        <v>0</v>
      </c>
      <c r="P61" s="37">
        <f>ROUND(O61/$L$68,4)</f>
        <v>0</v>
      </c>
      <c r="Q61" s="38" t="s">
        <v>90</v>
      </c>
    </row>
    <row r="62" spans="1:23" ht="12.6" customHeight="1" x14ac:dyDescent="0.25">
      <c r="A62" s="110" t="str">
        <f>'[2]SWA(abd)'!A18</f>
        <v>200(1)</v>
      </c>
      <c r="B62" s="111" t="str">
        <f>'[2]SWA(abd)'!B18:C18</f>
        <v>Aggregate Sub Base Coarse</v>
      </c>
      <c r="C62" s="30"/>
      <c r="D62" s="112">
        <f>'[2]SWA(abd)'!D18</f>
        <v>173.25</v>
      </c>
      <c r="E62" s="15" t="str">
        <f>'[2]SWA(abd)'!E18</f>
        <v>sq.m.</v>
      </c>
      <c r="F62" s="104">
        <v>804.58</v>
      </c>
      <c r="G62" s="104">
        <f>'[2]SWA(abd)'!G18</f>
        <v>223636.89</v>
      </c>
      <c r="H62" s="113">
        <f t="shared" si="9"/>
        <v>20.495388042825802</v>
      </c>
      <c r="I62" s="113">
        <f>[2]vo1_A!K14</f>
        <v>173.25</v>
      </c>
      <c r="J62" s="15" t="s">
        <v>89</v>
      </c>
      <c r="K62" s="59">
        <f>[2]vo1_A!D14</f>
        <v>1297.32</v>
      </c>
      <c r="L62" s="105">
        <f t="shared" ref="L62:L67" si="11">ROUND(I62*K62*0.995,2)</f>
        <v>223636.89</v>
      </c>
      <c r="M62" s="35"/>
      <c r="N62" s="36"/>
      <c r="O62" s="35">
        <f t="shared" si="10"/>
        <v>0</v>
      </c>
      <c r="P62" s="37">
        <f t="shared" ref="P62:P67" si="12">ROUND(O62/$G$68,4)</f>
        <v>0</v>
      </c>
      <c r="Q62" s="38" t="s">
        <v>90</v>
      </c>
    </row>
    <row r="63" spans="1:23" ht="21" customHeight="1" x14ac:dyDescent="0.25">
      <c r="A63" s="110" t="str">
        <f>'[2]SWA(abd)'!A19</f>
        <v>311(1)C</v>
      </c>
      <c r="B63" s="111" t="str">
        <f>'[2]SWA(abd)'!B19:C19</f>
        <v>PCCP</v>
      </c>
      <c r="C63" s="30"/>
      <c r="D63" s="112">
        <f>'[2]SWA(abd)'!D19</f>
        <v>660</v>
      </c>
      <c r="E63" s="15" t="str">
        <f>'[2]SWA(abd)'!E19</f>
        <v>sq.m.</v>
      </c>
      <c r="F63" s="104">
        <v>72.959999999999994</v>
      </c>
      <c r="G63" s="104">
        <f>'[2]SWA(abd)'!G19</f>
        <v>672973.03</v>
      </c>
      <c r="H63" s="113">
        <f t="shared" si="9"/>
        <v>61.675170819117767</v>
      </c>
      <c r="I63" s="113">
        <f>[2]vo1_A!K15</f>
        <v>660</v>
      </c>
      <c r="J63" s="15" t="s">
        <v>34</v>
      </c>
      <c r="K63" s="59">
        <f>[2]vo1_A!D15</f>
        <v>1024.78</v>
      </c>
      <c r="L63" s="105">
        <f t="shared" si="11"/>
        <v>672973.03</v>
      </c>
      <c r="M63" s="35"/>
      <c r="N63" s="36"/>
      <c r="O63" s="35">
        <f t="shared" si="10"/>
        <v>0</v>
      </c>
      <c r="P63" s="37">
        <f t="shared" si="12"/>
        <v>0</v>
      </c>
      <c r="Q63" s="38" t="s">
        <v>90</v>
      </c>
    </row>
    <row r="64" spans="1:23" x14ac:dyDescent="0.25">
      <c r="A64" s="110" t="str">
        <f>'[2]SWA(abd)'!A20</f>
        <v>B.9</v>
      </c>
      <c r="B64" s="111" t="str">
        <f>'[2]SWA(abd)'!B20:C20</f>
        <v>Mobilization/ Demobilization</v>
      </c>
      <c r="C64" s="30"/>
      <c r="D64" s="112">
        <f>'[2]SWA(abd)'!D20</f>
        <v>1</v>
      </c>
      <c r="E64" s="15" t="str">
        <f>'[2]SWA(abd)'!E20</f>
        <v>l/s</v>
      </c>
      <c r="F64" s="112">
        <v>128.93</v>
      </c>
      <c r="G64" s="104">
        <f>'[2]SWA(abd)'!G20</f>
        <v>25951.88</v>
      </c>
      <c r="H64" s="113">
        <f t="shared" si="9"/>
        <v>2.3783815409025322</v>
      </c>
      <c r="I64" s="113">
        <f>[2]vo1_A!K16</f>
        <v>1</v>
      </c>
      <c r="J64" s="15" t="s">
        <v>34</v>
      </c>
      <c r="K64" s="59">
        <f>[2]vo1_A!D16</f>
        <v>26082.29</v>
      </c>
      <c r="L64" s="105">
        <f t="shared" si="11"/>
        <v>25951.88</v>
      </c>
      <c r="M64" s="35"/>
      <c r="N64" s="36"/>
      <c r="O64" s="35">
        <f t="shared" si="10"/>
        <v>0</v>
      </c>
      <c r="P64" s="37">
        <f t="shared" si="12"/>
        <v>0</v>
      </c>
      <c r="Q64" s="38" t="s">
        <v>90</v>
      </c>
    </row>
    <row r="65" spans="1:23" x14ac:dyDescent="0.25">
      <c r="A65" s="110" t="str">
        <f>'[2]SWA(abd)'!A21</f>
        <v>B.5</v>
      </c>
      <c r="B65" s="111" t="str">
        <f>'[2]SWA(abd)'!B21:C21</f>
        <v>Billboards and Signages</v>
      </c>
      <c r="C65" s="30"/>
      <c r="D65" s="112">
        <f>'[2]SWA(abd)'!D21</f>
        <v>2</v>
      </c>
      <c r="E65" s="15" t="str">
        <f>'[2]SWA(abd)'!E21</f>
        <v>each</v>
      </c>
      <c r="F65" s="112">
        <v>18.37</v>
      </c>
      <c r="G65" s="104">
        <f>'[2]SWA(abd)'!G21</f>
        <v>10196.76</v>
      </c>
      <c r="H65" s="113">
        <f t="shared" si="9"/>
        <v>0.93449051710370512</v>
      </c>
      <c r="I65" s="113">
        <f>[2]vo1_A!K17</f>
        <v>2</v>
      </c>
      <c r="J65" s="15" t="s">
        <v>35</v>
      </c>
      <c r="K65" s="59">
        <f>[2]vo1_A!D17</f>
        <v>5124</v>
      </c>
      <c r="L65" s="105">
        <f t="shared" si="11"/>
        <v>10196.76</v>
      </c>
      <c r="M65" s="35"/>
      <c r="N65" s="36"/>
      <c r="O65" s="35">
        <f t="shared" si="10"/>
        <v>0</v>
      </c>
      <c r="P65" s="37">
        <f t="shared" si="12"/>
        <v>0</v>
      </c>
      <c r="Q65" s="38" t="s">
        <v>90</v>
      </c>
    </row>
    <row r="66" spans="1:23" x14ac:dyDescent="0.25">
      <c r="A66" s="110" t="str">
        <f>'[2]SWA(abd)'!A22</f>
        <v>B.7</v>
      </c>
      <c r="B66" s="111" t="str">
        <f>'[2]SWA(abd)'!B22:C22</f>
        <v>Occupational Health and Safety</v>
      </c>
      <c r="C66" s="30"/>
      <c r="D66" s="112">
        <f>'[2]SWA(abd)'!D22</f>
        <v>1</v>
      </c>
      <c r="E66" s="15" t="str">
        <f>'[2]SWA(abd)'!E22</f>
        <v>l/s</v>
      </c>
      <c r="F66" s="112">
        <v>1208.8900000000001</v>
      </c>
      <c r="G66" s="104">
        <f>'[2]SWA(abd)'!G22</f>
        <v>28041.09</v>
      </c>
      <c r="H66" s="113">
        <f t="shared" si="9"/>
        <v>2.5698489220351886</v>
      </c>
      <c r="I66" s="113">
        <f>[2]vo1_A!K18</f>
        <v>1</v>
      </c>
      <c r="J66" s="15" t="s">
        <v>34</v>
      </c>
      <c r="K66" s="59">
        <f>[2]vo1_A!D18</f>
        <v>28182</v>
      </c>
      <c r="L66" s="105">
        <f t="shared" si="11"/>
        <v>28041.09</v>
      </c>
      <c r="M66" s="35"/>
      <c r="N66" s="36"/>
      <c r="O66" s="35">
        <f t="shared" si="10"/>
        <v>0</v>
      </c>
      <c r="P66" s="37">
        <f t="shared" si="12"/>
        <v>0</v>
      </c>
      <c r="Q66" s="38" t="s">
        <v>90</v>
      </c>
    </row>
    <row r="67" spans="1:23" ht="15.75" thickBot="1" x14ac:dyDescent="0.3">
      <c r="A67" s="110" t="str">
        <f>'[2]SWA(abd)'!A23</f>
        <v>A.1.1(8a)</v>
      </c>
      <c r="B67" s="111" t="str">
        <f>'[2]SWA(abd)'!B23:C23</f>
        <v>Provisions of Field Office for the Engineer</v>
      </c>
      <c r="C67" s="30"/>
      <c r="D67" s="112">
        <f>'[2]SWA(abd)'!D23</f>
        <v>1.83</v>
      </c>
      <c r="E67" s="15" t="str">
        <f>'[2]SWA(abd)'!E23</f>
        <v>mos</v>
      </c>
      <c r="F67" s="104">
        <v>1291.19</v>
      </c>
      <c r="G67" s="104">
        <f>'[2]SWA(abd)'!G23</f>
        <v>20992.58</v>
      </c>
      <c r="H67" s="113">
        <f t="shared" si="9"/>
        <v>1.9238823841632928</v>
      </c>
      <c r="I67" s="113">
        <f>[2]vo1_A!K19</f>
        <v>1.83</v>
      </c>
      <c r="J67" s="15" t="s">
        <v>35</v>
      </c>
      <c r="K67" s="59">
        <f>[2]vo1_A!D19</f>
        <v>11529</v>
      </c>
      <c r="L67" s="105">
        <f t="shared" si="11"/>
        <v>20992.58</v>
      </c>
      <c r="M67" s="35"/>
      <c r="N67" s="36"/>
      <c r="O67" s="35">
        <f t="shared" si="10"/>
        <v>0</v>
      </c>
      <c r="P67" s="37">
        <f t="shared" si="12"/>
        <v>0</v>
      </c>
      <c r="Q67" s="38" t="s">
        <v>90</v>
      </c>
    </row>
    <row r="68" spans="1:23" ht="15.75" thickBot="1" x14ac:dyDescent="0.3">
      <c r="A68" s="498" t="s">
        <v>18</v>
      </c>
      <c r="B68" s="499"/>
      <c r="C68" s="499"/>
      <c r="D68" s="499"/>
      <c r="E68" s="499"/>
      <c r="F68" s="43"/>
      <c r="G68" s="44">
        <f>SUM(G61:G67)</f>
        <v>1091157.1400000001</v>
      </c>
      <c r="H68" s="44">
        <f>SUM(H61:H67)</f>
        <v>100.00000000000001</v>
      </c>
      <c r="I68" s="44"/>
      <c r="J68" s="44"/>
      <c r="K68" s="44"/>
      <c r="L68" s="44">
        <f>SUM(L61:L67)</f>
        <v>1091157.1400000001</v>
      </c>
      <c r="M68" s="44">
        <f>SUM(M61:M67)</f>
        <v>0</v>
      </c>
      <c r="N68" s="44">
        <f>SUM(N61:N67)</f>
        <v>0</v>
      </c>
      <c r="O68" s="44">
        <f>SUM(O61:O67)</f>
        <v>0</v>
      </c>
      <c r="P68" s="114">
        <f>SUM(P61:P67)</f>
        <v>0</v>
      </c>
      <c r="Q68" s="46"/>
      <c r="R68" s="47"/>
    </row>
    <row r="69" spans="1:23" x14ac:dyDescent="0.25">
      <c r="A69" s="50"/>
      <c r="B69" s="50"/>
      <c r="C69" s="50"/>
      <c r="D69" s="50"/>
      <c r="E69" s="50"/>
      <c r="F69" s="51"/>
      <c r="G69" s="52"/>
      <c r="H69" s="52"/>
      <c r="I69" s="52"/>
      <c r="J69" s="52"/>
      <c r="K69" s="52"/>
      <c r="L69" s="52"/>
      <c r="M69" s="51"/>
      <c r="N69" s="51"/>
      <c r="O69" s="51"/>
      <c r="P69" s="51"/>
      <c r="Q69" s="53"/>
      <c r="R69" s="5"/>
    </row>
    <row r="70" spans="1:23" x14ac:dyDescent="0.25">
      <c r="A70" s="53"/>
      <c r="B70" s="53"/>
      <c r="C70" s="53"/>
      <c r="D70" s="53"/>
      <c r="E70" s="53"/>
      <c r="F70" s="51"/>
      <c r="G70" s="51"/>
      <c r="H70" s="51"/>
      <c r="I70" s="51"/>
      <c r="J70" s="51"/>
      <c r="K70" s="51"/>
      <c r="L70" s="51"/>
      <c r="M70" s="53"/>
      <c r="N70" s="53"/>
      <c r="O70" s="53"/>
      <c r="P70" s="53"/>
      <c r="Q70" s="53"/>
      <c r="R70" s="5"/>
    </row>
    <row r="71" spans="1:23" ht="13.15" customHeight="1" x14ac:dyDescent="0.25">
      <c r="A71" s="53"/>
      <c r="B71" s="53"/>
      <c r="C71" s="53"/>
      <c r="D71" s="5"/>
      <c r="E71" s="53"/>
      <c r="F71" s="53" t="s">
        <v>19</v>
      </c>
      <c r="G71" s="5"/>
      <c r="H71" s="5"/>
      <c r="I71" s="5"/>
      <c r="J71" s="5"/>
      <c r="K71" s="5"/>
      <c r="L71" s="5"/>
      <c r="M71" s="500">
        <f>P68*100</f>
        <v>0</v>
      </c>
      <c r="N71" s="500"/>
      <c r="O71" s="54" t="s">
        <v>12</v>
      </c>
      <c r="P71" s="53"/>
      <c r="Q71" s="53"/>
      <c r="R71" s="5"/>
      <c r="V71" s="109">
        <v>0.16</v>
      </c>
    </row>
    <row r="72" spans="1:23" ht="13.15" customHeight="1" x14ac:dyDescent="0.25">
      <c r="A72" s="53"/>
      <c r="B72" s="53"/>
      <c r="C72" s="53"/>
      <c r="D72" s="5"/>
      <c r="E72" s="53"/>
      <c r="F72" s="55" t="s">
        <v>20</v>
      </c>
      <c r="G72" s="5"/>
      <c r="H72" s="5"/>
      <c r="I72" s="5"/>
      <c r="J72" s="5"/>
      <c r="K72" s="5"/>
      <c r="L72" s="5"/>
      <c r="M72" s="483">
        <f>ROUND(G68,2)</f>
        <v>1091157.1399999999</v>
      </c>
      <c r="N72" s="483"/>
      <c r="O72" s="53"/>
      <c r="P72" s="53"/>
      <c r="Q72" s="51"/>
      <c r="R72" s="5"/>
      <c r="U72" s="40">
        <f t="shared" ref="U72:U78" si="13">D61*F61</f>
        <v>109914.486</v>
      </c>
      <c r="V72" s="40">
        <f>U72*$V$71</f>
        <v>17586.317760000002</v>
      </c>
      <c r="W72" s="40">
        <f>U72-V72</f>
        <v>92328.168239999999</v>
      </c>
    </row>
    <row r="73" spans="1:23" ht="13.15" customHeight="1" x14ac:dyDescent="0.25">
      <c r="A73" s="53"/>
      <c r="B73" s="56"/>
      <c r="C73" s="56"/>
      <c r="D73" s="5"/>
      <c r="E73" s="53"/>
      <c r="F73" s="55" t="s">
        <v>21</v>
      </c>
      <c r="G73" s="5"/>
      <c r="H73" s="5"/>
      <c r="I73" s="5"/>
      <c r="J73" s="5"/>
      <c r="K73" s="5"/>
      <c r="L73" s="5"/>
      <c r="M73" s="483">
        <f>N68</f>
        <v>0</v>
      </c>
      <c r="N73" s="483"/>
      <c r="O73" s="51"/>
      <c r="P73" s="53"/>
      <c r="Q73" s="53"/>
      <c r="R73" s="5"/>
      <c r="U73" s="40">
        <f t="shared" si="13"/>
        <v>139393.48500000002</v>
      </c>
      <c r="V73" s="40">
        <f t="shared" ref="V73:V78" si="14">U73*$V$71</f>
        <v>22302.957600000002</v>
      </c>
      <c r="W73" s="40">
        <f t="shared" ref="W73:W78" si="15">U73-V73</f>
        <v>117090.52740000002</v>
      </c>
    </row>
    <row r="74" spans="1:23" ht="13.15" customHeight="1" thickBot="1" x14ac:dyDescent="0.3">
      <c r="A74" s="53"/>
      <c r="B74" s="5"/>
      <c r="C74" s="5"/>
      <c r="D74" s="5"/>
      <c r="E74" s="56" t="s">
        <v>22</v>
      </c>
      <c r="F74" s="55" t="s">
        <v>23</v>
      </c>
      <c r="G74" s="5"/>
      <c r="H74" s="5"/>
      <c r="I74" s="5"/>
      <c r="J74" s="5"/>
      <c r="K74" s="5"/>
      <c r="L74" s="5"/>
      <c r="M74" s="480"/>
      <c r="N74" s="480"/>
      <c r="O74" s="51"/>
      <c r="P74" s="53"/>
      <c r="Q74" s="53"/>
      <c r="R74" s="5"/>
      <c r="S74" s="1">
        <f>0.2*I63</f>
        <v>132</v>
      </c>
      <c r="T74" s="1">
        <f>0.95*I63</f>
        <v>627</v>
      </c>
      <c r="U74" s="40">
        <f t="shared" si="13"/>
        <v>48153.599999999999</v>
      </c>
      <c r="V74" s="40">
        <f t="shared" si="14"/>
        <v>7704.576</v>
      </c>
      <c r="W74" s="40">
        <f t="shared" si="15"/>
        <v>40449.023999999998</v>
      </c>
    </row>
    <row r="75" spans="1:23" ht="13.15" customHeight="1" x14ac:dyDescent="0.25">
      <c r="A75" s="53"/>
      <c r="B75" s="53"/>
      <c r="C75" s="53"/>
      <c r="D75" s="5"/>
      <c r="E75" s="53"/>
      <c r="F75" s="55" t="s">
        <v>24</v>
      </c>
      <c r="G75" s="5"/>
      <c r="H75" s="5"/>
      <c r="I75" s="5"/>
      <c r="J75" s="5"/>
      <c r="K75" s="5"/>
      <c r="L75" s="5"/>
      <c r="M75" s="481">
        <f>SUM(N68-M74)</f>
        <v>0</v>
      </c>
      <c r="N75" s="481"/>
      <c r="O75" s="51"/>
      <c r="P75" s="53"/>
      <c r="Q75" s="53"/>
      <c r="R75" s="5"/>
      <c r="S75" s="1">
        <v>604.87</v>
      </c>
      <c r="T75" s="1">
        <f>0.95*I64</f>
        <v>0.95</v>
      </c>
      <c r="U75" s="40">
        <f t="shared" si="13"/>
        <v>128.93</v>
      </c>
      <c r="V75" s="40">
        <f t="shared" si="14"/>
        <v>20.628800000000002</v>
      </c>
      <c r="W75" s="40">
        <f t="shared" si="15"/>
        <v>108.30120000000001</v>
      </c>
    </row>
    <row r="76" spans="1:23" ht="13.15" customHeight="1" x14ac:dyDescent="0.25">
      <c r="S76" s="1">
        <f>0.2*I65</f>
        <v>0.4</v>
      </c>
      <c r="T76" s="1">
        <f>0.95*I65</f>
        <v>1.9</v>
      </c>
      <c r="U76" s="40">
        <f t="shared" si="13"/>
        <v>36.74</v>
      </c>
      <c r="V76" s="40">
        <f t="shared" si="14"/>
        <v>5.8784000000000001</v>
      </c>
      <c r="W76" s="40">
        <f t="shared" si="15"/>
        <v>30.861600000000003</v>
      </c>
    </row>
    <row r="77" spans="1:23" ht="13.15" customHeight="1" x14ac:dyDescent="0.25">
      <c r="A77" s="99" t="s">
        <v>25</v>
      </c>
      <c r="B77" s="2"/>
      <c r="C77" s="2" t="s">
        <v>26</v>
      </c>
      <c r="F77" s="2" t="s">
        <v>86</v>
      </c>
      <c r="G77" s="2"/>
      <c r="J77" t="s">
        <v>27</v>
      </c>
      <c r="N77" s="100" t="s">
        <v>28</v>
      </c>
      <c r="S77" s="1">
        <f>0.2*I66</f>
        <v>0.2</v>
      </c>
      <c r="T77" s="1">
        <f>0.9*I66</f>
        <v>0.9</v>
      </c>
      <c r="U77" s="40">
        <f t="shared" si="13"/>
        <v>1208.8900000000001</v>
      </c>
      <c r="V77" s="40">
        <f t="shared" si="14"/>
        <v>193.42240000000001</v>
      </c>
      <c r="W77" s="40">
        <f t="shared" si="15"/>
        <v>1015.4676000000001</v>
      </c>
    </row>
    <row r="78" spans="1:23" ht="13.15" customHeight="1" x14ac:dyDescent="0.25">
      <c r="A78" s="99"/>
      <c r="B78" s="2"/>
      <c r="C78" s="2"/>
      <c r="D78" s="2"/>
      <c r="F78" s="2"/>
      <c r="G78" s="2"/>
      <c r="M78" s="2"/>
      <c r="N78" s="2"/>
      <c r="O78" s="2"/>
      <c r="P78" s="2"/>
      <c r="S78" s="1">
        <f>350*3.05</f>
        <v>1067.5</v>
      </c>
      <c r="U78" s="40">
        <f t="shared" si="13"/>
        <v>2362.8777</v>
      </c>
      <c r="V78" s="40">
        <f t="shared" si="14"/>
        <v>378.06043199999999</v>
      </c>
      <c r="W78" s="40">
        <f t="shared" si="15"/>
        <v>1984.817268</v>
      </c>
    </row>
    <row r="79" spans="1:23" s="47" customFormat="1" ht="13.15" customHeight="1" x14ac:dyDescent="0.25">
      <c r="A79" s="2"/>
      <c r="B79" s="2"/>
      <c r="C79" s="2"/>
      <c r="D79" s="2"/>
      <c r="E79"/>
      <c r="F79" s="2"/>
      <c r="G79" s="2"/>
      <c r="H79"/>
      <c r="I79"/>
      <c r="J79"/>
      <c r="K79"/>
      <c r="L79"/>
      <c r="M79" s="2"/>
      <c r="N79" s="2"/>
      <c r="O79" s="2"/>
      <c r="P79" s="2"/>
      <c r="Q79"/>
      <c r="R79"/>
      <c r="S79" s="49"/>
      <c r="T79" s="49"/>
      <c r="U79" s="48">
        <f>SUM(U72:U78)</f>
        <v>301199.00870000001</v>
      </c>
      <c r="V79" s="40">
        <f>SUM(V72:V78)</f>
        <v>48191.841392000002</v>
      </c>
      <c r="W79" s="49">
        <f>SUM(W72:W78)</f>
        <v>253007.16730800003</v>
      </c>
    </row>
    <row r="80" spans="1:23" s="5" customFormat="1" ht="13.15" customHeight="1" x14ac:dyDescent="0.25">
      <c r="A80" s="2"/>
      <c r="B80" s="2"/>
      <c r="C80" s="2"/>
      <c r="D80" s="2"/>
      <c r="E80"/>
      <c r="F80" s="2"/>
      <c r="G80" s="2"/>
      <c r="H80"/>
      <c r="I80"/>
      <c r="J80"/>
      <c r="K80"/>
      <c r="L80"/>
      <c r="M80" s="2"/>
      <c r="N80" s="2"/>
      <c r="O80" s="2"/>
      <c r="P80" s="2"/>
      <c r="Q80"/>
      <c r="R80"/>
      <c r="S80" s="1" t="e">
        <f>0.85*#REF!</f>
        <v>#REF!</v>
      </c>
      <c r="T80" s="1"/>
      <c r="U80" s="40">
        <f>U79*0.0065</f>
        <v>1957.7935565499999</v>
      </c>
    </row>
    <row r="81" spans="1:23" s="5" customFormat="1" ht="13.15" customHeight="1" x14ac:dyDescent="0.25">
      <c r="A81" s="482" t="s">
        <v>91</v>
      </c>
      <c r="B81" s="482"/>
      <c r="C81" s="482" t="s">
        <v>87</v>
      </c>
      <c r="D81" s="482"/>
      <c r="E81" s="482"/>
      <c r="F81" s="482" t="s">
        <v>29</v>
      </c>
      <c r="G81" s="482"/>
      <c r="H81" s="482"/>
      <c r="I81" s="4"/>
      <c r="J81" s="482" t="s">
        <v>92</v>
      </c>
      <c r="K81" s="482"/>
      <c r="L81" s="482"/>
      <c r="M81" s="4"/>
      <c r="N81" s="482" t="s">
        <v>30</v>
      </c>
      <c r="O81" s="482"/>
      <c r="P81" s="482"/>
      <c r="Q81"/>
      <c r="R81" s="4"/>
      <c r="S81" s="1"/>
      <c r="T81" s="1"/>
      <c r="U81" s="40">
        <f>U79-U80</f>
        <v>299241.21514345001</v>
      </c>
    </row>
    <row r="82" spans="1:23" s="5" customFormat="1" ht="13.15" customHeight="1" x14ac:dyDescent="0.25">
      <c r="A82" s="479" t="s">
        <v>31</v>
      </c>
      <c r="B82" s="479"/>
      <c r="C82" s="479" t="s">
        <v>88</v>
      </c>
      <c r="D82" s="479"/>
      <c r="E82" s="479"/>
      <c r="F82" s="479" t="s">
        <v>32</v>
      </c>
      <c r="G82" s="479"/>
      <c r="H82" s="479"/>
      <c r="I82" s="2"/>
      <c r="J82" s="479" t="s">
        <v>93</v>
      </c>
      <c r="K82" s="479"/>
      <c r="L82" s="479"/>
      <c r="M82" s="2"/>
      <c r="N82" s="479" t="s">
        <v>33</v>
      </c>
      <c r="O82" s="479"/>
      <c r="P82" s="479"/>
      <c r="Q82"/>
      <c r="R82" s="2"/>
      <c r="S82" s="1"/>
      <c r="T82" s="1"/>
    </row>
    <row r="83" spans="1:23" s="5" customFormat="1" ht="13.15" customHeight="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 s="1"/>
      <c r="T83" s="1"/>
    </row>
    <row r="84" spans="1:23" s="5" customFormat="1" ht="13.15" customHeigh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 s="1"/>
      <c r="T84" s="1"/>
    </row>
    <row r="85" spans="1:23" s="5" customFormat="1" ht="13.15" customHeight="1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 s="1"/>
      <c r="T85" s="1"/>
    </row>
    <row r="86" spans="1:23" s="5" customFormat="1" ht="13.15" customHeight="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 s="1"/>
      <c r="T86" s="1"/>
    </row>
    <row r="88" spans="1:23" ht="12.6" customHeight="1" x14ac:dyDescent="0.25">
      <c r="W88" s="2"/>
    </row>
    <row r="89" spans="1:23" ht="12.6" customHeight="1" x14ac:dyDescent="0.25">
      <c r="S89" s="58"/>
      <c r="T89" s="58"/>
      <c r="U89" s="2"/>
      <c r="W89" s="2"/>
    </row>
    <row r="90" spans="1:23" ht="12.6" customHeight="1" x14ac:dyDescent="0.25">
      <c r="S90" s="58"/>
      <c r="T90" s="58"/>
      <c r="U90" s="2"/>
      <c r="W90" s="2"/>
    </row>
    <row r="91" spans="1:23" ht="12.6" customHeight="1" x14ac:dyDescent="0.25">
      <c r="S91" s="58"/>
      <c r="T91" s="58"/>
      <c r="U91" s="2"/>
      <c r="W91" s="2"/>
    </row>
    <row r="92" spans="1:23" ht="12.6" customHeight="1" x14ac:dyDescent="0.25"/>
    <row r="93" spans="1:23" ht="12.6" customHeight="1" x14ac:dyDescent="0.25"/>
  </sheetData>
  <mergeCells count="53">
    <mergeCell ref="B53:Q53"/>
    <mergeCell ref="B58:C59"/>
    <mergeCell ref="A82:B82"/>
    <mergeCell ref="C82:E82"/>
    <mergeCell ref="F82:H82"/>
    <mergeCell ref="J82:L82"/>
    <mergeCell ref="N82:P82"/>
    <mergeCell ref="D60:G60"/>
    <mergeCell ref="I60:L60"/>
    <mergeCell ref="A68:E68"/>
    <mergeCell ref="M71:N71"/>
    <mergeCell ref="M72:N72"/>
    <mergeCell ref="M74:N74"/>
    <mergeCell ref="M75:N75"/>
    <mergeCell ref="A81:B81"/>
    <mergeCell ref="C81:E81"/>
    <mergeCell ref="F81:H81"/>
    <mergeCell ref="J81:L81"/>
    <mergeCell ref="N81:P81"/>
    <mergeCell ref="D58:E58"/>
    <mergeCell ref="I58:J58"/>
    <mergeCell ref="M58:O58"/>
    <mergeCell ref="D59:E59"/>
    <mergeCell ref="I59:J59"/>
    <mergeCell ref="M73:N73"/>
    <mergeCell ref="B52:Q52"/>
    <mergeCell ref="J36:K36"/>
    <mergeCell ref="J37:K37"/>
    <mergeCell ref="A49:B49"/>
    <mergeCell ref="C49:E49"/>
    <mergeCell ref="F49:H49"/>
    <mergeCell ref="J49:L49"/>
    <mergeCell ref="N49:P49"/>
    <mergeCell ref="A50:B50"/>
    <mergeCell ref="C50:E50"/>
    <mergeCell ref="F50:H50"/>
    <mergeCell ref="J50:L50"/>
    <mergeCell ref="N50:P50"/>
    <mergeCell ref="A43:B43"/>
    <mergeCell ref="A44:B44"/>
    <mergeCell ref="D9:G9"/>
    <mergeCell ref="A30:E30"/>
    <mergeCell ref="J33:K33"/>
    <mergeCell ref="J34:K34"/>
    <mergeCell ref="J35:K35"/>
    <mergeCell ref="B14:C14"/>
    <mergeCell ref="B15:C15"/>
    <mergeCell ref="A1:M1"/>
    <mergeCell ref="A2:M2"/>
    <mergeCell ref="B7:C8"/>
    <mergeCell ref="D7:E7"/>
    <mergeCell ref="I7:K7"/>
    <mergeCell ref="D8:E8"/>
  </mergeCells>
  <printOptions horizontalCentered="1"/>
  <pageMargins left="0.11811023622047245" right="0.11811023622047245" top="0.74803149606299213" bottom="0.74803149606299213" header="0.31496062992125984" footer="0.31496062992125984"/>
  <pageSetup paperSize="10000" scale="93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9" tint="0.39997558519241921"/>
  </sheetPr>
  <dimension ref="A1:Q47"/>
  <sheetViews>
    <sheetView view="pageBreakPreview" zoomScale="60" zoomScaleNormal="100" workbookViewId="0">
      <selection activeCell="C3" sqref="C3"/>
    </sheetView>
  </sheetViews>
  <sheetFormatPr defaultRowHeight="15" x14ac:dyDescent="0.25"/>
  <cols>
    <col min="1" max="1" width="3.85546875" customWidth="1"/>
    <col min="2" max="2" width="14.140625" customWidth="1"/>
    <col min="3" max="3" width="19.7109375" customWidth="1"/>
    <col min="4" max="4" width="10.28515625" customWidth="1"/>
    <col min="5" max="5" width="11" customWidth="1"/>
    <col min="6" max="7" width="15.140625" customWidth="1"/>
    <col min="13" max="13" width="11" customWidth="1"/>
    <col min="17" max="17" width="10.85546875" customWidth="1"/>
  </cols>
  <sheetData>
    <row r="1" spans="1:17" x14ac:dyDescent="0.25">
      <c r="A1" s="132" t="s">
        <v>117</v>
      </c>
      <c r="B1" s="133"/>
      <c r="C1" s="134" t="str">
        <f>[3]ipw_!E8</f>
        <v>Improvement of Road Network at Gattaran District Hospital</v>
      </c>
      <c r="D1" s="133"/>
      <c r="E1" s="133"/>
      <c r="F1" s="133"/>
      <c r="G1" s="135"/>
    </row>
    <row r="2" spans="1:17" x14ac:dyDescent="0.25">
      <c r="A2" s="251" t="s">
        <v>118</v>
      </c>
      <c r="B2" s="252"/>
      <c r="C2" s="253" t="s">
        <v>188</v>
      </c>
      <c r="D2" s="136"/>
      <c r="E2" s="254"/>
      <c r="F2" s="255" t="s">
        <v>119</v>
      </c>
      <c r="G2" s="256" t="s">
        <v>120</v>
      </c>
    </row>
    <row r="3" spans="1:17" x14ac:dyDescent="0.25">
      <c r="A3" s="257" t="s">
        <v>121</v>
      </c>
      <c r="B3" s="258"/>
      <c r="C3" s="259" t="s">
        <v>189</v>
      </c>
      <c r="D3" s="137"/>
      <c r="E3" s="260"/>
      <c r="F3" s="261" t="s">
        <v>122</v>
      </c>
      <c r="G3" s="138">
        <v>9</v>
      </c>
    </row>
    <row r="4" spans="1:17" x14ac:dyDescent="0.25">
      <c r="A4" s="262"/>
      <c r="B4" s="262"/>
      <c r="C4" s="262"/>
      <c r="D4" s="263"/>
      <c r="E4" s="262"/>
      <c r="F4" s="262"/>
      <c r="G4" s="262"/>
    </row>
    <row r="5" spans="1:17" x14ac:dyDescent="0.25">
      <c r="A5" s="4" t="s">
        <v>123</v>
      </c>
      <c r="B5" s="139"/>
      <c r="C5" s="139"/>
      <c r="K5" s="140"/>
      <c r="L5" s="140"/>
      <c r="M5" s="141"/>
      <c r="N5" s="142"/>
      <c r="O5" s="522" t="s">
        <v>124</v>
      </c>
      <c r="P5" s="523"/>
      <c r="Q5" s="143" t="s">
        <v>125</v>
      </c>
    </row>
    <row r="6" spans="1:17" x14ac:dyDescent="0.25">
      <c r="A6" s="144" t="s">
        <v>126</v>
      </c>
      <c r="B6" s="145" t="s">
        <v>127</v>
      </c>
      <c r="C6" s="146"/>
      <c r="D6" s="146"/>
      <c r="E6" s="146"/>
      <c r="F6" s="147"/>
      <c r="G6" s="148"/>
      <c r="K6" s="140"/>
      <c r="L6" s="140"/>
      <c r="M6" s="149"/>
      <c r="N6" s="150">
        <v>1</v>
      </c>
      <c r="O6" s="151">
        <v>617.43050000000005</v>
      </c>
      <c r="P6" s="152" t="s">
        <v>128</v>
      </c>
      <c r="Q6" s="153">
        <v>7</v>
      </c>
    </row>
    <row r="7" spans="1:17" x14ac:dyDescent="0.25">
      <c r="A7" s="513" t="s">
        <v>129</v>
      </c>
      <c r="B7" s="514"/>
      <c r="C7" s="515"/>
      <c r="D7" s="154" t="s">
        <v>130</v>
      </c>
      <c r="E7" s="154" t="s">
        <v>131</v>
      </c>
      <c r="F7" s="154" t="s">
        <v>132</v>
      </c>
      <c r="G7" s="154" t="s">
        <v>133</v>
      </c>
      <c r="K7" s="140"/>
      <c r="L7" s="140"/>
      <c r="M7" s="149"/>
      <c r="N7" s="150">
        <v>2</v>
      </c>
      <c r="O7" s="155">
        <v>758.71169999999995</v>
      </c>
      <c r="P7" s="156" t="s">
        <v>134</v>
      </c>
      <c r="Q7" s="157"/>
    </row>
    <row r="8" spans="1:17" x14ac:dyDescent="0.25">
      <c r="A8" s="264" t="s">
        <v>187</v>
      </c>
      <c r="B8" s="158"/>
      <c r="C8" s="265"/>
      <c r="D8" s="266" t="s">
        <v>135</v>
      </c>
      <c r="E8" s="267">
        <f>G3</f>
        <v>9</v>
      </c>
      <c r="F8" s="159">
        <f>[3]materials!F16</f>
        <v>1200</v>
      </c>
      <c r="G8" s="160">
        <f>ROUND(F8*E8,2)</f>
        <v>10800</v>
      </c>
      <c r="K8" s="140"/>
      <c r="L8" s="140"/>
      <c r="M8" s="149"/>
      <c r="N8" s="150">
        <v>3</v>
      </c>
      <c r="O8" s="155">
        <v>820.35799999999995</v>
      </c>
      <c r="P8" s="156" t="s">
        <v>134</v>
      </c>
      <c r="Q8" s="161"/>
    </row>
    <row r="9" spans="1:17" x14ac:dyDescent="0.25">
      <c r="A9" s="268" t="s">
        <v>136</v>
      </c>
      <c r="B9" s="162"/>
      <c r="C9" s="269"/>
      <c r="D9" s="266" t="s">
        <v>137</v>
      </c>
      <c r="E9" s="163">
        <f>$G$3*0.774</f>
        <v>6.9660000000000002</v>
      </c>
      <c r="F9" s="160">
        <f>[3]materials!F5</f>
        <v>260</v>
      </c>
      <c r="G9" s="160">
        <f>ROUND(F9*E9,2)</f>
        <v>1811.16</v>
      </c>
      <c r="N9" s="150">
        <v>4</v>
      </c>
      <c r="O9" s="155">
        <v>897.20299999999997</v>
      </c>
      <c r="P9" s="156" t="s">
        <v>134</v>
      </c>
      <c r="Q9" s="161"/>
    </row>
    <row r="10" spans="1:17" ht="14.45" customHeight="1" x14ac:dyDescent="0.25">
      <c r="A10" s="268" t="s">
        <v>95</v>
      </c>
      <c r="B10" s="162"/>
      <c r="C10" s="269"/>
      <c r="D10" s="266" t="s">
        <v>34</v>
      </c>
      <c r="E10" s="164">
        <f>$G$3*0.044</f>
        <v>0.39599999999999996</v>
      </c>
      <c r="F10" s="160">
        <f>[3]aggregates_!H44</f>
        <v>555.28</v>
      </c>
      <c r="G10" s="160">
        <f>ROUND(F10*E10,2)</f>
        <v>219.89</v>
      </c>
      <c r="N10" s="150">
        <v>5</v>
      </c>
      <c r="O10" s="155">
        <v>935.64369999999997</v>
      </c>
      <c r="P10" s="156" t="s">
        <v>134</v>
      </c>
      <c r="Q10" s="161"/>
    </row>
    <row r="11" spans="1:17" x14ac:dyDescent="0.25">
      <c r="A11" s="270" t="s">
        <v>94</v>
      </c>
      <c r="B11" s="165"/>
      <c r="C11" s="271"/>
      <c r="D11" s="266" t="s">
        <v>34</v>
      </c>
      <c r="E11" s="164">
        <f>$G$3*0.088</f>
        <v>0.79199999999999993</v>
      </c>
      <c r="F11" s="160">
        <f>[3]aggregates_!H53</f>
        <v>588.78</v>
      </c>
      <c r="G11" s="160">
        <f>ROUND(F11*E11,2)</f>
        <v>466.31</v>
      </c>
      <c r="N11" s="150">
        <v>6</v>
      </c>
      <c r="O11" s="155">
        <v>969.85180000000003</v>
      </c>
      <c r="P11" s="156" t="s">
        <v>134</v>
      </c>
      <c r="Q11" s="161"/>
    </row>
    <row r="12" spans="1:17" x14ac:dyDescent="0.25">
      <c r="A12" s="166"/>
      <c r="B12" s="145"/>
      <c r="C12" s="145"/>
      <c r="D12" s="145"/>
      <c r="E12" s="167"/>
      <c r="F12" s="168" t="s">
        <v>138</v>
      </c>
      <c r="G12" s="169">
        <f>ROUND(SUM(G8:G11),2)</f>
        <v>13297.36</v>
      </c>
      <c r="N12" s="150">
        <v>7</v>
      </c>
      <c r="O12" s="155">
        <v>1048.6413</v>
      </c>
      <c r="P12" s="156" t="s">
        <v>134</v>
      </c>
      <c r="Q12" s="161"/>
    </row>
    <row r="13" spans="1:17" x14ac:dyDescent="0.25">
      <c r="N13" s="150">
        <v>8</v>
      </c>
      <c r="O13" s="155">
        <v>1286.1256000000001</v>
      </c>
      <c r="P13" s="156" t="s">
        <v>134</v>
      </c>
      <c r="Q13" s="161">
        <v>8</v>
      </c>
    </row>
    <row r="14" spans="1:17" x14ac:dyDescent="0.25">
      <c r="A14" s="144" t="s">
        <v>139</v>
      </c>
      <c r="B14" s="145" t="s">
        <v>140</v>
      </c>
      <c r="C14" s="146"/>
      <c r="D14" s="146"/>
      <c r="E14" s="146"/>
      <c r="F14" s="147"/>
      <c r="G14" s="148"/>
      <c r="N14" s="150">
        <v>9</v>
      </c>
      <c r="O14" s="155">
        <v>1492.2047</v>
      </c>
      <c r="P14" s="156" t="s">
        <v>134</v>
      </c>
      <c r="Q14" s="161">
        <v>8</v>
      </c>
    </row>
    <row r="15" spans="1:17" x14ac:dyDescent="0.25">
      <c r="A15" s="513" t="s">
        <v>141</v>
      </c>
      <c r="B15" s="514"/>
      <c r="C15" s="515"/>
      <c r="D15" s="154" t="s">
        <v>142</v>
      </c>
      <c r="E15" s="154" t="s">
        <v>143</v>
      </c>
      <c r="F15" s="154" t="s">
        <v>144</v>
      </c>
      <c r="G15" s="154" t="s">
        <v>133</v>
      </c>
      <c r="N15" s="150">
        <v>10</v>
      </c>
      <c r="O15" s="155">
        <v>1743.0888</v>
      </c>
      <c r="P15" s="156" t="s">
        <v>134</v>
      </c>
      <c r="Q15" s="161"/>
    </row>
    <row r="16" spans="1:17" x14ac:dyDescent="0.25">
      <c r="A16" s="264" t="s">
        <v>145</v>
      </c>
      <c r="B16" s="158"/>
      <c r="C16" s="265"/>
      <c r="D16" s="266">
        <f>M29</f>
        <v>1</v>
      </c>
      <c r="E16" s="272">
        <f>P30</f>
        <v>5</v>
      </c>
      <c r="F16" s="160">
        <f>[3]LABOR!C4</f>
        <v>98.84</v>
      </c>
      <c r="G16" s="160">
        <f>ROUND(F16*E16*D16,2)</f>
        <v>494.2</v>
      </c>
      <c r="J16" s="170">
        <f t="shared" ref="J16:J21" si="0">D16*E16</f>
        <v>5</v>
      </c>
      <c r="N16" s="150">
        <v>11</v>
      </c>
      <c r="O16" s="155">
        <v>1917.0763999999999</v>
      </c>
      <c r="P16" s="171" t="s">
        <v>146</v>
      </c>
      <c r="Q16" s="161"/>
    </row>
    <row r="17" spans="1:17" x14ac:dyDescent="0.25">
      <c r="A17" s="268" t="s">
        <v>147</v>
      </c>
      <c r="B17" s="162"/>
      <c r="C17" s="269"/>
      <c r="D17" s="266">
        <f>M30</f>
        <v>1</v>
      </c>
      <c r="E17" s="272">
        <f>P29</f>
        <v>5</v>
      </c>
      <c r="F17" s="160">
        <f>[3]LABOR!C6</f>
        <v>81.09</v>
      </c>
      <c r="G17" s="160">
        <f>ROUND(F17*E17*D17,2)</f>
        <v>405.45</v>
      </c>
      <c r="J17" s="170">
        <f t="shared" si="0"/>
        <v>5</v>
      </c>
      <c r="N17" s="150">
        <v>12</v>
      </c>
      <c r="O17" s="155">
        <v>1933.2339999999999</v>
      </c>
      <c r="P17" s="156" t="s">
        <v>134</v>
      </c>
      <c r="Q17" s="161"/>
    </row>
    <row r="18" spans="1:17" x14ac:dyDescent="0.25">
      <c r="A18" s="268" t="s">
        <v>148</v>
      </c>
      <c r="B18" s="162"/>
      <c r="C18" s="269"/>
      <c r="D18" s="266">
        <f>M31</f>
        <v>1</v>
      </c>
      <c r="E18" s="272">
        <f>P31</f>
        <v>5</v>
      </c>
      <c r="F18" s="160">
        <f>F17</f>
        <v>81.09</v>
      </c>
      <c r="G18" s="160">
        <f>ROUND(F18*E18*D18,2)</f>
        <v>405.45</v>
      </c>
      <c r="J18" s="170">
        <f t="shared" si="0"/>
        <v>5</v>
      </c>
      <c r="N18" s="150">
        <v>13</v>
      </c>
      <c r="O18" s="155">
        <v>2020.8597</v>
      </c>
      <c r="P18" s="156" t="s">
        <v>134</v>
      </c>
      <c r="Q18" s="161"/>
    </row>
    <row r="19" spans="1:17" x14ac:dyDescent="0.25">
      <c r="A19" s="172"/>
      <c r="B19" s="162"/>
      <c r="C19" s="173"/>
      <c r="D19" s="174"/>
      <c r="E19" s="175"/>
      <c r="F19" s="176" t="s">
        <v>149</v>
      </c>
      <c r="G19" s="177">
        <f>ROUND(SUM(G16:G18),2)</f>
        <v>1305.0999999999999</v>
      </c>
      <c r="J19" s="170">
        <f t="shared" si="0"/>
        <v>0</v>
      </c>
      <c r="N19" s="150">
        <v>14</v>
      </c>
      <c r="O19" s="178">
        <v>2169.4439000000002</v>
      </c>
      <c r="P19" s="156" t="s">
        <v>134</v>
      </c>
      <c r="Q19" s="179"/>
    </row>
    <row r="20" spans="1:17" x14ac:dyDescent="0.25">
      <c r="A20" s="268" t="s">
        <v>150</v>
      </c>
      <c r="B20" s="162"/>
      <c r="C20" s="269"/>
      <c r="D20" s="266">
        <f>M32</f>
        <v>4</v>
      </c>
      <c r="E20" s="272">
        <f>P32</f>
        <v>5</v>
      </c>
      <c r="F20" s="160">
        <f>[3]LABOR!C7</f>
        <v>62.38</v>
      </c>
      <c r="G20" s="160">
        <f>ROUND(F20*E20*D20,2)</f>
        <v>1247.5999999999999</v>
      </c>
      <c r="J20" s="170">
        <f t="shared" si="0"/>
        <v>20</v>
      </c>
      <c r="N20" s="150"/>
      <c r="O20" s="524" t="s">
        <v>151</v>
      </c>
      <c r="P20" s="524"/>
      <c r="Q20" s="180">
        <f>Q6*10</f>
        <v>70</v>
      </c>
    </row>
    <row r="21" spans="1:17" x14ac:dyDescent="0.25">
      <c r="A21" s="181"/>
      <c r="B21" s="182"/>
      <c r="C21" s="183"/>
      <c r="D21" s="174"/>
      <c r="E21" s="174"/>
      <c r="F21" s="176" t="s">
        <v>152</v>
      </c>
      <c r="G21" s="177">
        <f>ROUND(G20,2)</f>
        <v>1247.5999999999999</v>
      </c>
      <c r="J21" s="170">
        <f t="shared" si="0"/>
        <v>0</v>
      </c>
      <c r="Q21">
        <f>Q13*2</f>
        <v>16</v>
      </c>
    </row>
    <row r="22" spans="1:17" x14ac:dyDescent="0.25">
      <c r="A22" s="166"/>
      <c r="B22" s="145"/>
      <c r="C22" s="184"/>
      <c r="D22" s="167"/>
      <c r="E22" s="145"/>
      <c r="F22" s="185" t="s">
        <v>153</v>
      </c>
      <c r="G22" s="169">
        <f>ROUND(G19+G21,2)</f>
        <v>2552.6999999999998</v>
      </c>
      <c r="J22" s="186">
        <f>SUM(J16:J21)</f>
        <v>35</v>
      </c>
      <c r="Q22" s="11">
        <f>SUM(Q20:Q21)</f>
        <v>86</v>
      </c>
    </row>
    <row r="24" spans="1:17" x14ac:dyDescent="0.25">
      <c r="A24" s="144" t="s">
        <v>154</v>
      </c>
      <c r="B24" s="145" t="s">
        <v>155</v>
      </c>
      <c r="C24" s="146"/>
      <c r="D24" s="146"/>
      <c r="E24" s="146"/>
      <c r="F24" s="147"/>
      <c r="G24" s="148"/>
    </row>
    <row r="25" spans="1:17" ht="48" x14ac:dyDescent="0.25">
      <c r="A25" s="513" t="s">
        <v>156</v>
      </c>
      <c r="B25" s="514"/>
      <c r="C25" s="515"/>
      <c r="D25" s="154" t="s">
        <v>142</v>
      </c>
      <c r="E25" s="154" t="s">
        <v>143</v>
      </c>
      <c r="F25" s="154" t="s">
        <v>144</v>
      </c>
      <c r="G25" s="154" t="s">
        <v>133</v>
      </c>
      <c r="K25" s="187" t="s">
        <v>157</v>
      </c>
      <c r="L25" s="188"/>
      <c r="M25" s="189" t="s">
        <v>142</v>
      </c>
      <c r="N25" s="190" t="s">
        <v>158</v>
      </c>
      <c r="O25" s="525" t="s">
        <v>159</v>
      </c>
      <c r="P25" s="191" t="s">
        <v>160</v>
      </c>
    </row>
    <row r="26" spans="1:17" x14ac:dyDescent="0.25">
      <c r="A26" s="264" t="s">
        <v>161</v>
      </c>
      <c r="B26" s="158"/>
      <c r="C26" s="273"/>
      <c r="D26" s="266">
        <f>M27</f>
        <v>1</v>
      </c>
      <c r="E26" s="272">
        <f>P27</f>
        <v>2.5</v>
      </c>
      <c r="F26" s="160">
        <f>'[3]ACEL 2014'!F21</f>
        <v>1537</v>
      </c>
      <c r="G26" s="160">
        <f>D26*E26*F26</f>
        <v>3842.5</v>
      </c>
      <c r="K26" s="192"/>
      <c r="L26" s="193"/>
      <c r="M26" s="13" t="s">
        <v>162</v>
      </c>
      <c r="N26" s="194" t="s">
        <v>163</v>
      </c>
      <c r="O26" s="526"/>
      <c r="P26" s="195" t="s">
        <v>164</v>
      </c>
    </row>
    <row r="27" spans="1:17" x14ac:dyDescent="0.25">
      <c r="A27" s="268" t="s">
        <v>165</v>
      </c>
      <c r="B27" s="162"/>
      <c r="C27" s="274"/>
      <c r="D27" s="266">
        <f>M27</f>
        <v>1</v>
      </c>
      <c r="E27" s="272">
        <f>P27</f>
        <v>2.5</v>
      </c>
      <c r="F27" s="160">
        <f>'[3]ACEL 2014'!F15</f>
        <v>123</v>
      </c>
      <c r="G27" s="160">
        <f>ROUND(F27*E27*D27,2)</f>
        <v>307.5</v>
      </c>
      <c r="K27" s="516" t="s">
        <v>166</v>
      </c>
      <c r="L27" s="517"/>
      <c r="M27" s="196">
        <v>1</v>
      </c>
      <c r="N27" s="197"/>
      <c r="O27" s="197"/>
      <c r="P27" s="198">
        <f>P30/2</f>
        <v>2.5</v>
      </c>
    </row>
    <row r="28" spans="1:17" x14ac:dyDescent="0.25">
      <c r="A28" s="199" t="s">
        <v>167</v>
      </c>
      <c r="B28" s="165"/>
      <c r="C28" s="200"/>
      <c r="D28" s="174"/>
      <c r="F28" s="201">
        <f>ROUND(G22*0.1,2)</f>
        <v>255.27</v>
      </c>
      <c r="G28" s="201">
        <f>F28</f>
        <v>255.27</v>
      </c>
      <c r="K28" s="518" t="s">
        <v>168</v>
      </c>
      <c r="L28" s="519"/>
      <c r="M28" s="202">
        <v>1</v>
      </c>
      <c r="N28" s="203"/>
      <c r="O28" s="203"/>
      <c r="P28" s="204">
        <f>P30/2</f>
        <v>2.5</v>
      </c>
    </row>
    <row r="29" spans="1:17" x14ac:dyDescent="0.25">
      <c r="A29" s="166"/>
      <c r="B29" s="145"/>
      <c r="C29" s="184"/>
      <c r="D29" s="167"/>
      <c r="E29" s="145"/>
      <c r="F29" s="185" t="s">
        <v>169</v>
      </c>
      <c r="G29" s="169">
        <f>ROUND(SUM(G26:G28),2)</f>
        <v>4405.2700000000004</v>
      </c>
      <c r="K29" s="518" t="s">
        <v>145</v>
      </c>
      <c r="L29" s="519"/>
      <c r="M29" s="202">
        <v>1</v>
      </c>
      <c r="N29" s="203"/>
      <c r="O29" s="203"/>
      <c r="P29" s="204">
        <f>P30</f>
        <v>5</v>
      </c>
    </row>
    <row r="30" spans="1:17" x14ac:dyDescent="0.25">
      <c r="K30" s="518" t="s">
        <v>147</v>
      </c>
      <c r="L30" s="519"/>
      <c r="M30" s="202">
        <v>1</v>
      </c>
      <c r="N30" s="205">
        <f>G3</f>
        <v>9</v>
      </c>
      <c r="O30" s="205">
        <f>1.75</f>
        <v>1.75</v>
      </c>
      <c r="P30" s="204">
        <f>ROUND(N30/O30,0)</f>
        <v>5</v>
      </c>
    </row>
    <row r="31" spans="1:17" x14ac:dyDescent="0.25">
      <c r="A31" s="206"/>
      <c r="B31" s="4"/>
      <c r="C31" s="4"/>
      <c r="D31" s="206"/>
      <c r="E31" s="206"/>
      <c r="F31" s="207" t="s">
        <v>170</v>
      </c>
      <c r="G31" s="208">
        <f>ROUND(G12+G22+G29,2)</f>
        <v>20255.330000000002</v>
      </c>
      <c r="K31" s="518" t="s">
        <v>148</v>
      </c>
      <c r="L31" s="519"/>
      <c r="M31" s="202">
        <v>1</v>
      </c>
      <c r="N31" s="209"/>
      <c r="O31" s="210"/>
      <c r="P31" s="204">
        <f>P30</f>
        <v>5</v>
      </c>
    </row>
    <row r="32" spans="1:17" x14ac:dyDescent="0.25">
      <c r="A32" s="4" t="s">
        <v>171</v>
      </c>
      <c r="B32" s="211"/>
      <c r="C32" s="211"/>
      <c r="D32" s="212"/>
      <c r="E32" s="212"/>
      <c r="F32" s="212"/>
      <c r="G32" s="212"/>
      <c r="K32" s="520" t="s">
        <v>150</v>
      </c>
      <c r="L32" s="521"/>
      <c r="M32" s="213">
        <v>4</v>
      </c>
      <c r="N32" s="214"/>
      <c r="O32" s="215"/>
      <c r="P32" s="216">
        <f>P30</f>
        <v>5</v>
      </c>
    </row>
    <row r="33" spans="1:16" x14ac:dyDescent="0.25">
      <c r="A33" s="513" t="s">
        <v>129</v>
      </c>
      <c r="B33" s="514"/>
      <c r="C33" s="514"/>
      <c r="D33" s="514"/>
      <c r="E33" s="515"/>
      <c r="F33" s="154" t="s">
        <v>12</v>
      </c>
      <c r="G33" s="154" t="s">
        <v>133</v>
      </c>
      <c r="O33" s="217" t="s">
        <v>172</v>
      </c>
      <c r="P33" s="218">
        <f>P29/8</f>
        <v>0.625</v>
      </c>
    </row>
    <row r="34" spans="1:16" x14ac:dyDescent="0.25">
      <c r="A34" s="219" t="s">
        <v>173</v>
      </c>
      <c r="B34" s="220" t="s">
        <v>174</v>
      </c>
      <c r="C34" s="220"/>
      <c r="D34" s="221"/>
      <c r="E34" s="158"/>
      <c r="F34" s="222">
        <v>0.1</v>
      </c>
      <c r="G34" s="223">
        <f>ROUND(G31*F34,2)</f>
        <v>2025.53</v>
      </c>
    </row>
    <row r="35" spans="1:16" x14ac:dyDescent="0.25">
      <c r="A35" s="224" t="s">
        <v>175</v>
      </c>
      <c r="B35" s="225" t="s">
        <v>176</v>
      </c>
      <c r="C35" s="225"/>
      <c r="D35" s="226"/>
      <c r="E35" s="162"/>
      <c r="F35" s="227">
        <v>0.08</v>
      </c>
      <c r="G35" s="228">
        <f>ROUND(G31*F35,2)</f>
        <v>1620.43</v>
      </c>
    </row>
    <row r="36" spans="1:16" x14ac:dyDescent="0.25">
      <c r="A36" s="229" t="s">
        <v>177</v>
      </c>
      <c r="B36" s="230" t="s">
        <v>178</v>
      </c>
      <c r="C36" s="230"/>
      <c r="D36" s="231"/>
      <c r="E36" s="165"/>
      <c r="F36" s="232">
        <v>0.05</v>
      </c>
      <c r="G36" s="233">
        <f>ROUND((G35+G34+G31)*F36,2)</f>
        <v>1195.06</v>
      </c>
    </row>
    <row r="37" spans="1:16" x14ac:dyDescent="0.25">
      <c r="A37" s="234"/>
      <c r="B37" s="235"/>
      <c r="C37" s="235"/>
      <c r="D37" s="236"/>
      <c r="G37" t="s">
        <v>179</v>
      </c>
    </row>
    <row r="38" spans="1:16" x14ac:dyDescent="0.25">
      <c r="A38" s="237"/>
      <c r="B38" s="211"/>
      <c r="C38" s="211"/>
      <c r="D38" s="238"/>
      <c r="E38" s="238"/>
      <c r="F38" s="207" t="s">
        <v>180</v>
      </c>
      <c r="G38" s="208">
        <f>ROUND(SUM(G34:G36),2)</f>
        <v>4841.0200000000004</v>
      </c>
    </row>
    <row r="40" spans="1:16" x14ac:dyDescent="0.25">
      <c r="A40" s="219" t="s">
        <v>83</v>
      </c>
      <c r="B40" s="239" t="s">
        <v>181</v>
      </c>
      <c r="C40" s="239"/>
      <c r="D40" s="240"/>
      <c r="E40" s="240"/>
      <c r="F40" s="240"/>
      <c r="G40" s="241">
        <f>ROUND(G31+G38,2)</f>
        <v>25096.35</v>
      </c>
    </row>
    <row r="41" spans="1:16" x14ac:dyDescent="0.25">
      <c r="A41" s="224" t="s">
        <v>109</v>
      </c>
      <c r="B41" s="242" t="s">
        <v>182</v>
      </c>
      <c r="C41" s="242"/>
      <c r="D41" s="243"/>
      <c r="E41" s="243"/>
      <c r="F41" s="243"/>
      <c r="G41" s="244">
        <f>G3</f>
        <v>9</v>
      </c>
    </row>
    <row r="42" spans="1:16" x14ac:dyDescent="0.25">
      <c r="A42" s="224" t="s">
        <v>183</v>
      </c>
      <c r="B42" s="242" t="s">
        <v>130</v>
      </c>
      <c r="C42" s="242"/>
      <c r="D42" s="162"/>
      <c r="E42" s="162"/>
      <c r="F42" s="162"/>
      <c r="G42" s="245" t="str">
        <f>G2</f>
        <v>ln.m.</v>
      </c>
    </row>
    <row r="43" spans="1:16" x14ac:dyDescent="0.25">
      <c r="A43" s="229" t="s">
        <v>184</v>
      </c>
      <c r="B43" s="246" t="s">
        <v>185</v>
      </c>
      <c r="C43" s="246"/>
      <c r="D43" s="165"/>
      <c r="E43" s="165"/>
      <c r="F43" s="165"/>
      <c r="G43" s="247">
        <f>ROUND(G40/G41,2)</f>
        <v>2788.48</v>
      </c>
    </row>
    <row r="44" spans="1:16" x14ac:dyDescent="0.25">
      <c r="E44" s="248" t="s">
        <v>186</v>
      </c>
      <c r="G44" s="249">
        <f>G43*G41</f>
        <v>25096.32</v>
      </c>
      <c r="H44" s="248"/>
      <c r="I44" s="248"/>
      <c r="J44" s="248"/>
      <c r="K44" s="248"/>
      <c r="L44" s="250"/>
    </row>
    <row r="47" spans="1:16" x14ac:dyDescent="0.25">
      <c r="A47" s="2"/>
      <c r="E47" s="2"/>
    </row>
  </sheetData>
  <mergeCells count="13">
    <mergeCell ref="O5:P5"/>
    <mergeCell ref="A7:C7"/>
    <mergeCell ref="A15:C15"/>
    <mergeCell ref="O20:P20"/>
    <mergeCell ref="A25:C25"/>
    <mergeCell ref="O25:O26"/>
    <mergeCell ref="A33:E33"/>
    <mergeCell ref="K27:L27"/>
    <mergeCell ref="K28:L28"/>
    <mergeCell ref="K29:L29"/>
    <mergeCell ref="K30:L30"/>
    <mergeCell ref="K31:L31"/>
    <mergeCell ref="K32:L32"/>
  </mergeCells>
  <printOptions horizontalCentered="1"/>
  <pageMargins left="0.51181102362204722" right="0.51181102362204722" top="0.94488188976377963" bottom="0.74803149606299213" header="0.31496062992125984" footer="0.31496062992125984"/>
  <pageSetup paperSize="25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C19BF9-FE30-4F27-BB33-72C82D3EAC6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time elapse</vt:lpstr>
      <vt:lpstr>time elapse (2)</vt:lpstr>
      <vt:lpstr>stewa(EXPIRY)</vt:lpstr>
      <vt:lpstr>SWA</vt:lpstr>
      <vt:lpstr>STEWA (02-20-26)</vt:lpstr>
      <vt:lpstr>STEWA (July 26, 2024)</vt:lpstr>
      <vt:lpstr>STEWA (August 16, 2024)</vt:lpstr>
      <vt:lpstr>SWA (August 23, 2024)</vt:lpstr>
      <vt:lpstr>STEWA (August 23, 2024)</vt:lpstr>
      <vt:lpstr>SWA (August 30, 2024)</vt:lpstr>
      <vt:lpstr>STEWA (August 30, 2024)</vt:lpstr>
      <vt:lpstr>swa_BC</vt:lpstr>
      <vt:lpstr>500(1)a3 (2)</vt:lpstr>
      <vt:lpstr>'500(1)a3 (2)'!Print_Area</vt:lpstr>
      <vt:lpstr>'STEWA (02-20-26)'!Print_Area</vt:lpstr>
      <vt:lpstr>'STEWA (August 16, 2024)'!Print_Area</vt:lpstr>
      <vt:lpstr>'STEWA (August 23, 2024)'!Print_Area</vt:lpstr>
      <vt:lpstr>'STEWA (August 30, 2024)'!Print_Area</vt:lpstr>
      <vt:lpstr>'STEWA (July 26, 2024)'!Print_Area</vt:lpstr>
      <vt:lpstr>'stewa(EXPIRY)'!Print_Area</vt:lpstr>
      <vt:lpstr>SWA!Print_Area</vt:lpstr>
      <vt:lpstr>'SWA (August 23, 2024)'!Print_Area</vt:lpstr>
      <vt:lpstr>'SWA (August 30, 2024)'!Print_Area</vt:lpstr>
      <vt:lpstr>swa_BC!Print_Area</vt:lpstr>
      <vt:lpstr>'time elapse'!Print_Area</vt:lpstr>
      <vt:lpstr>'time elapse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Denver</dc:creator>
  <cp:lastModifiedBy>Engelbert Ilac</cp:lastModifiedBy>
  <cp:lastPrinted>2026-06-09T03:35:49Z</cp:lastPrinted>
  <dcterms:created xsi:type="dcterms:W3CDTF">2021-03-16T15:28:02Z</dcterms:created>
  <dcterms:modified xsi:type="dcterms:W3CDTF">2026-06-09T17:37:38Z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{FFC19BF9-FE30-4F27-BB33-72C82D3EAC69}</vt:lpwstr>
  </property>
</Properties>
</file>