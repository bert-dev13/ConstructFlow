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S 2026\IAR\"/>
    </mc:Choice>
  </mc:AlternateContent>
  <xr:revisionPtr revIDLastSave="0" documentId="13_ncr:1_{3B5AF76A-4591-41E5-A956-D49A0E0511C9}" xr6:coauthVersionLast="47" xr6:coauthVersionMax="47" xr10:uidLastSave="{00000000-0000-0000-0000-000000000000}"/>
  <bookViews>
    <workbookView xWindow="-108" yWindow="-108" windowWidth="23256" windowHeight="13896" tabRatio="931" firstSheet="16" activeTab="21" xr2:uid="{00000000-000D-0000-FFFF-FFFF00000000}"/>
  </bookViews>
  <sheets>
    <sheet name="2-5-8-2024" sheetId="11" state="hidden" r:id="rId1"/>
    <sheet name="2-12-16-2024" sheetId="7" state="hidden" r:id="rId2"/>
    <sheet name="2-19-23-2024" sheetId="12" state="hidden" r:id="rId3"/>
    <sheet name="2-26--3-1-2024" sheetId="13" state="hidden" r:id="rId4"/>
    <sheet name="3-4-8-2024" sheetId="14" state="hidden" r:id="rId5"/>
    <sheet name="3-18-22-2024" sheetId="16" state="hidden" r:id="rId6"/>
    <sheet name="swa" sheetId="10" state="hidden" r:id="rId7"/>
    <sheet name="stewa" sheetId="15" state="hidden" r:id="rId8"/>
    <sheet name="3 - 25-27 - 2024" sheetId="17" state="hidden" r:id="rId9"/>
    <sheet name="4 - 1-5 - 2024" sheetId="18" state="hidden" r:id="rId10"/>
    <sheet name="4 - 8-12 - 2024" sheetId="19" state="hidden" r:id="rId11"/>
    <sheet name="4 - 15-19 - 2024" sheetId="20" state="hidden" r:id="rId12"/>
    <sheet name="4 - 22-26 - 2024" sheetId="21" state="hidden" r:id="rId13"/>
    <sheet name="CONCRETING" sheetId="27" state="hidden" r:id="rId14"/>
    <sheet name="Asassi" sheetId="48" r:id="rId15"/>
    <sheet name="PHO Phase II" sheetId="43" r:id="rId16"/>
    <sheet name="Gas Station" sheetId="55" r:id="rId17"/>
    <sheet name="FMR Road" sheetId="49" r:id="rId18"/>
    <sheet name="Warehouse" sheetId="51" r:id="rId19"/>
    <sheet name="Kamaranan" sheetId="54" r:id="rId20"/>
    <sheet name="Vicente" sheetId="57" r:id="rId21"/>
    <sheet name="Budget" sheetId="58" r:id="rId22"/>
    <sheet name="Accountant" sheetId="60" r:id="rId23"/>
    <sheet name="Assessor" sheetId="61" r:id="rId24"/>
  </sheets>
  <externalReferences>
    <externalReference r:id="rId25"/>
    <externalReference r:id="rId26"/>
    <externalReference r:id="rId27"/>
  </externalReferences>
  <definedNames>
    <definedName name="a">[1]DATABASE!$K$6:$X$163</definedName>
    <definedName name="d">[1]DATABASE!$K$6:$X$163</definedName>
    <definedName name="HazList">[2]DATABASE!$A$6:$N$163</definedName>
    <definedName name="picWAR1" localSheetId="2">#REF!</definedName>
    <definedName name="picWAR1" localSheetId="3">#REF!</definedName>
    <definedName name="picWAR1" localSheetId="0">#REF!</definedName>
    <definedName name="picWAR1" localSheetId="8">#REF!</definedName>
    <definedName name="picWAR1" localSheetId="4">#REF!</definedName>
    <definedName name="picWAR1" localSheetId="9">#REF!</definedName>
    <definedName name="picWAR1" localSheetId="11">#REF!</definedName>
    <definedName name="picWAR1" localSheetId="12">#REF!</definedName>
    <definedName name="picWAR1" localSheetId="10">#REF!</definedName>
    <definedName name="picWAR1" localSheetId="22">#REF!</definedName>
    <definedName name="picWAR1" localSheetId="14">#REF!</definedName>
    <definedName name="picWAR1" localSheetId="23">#REF!</definedName>
    <definedName name="picWAR1" localSheetId="21">#REF!</definedName>
    <definedName name="picWAR1" localSheetId="13">#REF!</definedName>
    <definedName name="picWAR1" localSheetId="17">#REF!</definedName>
    <definedName name="picWAR1" localSheetId="16">#REF!</definedName>
    <definedName name="picWAR1" localSheetId="19">#REF!</definedName>
    <definedName name="picWAR1" localSheetId="15">#REF!</definedName>
    <definedName name="picWAR1" localSheetId="20">#REF!</definedName>
    <definedName name="picWAR1" localSheetId="18">#REF!</definedName>
    <definedName name="picWAR1">#REF!</definedName>
    <definedName name="picWAR2" localSheetId="2">#REF!</definedName>
    <definedName name="picWAR2" localSheetId="3">#REF!</definedName>
    <definedName name="picWAR2" localSheetId="0">#REF!</definedName>
    <definedName name="picWAR2" localSheetId="8">#REF!</definedName>
    <definedName name="picWAR2" localSheetId="4">#REF!</definedName>
    <definedName name="picWAR2" localSheetId="9">#REF!</definedName>
    <definedName name="picWAR2" localSheetId="11">#REF!</definedName>
    <definedName name="picWAR2" localSheetId="12">#REF!</definedName>
    <definedName name="picWAR2" localSheetId="10">#REF!</definedName>
    <definedName name="picWAR2" localSheetId="22">#REF!</definedName>
    <definedName name="picWAR2" localSheetId="14">#REF!</definedName>
    <definedName name="picWAR2" localSheetId="23">#REF!</definedName>
    <definedName name="picWAR2" localSheetId="21">#REF!</definedName>
    <definedName name="picWAR2" localSheetId="13">#REF!</definedName>
    <definedName name="picWAR2" localSheetId="17">#REF!</definedName>
    <definedName name="picWAR2" localSheetId="16">#REF!</definedName>
    <definedName name="picWAR2" localSheetId="19">#REF!</definedName>
    <definedName name="picWAR2" localSheetId="15">#REF!</definedName>
    <definedName name="picWAR2" localSheetId="20">#REF!</definedName>
    <definedName name="picWAR2" localSheetId="18">#REF!</definedName>
    <definedName name="picWAR2">#REF!</definedName>
    <definedName name="picWAR3" localSheetId="2">#REF!</definedName>
    <definedName name="picWAR3" localSheetId="3">#REF!</definedName>
    <definedName name="picWAR3" localSheetId="0">#REF!</definedName>
    <definedName name="picWAR3" localSheetId="8">#REF!</definedName>
    <definedName name="picWAR3" localSheetId="4">#REF!</definedName>
    <definedName name="picWAR3" localSheetId="9">#REF!</definedName>
    <definedName name="picWAR3" localSheetId="11">#REF!</definedName>
    <definedName name="picWAR3" localSheetId="12">#REF!</definedName>
    <definedName name="picWAR3" localSheetId="10">#REF!</definedName>
    <definedName name="picWAR3" localSheetId="22">#REF!</definedName>
    <definedName name="picWAR3" localSheetId="14">#REF!</definedName>
    <definedName name="picWAR3" localSheetId="23">#REF!</definedName>
    <definedName name="picWAR3" localSheetId="21">#REF!</definedName>
    <definedName name="picWAR3" localSheetId="13">#REF!</definedName>
    <definedName name="picWAR3" localSheetId="17">#REF!</definedName>
    <definedName name="picWAR3" localSheetId="16">#REF!</definedName>
    <definedName name="picWAR3" localSheetId="19">#REF!</definedName>
    <definedName name="picWAR3" localSheetId="15">#REF!</definedName>
    <definedName name="picWAR3" localSheetId="20">#REF!</definedName>
    <definedName name="picWAR3" localSheetId="18">#REF!</definedName>
    <definedName name="picWAR3">#REF!</definedName>
    <definedName name="_xlnm.Print_Area" localSheetId="1">'2-12-16-2024'!$A$1:$L$75</definedName>
    <definedName name="_xlnm.Print_Area" localSheetId="2">'2-19-23-2024'!$A$1:$L$75</definedName>
    <definedName name="_xlnm.Print_Area" localSheetId="3">'2-26--3-1-2024'!$A$1:$L$75</definedName>
    <definedName name="_xlnm.Print_Area" localSheetId="0">'2-5-8-2024'!$A$1:$L$75</definedName>
    <definedName name="_xlnm.Print_Area" localSheetId="8">'3 - 25-27 - 2024'!$A$1:$L$73</definedName>
    <definedName name="_xlnm.Print_Area" localSheetId="5">'3-18-22-2024'!$A$1:$L$76</definedName>
    <definedName name="_xlnm.Print_Area" localSheetId="4">'3-4-8-2024'!$A$1:$L$75</definedName>
    <definedName name="_xlnm.Print_Area" localSheetId="9">'4 - 1-5 - 2024'!$A$1:$L$73</definedName>
    <definedName name="_xlnm.Print_Area" localSheetId="11">'4 - 15-19 - 2024'!$A$1:$L$73</definedName>
    <definedName name="_xlnm.Print_Area" localSheetId="12">'4 - 22-26 - 2024'!$A$1:$L$73</definedName>
    <definedName name="_xlnm.Print_Area" localSheetId="10">'4 - 8-12 - 2024'!$A$1:$L$73</definedName>
    <definedName name="_xlnm.Print_Area" localSheetId="22">Accountant!$A$1:$M$86</definedName>
    <definedName name="_xlnm.Print_Area" localSheetId="14">Asassi!$A$1:$M$86</definedName>
    <definedName name="_xlnm.Print_Area" localSheetId="23">Assessor!$A$1:$M$80</definedName>
    <definedName name="_xlnm.Print_Area" localSheetId="21">Budget!$A$1:$M$86</definedName>
    <definedName name="_xlnm.Print_Area" localSheetId="13">CONCRETING!$A$1:$L$75</definedName>
    <definedName name="_xlnm.Print_Area" localSheetId="17">'FMR Road'!$A$1:$M$91</definedName>
    <definedName name="_xlnm.Print_Area" localSheetId="16">'Gas Station'!$A$1:$M$102</definedName>
    <definedName name="_xlnm.Print_Area" localSheetId="19">Kamaranan!$A$1:$M$88</definedName>
    <definedName name="_xlnm.Print_Area" localSheetId="15">'PHO Phase II'!$A$1:$M$85</definedName>
    <definedName name="_xlnm.Print_Area" localSheetId="6">swa!$A$1:$O$80</definedName>
    <definedName name="_xlnm.Print_Area" localSheetId="20">Vicente!$A$1:$M$72</definedName>
    <definedName name="_xlnm.Print_Area" localSheetId="18">Warehouse!$A$1:$M$89</definedName>
    <definedName name="WARpic1" localSheetId="2">#REF!</definedName>
    <definedName name="WARpic1" localSheetId="3">#REF!</definedName>
    <definedName name="WARpic1" localSheetId="0">#REF!</definedName>
    <definedName name="WARpic1" localSheetId="8">#REF!</definedName>
    <definedName name="WARpic1" localSheetId="4">#REF!</definedName>
    <definedName name="WARpic1" localSheetId="9">#REF!</definedName>
    <definedName name="WARpic1" localSheetId="11">#REF!</definedName>
    <definedName name="WARpic1" localSheetId="12">#REF!</definedName>
    <definedName name="WARpic1" localSheetId="10">#REF!</definedName>
    <definedName name="WARpic1" localSheetId="22">#REF!</definedName>
    <definedName name="WARpic1" localSheetId="14">#REF!</definedName>
    <definedName name="WARpic1" localSheetId="23">#REF!</definedName>
    <definedName name="WARpic1" localSheetId="21">#REF!</definedName>
    <definedName name="WARpic1" localSheetId="13">#REF!</definedName>
    <definedName name="WARpic1" localSheetId="17">#REF!</definedName>
    <definedName name="WARpic1" localSheetId="16">#REF!</definedName>
    <definedName name="WARpic1" localSheetId="19">#REF!</definedName>
    <definedName name="WARpic1" localSheetId="15">#REF!</definedName>
    <definedName name="WARpic1" localSheetId="20">#REF!</definedName>
    <definedName name="WARpic1" localSheetId="18">#REF!</definedName>
    <definedName name="WARpic1">#REF!</definedName>
    <definedName name="WARpic2" localSheetId="2">#REF!</definedName>
    <definedName name="WARpic2" localSheetId="3">#REF!</definedName>
    <definedName name="WARpic2" localSheetId="0">#REF!</definedName>
    <definedName name="WARpic2" localSheetId="8">#REF!</definedName>
    <definedName name="WARpic2" localSheetId="4">#REF!</definedName>
    <definedName name="WARpic2" localSheetId="9">#REF!</definedName>
    <definedName name="WARpic2" localSheetId="11">#REF!</definedName>
    <definedName name="WARpic2" localSheetId="12">#REF!</definedName>
    <definedName name="WARpic2" localSheetId="10">#REF!</definedName>
    <definedName name="WARpic2" localSheetId="22">#REF!</definedName>
    <definedName name="WARpic2" localSheetId="14">#REF!</definedName>
    <definedName name="WARpic2" localSheetId="23">#REF!</definedName>
    <definedName name="WARpic2" localSheetId="21">#REF!</definedName>
    <definedName name="WARpic2" localSheetId="13">#REF!</definedName>
    <definedName name="WARpic2" localSheetId="17">#REF!</definedName>
    <definedName name="WARpic2" localSheetId="16">#REF!</definedName>
    <definedName name="WARpic2" localSheetId="19">#REF!</definedName>
    <definedName name="WARpic2" localSheetId="15">#REF!</definedName>
    <definedName name="WARpic2" localSheetId="20">#REF!</definedName>
    <definedName name="WARpic2" localSheetId="18">#REF!</definedName>
    <definedName name="WARpic2">#REF!</definedName>
    <definedName name="WARpic3" localSheetId="2">#REF!</definedName>
    <definedName name="WARpic3" localSheetId="3">#REF!</definedName>
    <definedName name="WARpic3" localSheetId="0">#REF!</definedName>
    <definedName name="WARpic3" localSheetId="8">#REF!</definedName>
    <definedName name="WARpic3" localSheetId="4">#REF!</definedName>
    <definedName name="WARpic3" localSheetId="9">#REF!</definedName>
    <definedName name="WARpic3" localSheetId="11">#REF!</definedName>
    <definedName name="WARpic3" localSheetId="12">#REF!</definedName>
    <definedName name="WARpic3" localSheetId="10">#REF!</definedName>
    <definedName name="WARpic3" localSheetId="22">#REF!</definedName>
    <definedName name="WARpic3" localSheetId="14">#REF!</definedName>
    <definedName name="WARpic3" localSheetId="23">#REF!</definedName>
    <definedName name="WARpic3" localSheetId="21">#REF!</definedName>
    <definedName name="WARpic3" localSheetId="13">#REF!</definedName>
    <definedName name="WARpic3" localSheetId="17">#REF!</definedName>
    <definedName name="WARpic3" localSheetId="16">#REF!</definedName>
    <definedName name="WARpic3" localSheetId="19">#REF!</definedName>
    <definedName name="WARpic3" localSheetId="15">#REF!</definedName>
    <definedName name="WARpic3" localSheetId="20">#REF!</definedName>
    <definedName name="WARpic3" localSheetId="18">#REF!</definedName>
    <definedName name="WARpic3">#REF!</definedName>
    <definedName name="z">[1]DATABASE!$K$6:$X$163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27" l="1"/>
  <c r="N76" i="21" l="1"/>
  <c r="N72" i="21"/>
  <c r="O14" i="21"/>
  <c r="N14" i="21"/>
  <c r="N16" i="21" s="1"/>
  <c r="N13" i="21"/>
  <c r="N76" i="20"/>
  <c r="N72" i="20"/>
  <c r="O14" i="20"/>
  <c r="N14" i="20"/>
  <c r="N16" i="20" s="1"/>
  <c r="N13" i="20"/>
  <c r="N76" i="19"/>
  <c r="N72" i="19"/>
  <c r="O14" i="19"/>
  <c r="N14" i="19"/>
  <c r="N16" i="19" s="1"/>
  <c r="N13" i="19"/>
  <c r="N76" i="18"/>
  <c r="N72" i="18"/>
  <c r="O14" i="18"/>
  <c r="N14" i="18"/>
  <c r="N16" i="18" s="1"/>
  <c r="N13" i="18"/>
  <c r="N76" i="17"/>
  <c r="N72" i="17"/>
  <c r="O14" i="17"/>
  <c r="N14" i="17"/>
  <c r="N16" i="17" s="1"/>
  <c r="N13" i="17"/>
  <c r="N16" i="16" l="1"/>
  <c r="N18" i="16" l="1"/>
  <c r="J15" i="16" s="1"/>
  <c r="N78" i="16"/>
  <c r="N74" i="16"/>
  <c r="H69" i="16"/>
  <c r="O16" i="16"/>
  <c r="N15" i="16"/>
  <c r="B15" i="16"/>
  <c r="A15" i="16"/>
  <c r="B14" i="16"/>
  <c r="A14" i="16"/>
  <c r="B13" i="16"/>
  <c r="A13" i="16"/>
  <c r="J13" i="16" l="1"/>
  <c r="N16" i="14"/>
  <c r="N18" i="13"/>
  <c r="J14" i="16" l="1"/>
  <c r="Q45" i="10" s="1"/>
  <c r="Q43" i="10"/>
  <c r="I42" i="15"/>
  <c r="D33" i="15"/>
  <c r="D25" i="15"/>
  <c r="D24" i="15"/>
  <c r="D21" i="15"/>
  <c r="D20" i="15"/>
  <c r="D19" i="15"/>
  <c r="D23" i="15" s="1"/>
  <c r="D16" i="15"/>
  <c r="D15" i="15"/>
  <c r="D14" i="15"/>
  <c r="D13" i="15"/>
  <c r="D12" i="15"/>
  <c r="J26" i="15" l="1"/>
  <c r="J27" i="15"/>
  <c r="J35" i="15" s="1"/>
  <c r="D29" i="15"/>
  <c r="J34" i="15" s="1"/>
  <c r="D31" i="15" s="1"/>
  <c r="D32" i="15" s="1"/>
  <c r="D27" i="15"/>
  <c r="D26" i="15"/>
  <c r="D28" i="15"/>
  <c r="J32" i="15"/>
  <c r="J31" i="15" l="1"/>
  <c r="N18" i="12" l="1"/>
  <c r="N78" i="14"/>
  <c r="N74" i="14"/>
  <c r="H69" i="14"/>
  <c r="N18" i="14"/>
  <c r="J15" i="14" s="1"/>
  <c r="Q47" i="10" s="1"/>
  <c r="O16" i="14"/>
  <c r="N15" i="14"/>
  <c r="B15" i="14"/>
  <c r="A15" i="14"/>
  <c r="B14" i="14"/>
  <c r="A14" i="14"/>
  <c r="B13" i="14"/>
  <c r="A13" i="14"/>
  <c r="J13" i="12" l="1"/>
  <c r="J14" i="12" s="1"/>
  <c r="P47" i="10"/>
  <c r="J15" i="12"/>
  <c r="J13" i="14"/>
  <c r="J14" i="14" s="1"/>
  <c r="N78" i="13"/>
  <c r="N74" i="13"/>
  <c r="H69" i="13"/>
  <c r="O16" i="13"/>
  <c r="N15" i="13"/>
  <c r="B15" i="13"/>
  <c r="A15" i="13"/>
  <c r="B14" i="13"/>
  <c r="A14" i="13"/>
  <c r="B13" i="13"/>
  <c r="A13" i="13"/>
  <c r="N78" i="12"/>
  <c r="N74" i="12"/>
  <c r="H69" i="12"/>
  <c r="O16" i="12"/>
  <c r="N15" i="12"/>
  <c r="B15" i="12"/>
  <c r="A15" i="12"/>
  <c r="B14" i="12"/>
  <c r="A14" i="12"/>
  <c r="B13" i="12"/>
  <c r="A13" i="12"/>
  <c r="L47" i="10" l="1"/>
  <c r="P43" i="10"/>
  <c r="L43" i="10" s="1"/>
  <c r="J15" i="13"/>
  <c r="J13" i="13"/>
  <c r="J14" i="13" s="1"/>
  <c r="N78" i="7"/>
  <c r="N74" i="7"/>
  <c r="L44" i="10"/>
  <c r="L46" i="10"/>
  <c r="N16" i="11"/>
  <c r="H69" i="11"/>
  <c r="O16" i="11"/>
  <c r="N18" i="11"/>
  <c r="N15" i="11"/>
  <c r="B15" i="11"/>
  <c r="A15" i="11"/>
  <c r="B14" i="11"/>
  <c r="A14" i="11"/>
  <c r="B13" i="11"/>
  <c r="A13" i="11"/>
  <c r="N15" i="7"/>
  <c r="N16" i="7"/>
  <c r="N18" i="7"/>
  <c r="J15" i="7"/>
  <c r="O16" i="7"/>
  <c r="H69" i="7"/>
  <c r="J15" i="11" l="1"/>
  <c r="J13" i="11"/>
  <c r="J14" i="11" s="1"/>
  <c r="J13" i="7"/>
  <c r="J14" i="7" s="1"/>
  <c r="P45" i="10" s="1"/>
  <c r="L45" i="10" s="1"/>
  <c r="B15" i="7"/>
  <c r="B14" i="7"/>
  <c r="B13" i="7"/>
  <c r="A15" i="7"/>
  <c r="A14" i="7"/>
  <c r="A13" i="7"/>
  <c r="K66" i="10"/>
  <c r="M66" i="10" s="1"/>
  <c r="I66" i="10"/>
  <c r="K65" i="10"/>
  <c r="M65" i="10" s="1"/>
  <c r="I65" i="10"/>
  <c r="K64" i="10"/>
  <c r="M64" i="10" s="1"/>
  <c r="I64" i="10"/>
  <c r="K63" i="10"/>
  <c r="I63" i="10"/>
  <c r="R62" i="10"/>
  <c r="K62" i="10"/>
  <c r="M62" i="10" s="1"/>
  <c r="I62" i="10"/>
  <c r="R61" i="10"/>
  <c r="K61" i="10"/>
  <c r="M61" i="10" s="1"/>
  <c r="I61" i="10"/>
  <c r="R60" i="10"/>
  <c r="K60" i="10"/>
  <c r="M60" i="10" s="1"/>
  <c r="I60" i="10"/>
  <c r="K59" i="10"/>
  <c r="I59" i="10"/>
  <c r="R58" i="10"/>
  <c r="K58" i="10"/>
  <c r="M58" i="10" s="1"/>
  <c r="I58" i="10"/>
  <c r="R57" i="10"/>
  <c r="K57" i="10"/>
  <c r="M57" i="10" s="1"/>
  <c r="I57" i="10"/>
  <c r="R56" i="10"/>
  <c r="K56" i="10"/>
  <c r="M56" i="10" s="1"/>
  <c r="I56" i="10"/>
  <c r="K55" i="10"/>
  <c r="I55" i="10"/>
  <c r="V54" i="10"/>
  <c r="S53" i="10" s="1"/>
  <c r="R54" i="10"/>
  <c r="K54" i="10"/>
  <c r="M54" i="10" s="1"/>
  <c r="I54" i="10"/>
  <c r="R53" i="10"/>
  <c r="K53" i="10"/>
  <c r="M53" i="10" s="1"/>
  <c r="I53" i="10"/>
  <c r="K52" i="10"/>
  <c r="I52" i="10"/>
  <c r="K51" i="10"/>
  <c r="M51" i="10" s="1"/>
  <c r="I51" i="10"/>
  <c r="K50" i="10"/>
  <c r="M50" i="10" s="1"/>
  <c r="I50" i="10"/>
  <c r="K49" i="10"/>
  <c r="I49" i="10"/>
  <c r="K48" i="10"/>
  <c r="I48" i="10"/>
  <c r="R47" i="10"/>
  <c r="U27" i="10" s="1"/>
  <c r="R18" i="10" s="1"/>
  <c r="K47" i="10"/>
  <c r="M47" i="10" s="1"/>
  <c r="I47" i="10"/>
  <c r="K46" i="10"/>
  <c r="I46" i="10"/>
  <c r="R45" i="10"/>
  <c r="K45" i="10"/>
  <c r="M45" i="10" s="1"/>
  <c r="I45" i="10"/>
  <c r="K44" i="10"/>
  <c r="I44" i="10"/>
  <c r="R43" i="10"/>
  <c r="K43" i="10"/>
  <c r="M43" i="10" s="1"/>
  <c r="I43" i="10"/>
  <c r="R42" i="10"/>
  <c r="K42" i="10"/>
  <c r="M42" i="10" s="1"/>
  <c r="I42" i="10"/>
  <c r="R41" i="10"/>
  <c r="K41" i="10"/>
  <c r="M41" i="10" s="1"/>
  <c r="I41" i="10"/>
  <c r="S40" i="10"/>
  <c r="R40" i="10"/>
  <c r="K40" i="10"/>
  <c r="M40" i="10" s="1"/>
  <c r="I40" i="10"/>
  <c r="R39" i="10"/>
  <c r="K39" i="10"/>
  <c r="M39" i="10" s="1"/>
  <c r="I39" i="10"/>
  <c r="K38" i="10"/>
  <c r="M38" i="10" s="1"/>
  <c r="I38" i="10"/>
  <c r="K37" i="10"/>
  <c r="M37" i="10" s="1"/>
  <c r="I37" i="10"/>
  <c r="K35" i="10"/>
  <c r="M35" i="10" s="1"/>
  <c r="I35" i="10"/>
  <c r="K34" i="10"/>
  <c r="M34" i="10" s="1"/>
  <c r="I34" i="10"/>
  <c r="K33" i="10"/>
  <c r="M33" i="10" s="1"/>
  <c r="I33" i="10"/>
  <c r="U31" i="10"/>
  <c r="U32" i="10" s="1"/>
  <c r="K31" i="10"/>
  <c r="I31" i="10"/>
  <c r="L31" i="10" s="1"/>
  <c r="Q27" i="10"/>
  <c r="K27" i="10"/>
  <c r="M27" i="10" s="1"/>
  <c r="I27" i="10"/>
  <c r="K26" i="10"/>
  <c r="I26" i="10"/>
  <c r="AA25" i="10"/>
  <c r="AA30" i="10" s="1"/>
  <c r="K25" i="10"/>
  <c r="M25" i="10" s="1"/>
  <c r="I25" i="10"/>
  <c r="K24" i="10"/>
  <c r="I24" i="10"/>
  <c r="Q23" i="10"/>
  <c r="Q25" i="10" s="1"/>
  <c r="K23" i="10"/>
  <c r="M23" i="10" s="1"/>
  <c r="I23" i="10"/>
  <c r="R22" i="10"/>
  <c r="K22" i="10"/>
  <c r="M22" i="10" s="1"/>
  <c r="I22" i="10"/>
  <c r="R21" i="10"/>
  <c r="K21" i="10"/>
  <c r="M21" i="10" s="1"/>
  <c r="I21" i="10"/>
  <c r="K19" i="10"/>
  <c r="M19" i="10" s="1"/>
  <c r="I19" i="10"/>
  <c r="K18" i="10"/>
  <c r="I18" i="10"/>
  <c r="K17" i="10"/>
  <c r="M17" i="10" s="1"/>
  <c r="I17" i="10"/>
  <c r="K15" i="10"/>
  <c r="I15" i="10"/>
  <c r="A3" i="10"/>
  <c r="K28" i="10" l="1"/>
  <c r="K67" i="10"/>
  <c r="M31" i="10"/>
  <c r="L67" i="10"/>
  <c r="L15" i="10"/>
  <c r="P66" i="10"/>
  <c r="R34" i="10"/>
  <c r="R31" i="10"/>
  <c r="I68" i="10"/>
  <c r="AA41" i="10"/>
  <c r="AA44" i="10"/>
  <c r="R15" i="10"/>
  <c r="P27" i="10"/>
  <c r="L18" i="10"/>
  <c r="M18" i="10" s="1"/>
  <c r="N18" i="10" s="1"/>
  <c r="N62" i="10" l="1"/>
  <c r="N57" i="10"/>
  <c r="J17" i="10"/>
  <c r="J18" i="10"/>
  <c r="J25" i="10"/>
  <c r="N51" i="10"/>
  <c r="N53" i="10"/>
  <c r="N23" i="10"/>
  <c r="N50" i="10"/>
  <c r="N56" i="10"/>
  <c r="J45" i="10"/>
  <c r="N35" i="10"/>
  <c r="N19" i="10"/>
  <c r="N64" i="10"/>
  <c r="N45" i="10"/>
  <c r="N42" i="10"/>
  <c r="J22" i="10"/>
  <c r="J43" i="10"/>
  <c r="J54" i="10"/>
  <c r="J65" i="10"/>
  <c r="N39" i="10"/>
  <c r="N43" i="10"/>
  <c r="N54" i="10"/>
  <c r="J61" i="10"/>
  <c r="J34" i="10"/>
  <c r="N25" i="10"/>
  <c r="J37" i="10"/>
  <c r="J21" i="10"/>
  <c r="J42" i="10"/>
  <c r="J38" i="10"/>
  <c r="J62" i="10"/>
  <c r="N41" i="10"/>
  <c r="N27" i="10"/>
  <c r="N38" i="10"/>
  <c r="J23" i="10"/>
  <c r="J40" i="10"/>
  <c r="N60" i="10"/>
  <c r="J66" i="10"/>
  <c r="J31" i="10"/>
  <c r="L28" i="10"/>
  <c r="K68" i="10"/>
  <c r="L68" i="10"/>
  <c r="J56" i="10"/>
  <c r="J64" i="10"/>
  <c r="N40" i="10"/>
  <c r="N61" i="10"/>
  <c r="N22" i="10"/>
  <c r="N58" i="10"/>
  <c r="N31" i="10"/>
  <c r="M67" i="10"/>
  <c r="P72" i="10"/>
  <c r="K71" i="10"/>
  <c r="J33" i="10"/>
  <c r="J27" i="10"/>
  <c r="J39" i="10"/>
  <c r="J51" i="10"/>
  <c r="J47" i="10"/>
  <c r="J41" i="10"/>
  <c r="J19" i="10"/>
  <c r="N17" i="10"/>
  <c r="N65" i="10"/>
  <c r="N21" i="10"/>
  <c r="N47" i="10"/>
  <c r="J50" i="10"/>
  <c r="J60" i="10"/>
  <c r="J58" i="10"/>
  <c r="N37" i="10"/>
  <c r="N34" i="10"/>
  <c r="J15" i="10"/>
  <c r="J35" i="10"/>
  <c r="J53" i="10"/>
  <c r="N66" i="10"/>
  <c r="M15" i="10"/>
  <c r="J57" i="10"/>
  <c r="N33" i="10"/>
  <c r="M28" i="10" l="1"/>
  <c r="M68" i="10" s="1"/>
  <c r="K72" i="10" s="1"/>
  <c r="K74" i="10" s="1"/>
  <c r="N15" i="10"/>
  <c r="N28" i="10" s="1"/>
  <c r="J68" i="10"/>
  <c r="N67" i="10"/>
  <c r="N68" i="10" s="1"/>
  <c r="Q61" i="10" l="1"/>
  <c r="Q62" i="10" s="1"/>
  <c r="K70" i="10"/>
</calcChain>
</file>

<file path=xl/sharedStrings.xml><?xml version="1.0" encoding="utf-8"?>
<sst xmlns="http://schemas.openxmlformats.org/spreadsheetml/2006/main" count="2902" uniqueCount="553">
  <si>
    <t>Contract No.</t>
  </si>
  <si>
    <t>B011 - 2023</t>
  </si>
  <si>
    <t>Project Title:</t>
  </si>
  <si>
    <t>Improvement of Road Network</t>
  </si>
  <si>
    <t>A. Padul Solana - Tuao Road Solana, Cagayan</t>
  </si>
  <si>
    <t xml:space="preserve">      Municipality:</t>
  </si>
  <si>
    <t>Tuao</t>
  </si>
  <si>
    <t>B. Bugnay Tuao to Solana Road Tuao, Cagayan</t>
  </si>
  <si>
    <t xml:space="preserve">      Week 
Covered:</t>
  </si>
  <si>
    <t>February 5-8, 2024</t>
  </si>
  <si>
    <t>Contractor:</t>
  </si>
  <si>
    <t>Dragonace Construction Corporation</t>
  </si>
  <si>
    <t>ACCOMPLISHMENT</t>
  </si>
  <si>
    <t>Item No.</t>
  </si>
  <si>
    <t>Description</t>
  </si>
  <si>
    <t>Location / Station</t>
  </si>
  <si>
    <t>Quantity for the week</t>
  </si>
  <si>
    <t>Unit</t>
  </si>
  <si>
    <t>Physical</t>
  </si>
  <si>
    <t>Billable</t>
  </si>
  <si>
    <t>PCCP</t>
  </si>
  <si>
    <t>sq.m.</t>
  </si>
  <si>
    <t>cu.m.</t>
  </si>
  <si>
    <t>FOR VARIATION ORDER</t>
  </si>
  <si>
    <t>Quantity</t>
  </si>
  <si>
    <t>Additive</t>
  </si>
  <si>
    <t>Deductive</t>
  </si>
  <si>
    <t>New Item</t>
  </si>
  <si>
    <t>ACTIVITIES FOR THE WEEK:</t>
  </si>
  <si>
    <t>FIELD INSTRUCTIONS:</t>
  </si>
  <si>
    <t>Preparation of Sub-grade</t>
  </si>
  <si>
    <t>Pouring of Concrete for PCCP</t>
  </si>
  <si>
    <t>Installation of forms for PCCP</t>
  </si>
  <si>
    <t>Removal of forms for PCCP</t>
  </si>
  <si>
    <t>PROBLEMS ENCOUNTERED/ REMARKS:</t>
  </si>
  <si>
    <t>MANPOWER</t>
  </si>
  <si>
    <t>EQUIPMENT</t>
  </si>
  <si>
    <t>Site Engineer</t>
  </si>
  <si>
    <t>Transit Mixer</t>
  </si>
  <si>
    <t>Foreman</t>
  </si>
  <si>
    <t>Concrete Vibrator</t>
  </si>
  <si>
    <t>Skilled Laborer</t>
  </si>
  <si>
    <t>Screeder</t>
  </si>
  <si>
    <t>Laborer</t>
  </si>
  <si>
    <t>Loader</t>
  </si>
  <si>
    <t>WEEKLY PHYSICAL ACCOMPLISHMENT PERCENTAGE (CUMULATIVE):</t>
  </si>
  <si>
    <t xml:space="preserve"> </t>
  </si>
  <si>
    <t>ORIG. TARGET</t>
  </si>
  <si>
    <t>REV. TARGET</t>
  </si>
  <si>
    <t>ACTUAL</t>
  </si>
  <si>
    <t>VARIANCE</t>
  </si>
  <si>
    <t>REMARKS</t>
  </si>
  <si>
    <t>On-going</t>
  </si>
  <si>
    <t>Prepared by:</t>
  </si>
  <si>
    <t>Checked and Reviewed By:</t>
  </si>
  <si>
    <t>Conforme:</t>
  </si>
  <si>
    <t>ALLAN C. BELLO</t>
  </si>
  <si>
    <t>PORFIRIO S. CANAPI</t>
  </si>
  <si>
    <t>FERLYN BEA LARON</t>
  </si>
  <si>
    <t>PEO Engineer I</t>
  </si>
  <si>
    <t>PEO Engineer II</t>
  </si>
  <si>
    <t>Contractor's Representative</t>
  </si>
  <si>
    <t>February 12-16, 2024</t>
  </si>
  <si>
    <t>GESIECA D. DUYAO</t>
  </si>
  <si>
    <t>February 19-23 2024</t>
  </si>
  <si>
    <t>February 26 - March 1, 2024</t>
  </si>
  <si>
    <t>March 4 - 8, 2024</t>
  </si>
  <si>
    <t>March 25-27, 2024</t>
  </si>
  <si>
    <t>ROREL S. FERNANDEZ</t>
  </si>
  <si>
    <t>STATEMENT OF WORK ACCOMPLISHED</t>
  </si>
  <si>
    <t xml:space="preserve">Project Name        </t>
  </si>
  <si>
    <t>:</t>
  </si>
  <si>
    <t>IMPROVEMENT OF ROAD NETWORK</t>
  </si>
  <si>
    <t>A. PADUL SOLANA TO TUAO ROAD SOLANA, CAGAYAN</t>
  </si>
  <si>
    <t>B. BUGNAY TUAO TO SOLANA ROAD TUAO, CAGAYAN</t>
  </si>
  <si>
    <t xml:space="preserve">Project ID             </t>
  </si>
  <si>
    <t>B011-2023</t>
  </si>
  <si>
    <t>accom</t>
  </si>
  <si>
    <t>accom(inspection)</t>
  </si>
  <si>
    <t xml:space="preserve">Location               </t>
  </si>
  <si>
    <t>SOLANA-TUAO, CAGAYAN</t>
  </si>
  <si>
    <t>6/14/2023</t>
  </si>
  <si>
    <t>ITEM</t>
  </si>
  <si>
    <t>DESCRIPTION OF WORK</t>
  </si>
  <si>
    <t>PROGRAMMED</t>
  </si>
  <si>
    <t>UNIT</t>
  </si>
  <si>
    <t>AMOUNT</t>
  </si>
  <si>
    <t>WEIGHT</t>
  </si>
  <si>
    <t>NO.</t>
  </si>
  <si>
    <t>QUANTITY</t>
  </si>
  <si>
    <t>COST</t>
  </si>
  <si>
    <t>%</t>
  </si>
  <si>
    <t>PREVIOUS</t>
  </si>
  <si>
    <t>THIS PERIOD</t>
  </si>
  <si>
    <t>TO DATE</t>
  </si>
  <si>
    <t>A.</t>
  </si>
  <si>
    <t>PADUL SOLANA TO TUAO ROAD SOLANA, CAGAYAN</t>
  </si>
  <si>
    <t>PART A</t>
  </si>
  <si>
    <t>FACILITIES FOR THE ENGINEERS</t>
  </si>
  <si>
    <t>A.1.1 (8)</t>
  </si>
  <si>
    <t>Provision of Field Office for the Engineer (Rental Basis)</t>
  </si>
  <si>
    <t>month</t>
  </si>
  <si>
    <t>PART B</t>
  </si>
  <si>
    <t>OTHER GENERAL REQUIREMENTS</t>
  </si>
  <si>
    <t>B.5</t>
  </si>
  <si>
    <t>Billboards and Signages</t>
  </si>
  <si>
    <t>each</t>
  </si>
  <si>
    <t>B.7</t>
  </si>
  <si>
    <t>Construction Safety and Health Program</t>
  </si>
  <si>
    <t>l.s.</t>
  </si>
  <si>
    <t>all</t>
  </si>
  <si>
    <t>B.9</t>
  </si>
  <si>
    <t>Mobilization/Demobilization</t>
  </si>
  <si>
    <t>PART C</t>
  </si>
  <si>
    <t>EARTHWORKS</t>
  </si>
  <si>
    <t>102(2)</t>
  </si>
  <si>
    <t>Roadway Excavation (Surplus Common Excavation- Suitable Materials)</t>
  </si>
  <si>
    <t>104(1)</t>
  </si>
  <si>
    <t>Embankment</t>
  </si>
  <si>
    <t>105(1)</t>
  </si>
  <si>
    <t>Sub-Grade Preparation(Common Materials)</t>
  </si>
  <si>
    <t>Not Yet Started</t>
  </si>
  <si>
    <t>PART D</t>
  </si>
  <si>
    <t>SUBBASE COURSE</t>
  </si>
  <si>
    <t>200(1)</t>
  </si>
  <si>
    <t>Aggregate Subbase Course</t>
  </si>
  <si>
    <t>PART E</t>
  </si>
  <si>
    <t>SURFACE COURSE</t>
  </si>
  <si>
    <t>311(1)C</t>
  </si>
  <si>
    <t>Portland Cement Concrete Pavement, 230mm</t>
  </si>
  <si>
    <t>S U B - T O T A L ( A )</t>
  </si>
  <si>
    <t>B.</t>
  </si>
  <si>
    <t>BUGNAY TUAO TO SOLANA ROAD TUAO, CAGAYAN</t>
  </si>
  <si>
    <t>101(4)a1</t>
  </si>
  <si>
    <r>
      <t>Removal of Actual Structures/Obstruction (610mm</t>
    </r>
    <r>
      <rPr>
        <sz val="9"/>
        <rFont val="Calibri"/>
        <family val="2"/>
      </rPr>
      <t>ø</t>
    </r>
    <r>
      <rPr>
        <sz val="10.35"/>
        <rFont val="Arial"/>
        <family val="2"/>
      </rPr>
      <t xml:space="preserve"> RCPC)</t>
    </r>
  </si>
  <si>
    <t>ln.m.</t>
  </si>
  <si>
    <t>101(4)a3</t>
  </si>
  <si>
    <r>
      <t>Removal of Actual Structures/Obstruction (910mm</t>
    </r>
    <r>
      <rPr>
        <sz val="9"/>
        <rFont val="Calibri"/>
        <family val="2"/>
      </rPr>
      <t>ø</t>
    </r>
    <r>
      <rPr>
        <sz val="10.35"/>
        <rFont val="Arial"/>
        <family val="2"/>
      </rPr>
      <t xml:space="preserve"> </t>
    </r>
    <r>
      <rPr>
        <sz val="10"/>
        <rFont val="Arial"/>
        <family val="2"/>
      </rPr>
      <t>RCPC</t>
    </r>
    <r>
      <rPr>
        <sz val="10.35"/>
        <rFont val="Arial"/>
        <family val="2"/>
      </rPr>
      <t>)</t>
    </r>
  </si>
  <si>
    <t>103(1)a</t>
  </si>
  <si>
    <t>Structure Excavation</t>
  </si>
  <si>
    <t>103(6)</t>
  </si>
  <si>
    <t>Pipe Culvert and Drain Excavation</t>
  </si>
  <si>
    <t>311(1)c</t>
  </si>
  <si>
    <t>PART F</t>
  </si>
  <si>
    <t>DRAINAGE AND SLOPE PROTECTION STRUCTURES</t>
  </si>
  <si>
    <t>a. Line Drainage</t>
  </si>
  <si>
    <t>404(1)</t>
  </si>
  <si>
    <t>Reinforcing Steel</t>
  </si>
  <si>
    <t>kgs.</t>
  </si>
  <si>
    <t>405(1)</t>
  </si>
  <si>
    <t>Structural Concrete Class A</t>
  </si>
  <si>
    <t>b. Retaining Wall</t>
  </si>
  <si>
    <r>
      <t>1.) 5 Units - 610mm</t>
    </r>
    <r>
      <rPr>
        <sz val="9"/>
        <rFont val="Calibri"/>
        <family val="2"/>
      </rPr>
      <t>ø RCPC (Single)</t>
    </r>
  </si>
  <si>
    <t>Completed</t>
  </si>
  <si>
    <t>500(1)a1</t>
  </si>
  <si>
    <r>
      <t>Reinforced Concrete Pipe Culvert, 610mm</t>
    </r>
    <r>
      <rPr>
        <sz val="9"/>
        <rFont val="Calibri"/>
        <family val="2"/>
      </rPr>
      <t>ø</t>
    </r>
  </si>
  <si>
    <r>
      <t>2.) 1 Unit - 910mm</t>
    </r>
    <r>
      <rPr>
        <sz val="9"/>
        <rFont val="Calibri"/>
        <family val="2"/>
      </rPr>
      <t>ø RCPC (Single0</t>
    </r>
  </si>
  <si>
    <t>500(1)a3</t>
  </si>
  <si>
    <r>
      <t>Reinforced Concrete Pipe Culvert, 910mm</t>
    </r>
    <r>
      <rPr>
        <sz val="9"/>
        <rFont val="Calibri"/>
        <family val="2"/>
      </rPr>
      <t>ø</t>
    </r>
  </si>
  <si>
    <r>
      <t>3.) 1 Unit - 910mm</t>
    </r>
    <r>
      <rPr>
        <sz val="9"/>
        <rFont val="Calibri"/>
        <family val="2"/>
      </rPr>
      <t>ø RCPC (Double)</t>
    </r>
  </si>
  <si>
    <t>S U B - T O T A L ( B )</t>
  </si>
  <si>
    <t xml:space="preserve">T O T A L </t>
  </si>
  <si>
    <t>% THIS ACCOMPLISHMENT</t>
  </si>
  <si>
    <t>TOTAL PROJECT COST</t>
  </si>
  <si>
    <t>TOTAL THIS  ACCOMPLISHMENT</t>
  </si>
  <si>
    <t>difference</t>
  </si>
  <si>
    <t>Less:</t>
  </si>
  <si>
    <t>MOBILIZATION</t>
  </si>
  <si>
    <t>TOTAL THIS VOUCHER</t>
  </si>
  <si>
    <t xml:space="preserve">               Prepared by:                                                  Checked by:</t>
  </si>
  <si>
    <t>Recommending Approval:</t>
  </si>
  <si>
    <t>Approved:</t>
  </si>
  <si>
    <t>PORFIRIO S. CANAPI                                         ARNOLD L. MANUEL</t>
  </si>
  <si>
    <t>KINGSTON JAMES S. DELA CRUZ</t>
  </si>
  <si>
    <t xml:space="preserve">MANUEL N. MAMBA </t>
  </si>
  <si>
    <t xml:space="preserve">          Engineer II                                            OIC Chief - Construction Division</t>
  </si>
  <si>
    <t>Provincial Engineer</t>
  </si>
  <si>
    <t>Governor</t>
  </si>
  <si>
    <t>\</t>
  </si>
  <si>
    <t>Republic of the Philippines</t>
  </si>
  <si>
    <t>PROVINCE OF CAGAYAN</t>
  </si>
  <si>
    <t>Capitol Hills, Tuguegarao City</t>
  </si>
  <si>
    <t>PROVINCIAL ENGINEER'S OFFICE</t>
  </si>
  <si>
    <t>JUST FILL IN ON BLUE CELL!!!</t>
  </si>
  <si>
    <t>STATEMENT OF TIME ELAPSED AND WORK ACCOMPLISHED</t>
  </si>
  <si>
    <t>LEGEND:</t>
  </si>
  <si>
    <t>*</t>
  </si>
  <si>
    <t>To be Filled In</t>
  </si>
  <si>
    <t>single</t>
  </si>
  <si>
    <t>WITHOUT REVISION</t>
  </si>
  <si>
    <t>in a relationship</t>
  </si>
  <si>
    <t>WITH REVISION</t>
  </si>
  <si>
    <t>complicated</t>
  </si>
  <si>
    <t>ON THE EXPIRY DATE WITHOUT REVISION</t>
  </si>
  <si>
    <t>Project Name</t>
  </si>
  <si>
    <t>married</t>
  </si>
  <si>
    <t>ON THE EXPIRY DATE WITH REVISION</t>
  </si>
  <si>
    <t xml:space="preserve">Location     </t>
  </si>
  <si>
    <t>separated</t>
  </si>
  <si>
    <t>ON THE COMPLETION DATE WITHOUT REVISION</t>
  </si>
  <si>
    <t>Contract Amount</t>
  </si>
  <si>
    <t>divorced</t>
  </si>
  <si>
    <t>ON THE COMPLETION DATE WITH REVISION</t>
  </si>
  <si>
    <t>Contractor</t>
  </si>
  <si>
    <t xml:space="preserve">DRAGONACE CONSTRUCTION CORPORATION / </t>
  </si>
  <si>
    <t>LDR_1</t>
  </si>
  <si>
    <t>MG JACINTO CONSTRUCTION JOINT VENTURE</t>
  </si>
  <si>
    <t>LDR_2</t>
  </si>
  <si>
    <t>1.</t>
  </si>
  <si>
    <t>Period Covered:</t>
  </si>
  <si>
    <t>to</t>
  </si>
  <si>
    <t>2.</t>
  </si>
  <si>
    <t>Contract Duration</t>
  </si>
  <si>
    <t>3.</t>
  </si>
  <si>
    <t>Date of Receipt of  Notice to Proceed</t>
  </si>
  <si>
    <t>4.</t>
  </si>
  <si>
    <t>Expiry Date</t>
  </si>
  <si>
    <t>5.</t>
  </si>
  <si>
    <t>Approved Time Extension</t>
  </si>
  <si>
    <t>6.</t>
  </si>
  <si>
    <t>Approved Time Suspension</t>
  </si>
  <si>
    <t>7.</t>
  </si>
  <si>
    <t>Total Time Extension</t>
  </si>
  <si>
    <t>Don't Fill In</t>
  </si>
  <si>
    <t>8.</t>
  </si>
  <si>
    <t>Revised Contract Duration</t>
  </si>
  <si>
    <t>9.</t>
  </si>
  <si>
    <t>Revised Expiry Date</t>
  </si>
  <si>
    <t>10.</t>
  </si>
  <si>
    <t>Total Calendar days Elapsed to Date</t>
  </si>
  <si>
    <t>11.</t>
  </si>
  <si>
    <t>Percentage of work accomplished - Actual</t>
  </si>
  <si>
    <t>12.</t>
  </si>
  <si>
    <t>Percentage of work accomplished  -Planned</t>
  </si>
  <si>
    <t>W/ FORMULA - Planned (WITHOUT time extension)</t>
  </si>
  <si>
    <t>13.</t>
  </si>
  <si>
    <t>Slippage</t>
  </si>
  <si>
    <t>W/ FORMULA - Planned (WITH time extension)</t>
  </si>
  <si>
    <t>14.</t>
  </si>
  <si>
    <t>Remarks</t>
  </si>
  <si>
    <t>LINEAR - Planned (WITHOUT time extension)</t>
  </si>
  <si>
    <t>LINEAR - Planned (WITH time extension)</t>
  </si>
  <si>
    <t xml:space="preserve">      Submitted by:</t>
  </si>
  <si>
    <t xml:space="preserve">         Noted :</t>
  </si>
  <si>
    <t>WRITE "F" - OPT TO USE FORMULA</t>
  </si>
  <si>
    <t>l</t>
  </si>
  <si>
    <t>WRITE "L" - OPT TO USE LINEAR</t>
  </si>
  <si>
    <t>ARNOLD L. MANUEL</t>
  </si>
  <si>
    <t>Engineer II</t>
  </si>
  <si>
    <t>OIC Chief - Construction Division</t>
  </si>
  <si>
    <t>Noted By:</t>
  </si>
  <si>
    <t>________________________</t>
  </si>
  <si>
    <t>PEO Engineer III</t>
  </si>
  <si>
    <t xml:space="preserve">  Contractor's Representative</t>
  </si>
  <si>
    <t>Concreting of Barangay Road, Alcala, Cagayan –</t>
  </si>
  <si>
    <t>Malalatan Barangay Road, Alcala, Cagayan</t>
  </si>
  <si>
    <t>Alcala</t>
  </si>
  <si>
    <t>M.G. Jacinto Construction</t>
  </si>
  <si>
    <t>April 1 - 5, 2024</t>
  </si>
  <si>
    <t>April 8 - 12, 2024</t>
  </si>
  <si>
    <t>April 15 - 19, 2024</t>
  </si>
  <si>
    <t>April 22 - 26, 2024</t>
  </si>
  <si>
    <t>Project Billboard</t>
  </si>
  <si>
    <t>l.s</t>
  </si>
  <si>
    <t>Mobilization/ Demobilization</t>
  </si>
  <si>
    <t>cu.m</t>
  </si>
  <si>
    <t>Conformed by:</t>
  </si>
  <si>
    <t>MARK KEVIN B. MARTIN</t>
  </si>
  <si>
    <t>____________________________</t>
  </si>
  <si>
    <t>CONSTRUCTION OF LINE DRAINAGE AT REAL DE HOOD</t>
  </si>
  <si>
    <t>PROVINCIAL ROAD</t>
  </si>
  <si>
    <t>CAMALANIUGAN</t>
  </si>
  <si>
    <t>INFRAPRO CONSTRUCTION</t>
  </si>
  <si>
    <t>JUNE 17-21, 2024</t>
  </si>
  <si>
    <t>I</t>
  </si>
  <si>
    <t xml:space="preserve">B.5 </t>
  </si>
  <si>
    <t>II</t>
  </si>
  <si>
    <t>104(1)a</t>
  </si>
  <si>
    <t>III</t>
  </si>
  <si>
    <t>Aggregate Sub-base Course</t>
  </si>
  <si>
    <t>IV</t>
  </si>
  <si>
    <t>404(1)a</t>
  </si>
  <si>
    <t>GLORY VEE A. ARIBBAY</t>
  </si>
  <si>
    <t>CONSTRUCTION OF FARM TO MARKET ROAD IN THE PROVINCE OF CAGAYAN</t>
  </si>
  <si>
    <t>JOAQUIN DELA CRUZ FARM TO MARKET ROAD, CAMALANIUGAN</t>
  </si>
  <si>
    <t>RARR CONSTRUCTION</t>
  </si>
  <si>
    <t>Surplus Common Excavation</t>
  </si>
  <si>
    <t>Embankment from Roadway Excavation (Common Soil)</t>
  </si>
  <si>
    <t>105(1)a</t>
  </si>
  <si>
    <t>Sub-grade Preparation (Common Materials)</t>
  </si>
  <si>
    <t>SUB-BASE COURSE</t>
  </si>
  <si>
    <t>311(1)c1</t>
  </si>
  <si>
    <t>Portland Cement Concrete Pavement (Unreinforced), 230mm thk.</t>
  </si>
  <si>
    <t>404(1)b</t>
  </si>
  <si>
    <t>405(1)a3</t>
  </si>
  <si>
    <t>BAGGAO, CAGAYAN</t>
  </si>
  <si>
    <t>DIXIE R. CABRERA</t>
  </si>
  <si>
    <t>DRAINAGE AND SLOPE PROTECTION</t>
  </si>
  <si>
    <t>Structure Excavation (Common Soil)</t>
  </si>
  <si>
    <t>Aggregate Sub-Base Course</t>
  </si>
  <si>
    <t>Structural Concrete Class A (Retaining Wall)</t>
  </si>
  <si>
    <t>103(6)a</t>
  </si>
  <si>
    <t>V</t>
  </si>
  <si>
    <t>VI</t>
  </si>
  <si>
    <t>L.S.</t>
  </si>
  <si>
    <t>Each</t>
  </si>
  <si>
    <t>Roadway Excavation (Surplus Common Excavation)</t>
  </si>
  <si>
    <t>Embankment from Roadway Excavation</t>
  </si>
  <si>
    <t>Infrastructure Development for Public Schools - Construction of Multipurpose Building - Gymnasium Asassi Integrated School</t>
  </si>
  <si>
    <t>RJR'S Construction</t>
  </si>
  <si>
    <t>Construction Safety &amp; Health Program</t>
  </si>
  <si>
    <t>804(a)</t>
  </si>
  <si>
    <t>804(b)</t>
  </si>
  <si>
    <t>Work Items</t>
  </si>
  <si>
    <t xml:space="preserve">Excavation </t>
  </si>
  <si>
    <t>Backfilling</t>
  </si>
  <si>
    <t>Gravel Bedding</t>
  </si>
  <si>
    <t>Reinforced Concrete</t>
  </si>
  <si>
    <t>Reinforcing Steel Bars</t>
  </si>
  <si>
    <t>Formworks and Falseworks</t>
  </si>
  <si>
    <t>Masonry Works</t>
  </si>
  <si>
    <t>Cement Plaster finish</t>
  </si>
  <si>
    <t>Painting Works</t>
  </si>
  <si>
    <t>Metal structure</t>
  </si>
  <si>
    <t>Pre-Painted Metal Sheets</t>
  </si>
  <si>
    <t>Conduit, Boxes &amp; Fittings</t>
  </si>
  <si>
    <t>Wires and Wiring Devices</t>
  </si>
  <si>
    <t>Power Load Center, Switchgear and panelboards, and Other Overcurrent Protection Devices</t>
  </si>
  <si>
    <t>Lighting Fixtures and Lamps</t>
  </si>
  <si>
    <t>Grounding System</t>
  </si>
  <si>
    <t>kg</t>
  </si>
  <si>
    <t>sq.m</t>
  </si>
  <si>
    <t>lump sum</t>
  </si>
  <si>
    <t>lot</t>
  </si>
  <si>
    <t>Construction of Various Infrastructure Projects Upgrading/Improvement of</t>
  </si>
  <si>
    <t>Provincial Health office Phase II, Capitol Compound, Tuguegarao City</t>
  </si>
  <si>
    <t>Genten Builders</t>
  </si>
  <si>
    <t>TUGUEGARAO CITY, CAGAYAN</t>
  </si>
  <si>
    <t>804(1)</t>
  </si>
  <si>
    <t>900(a)</t>
  </si>
  <si>
    <t>900(b)</t>
  </si>
  <si>
    <t>900(d)</t>
  </si>
  <si>
    <t>900(e)</t>
  </si>
  <si>
    <t>900(f)</t>
  </si>
  <si>
    <t>900(c)</t>
  </si>
  <si>
    <t>1027(1)</t>
  </si>
  <si>
    <t>1032(1)a</t>
  </si>
  <si>
    <t>1032(1)b</t>
  </si>
  <si>
    <t>1003(1)e1</t>
  </si>
  <si>
    <t>1007(1)b</t>
  </si>
  <si>
    <t>1018(1)</t>
  </si>
  <si>
    <t>Construction safety &amp; Health Program</t>
  </si>
  <si>
    <t>WORK ITEMS</t>
  </si>
  <si>
    <t>Reinforced Concrete Works for Column Footing</t>
  </si>
  <si>
    <t>Reinforced Concrete Works for Column</t>
  </si>
  <si>
    <t>Reinforced Concrete Works for Slab</t>
  </si>
  <si>
    <t>Reinforced Concrete Works for Tie Beam</t>
  </si>
  <si>
    <t>Reinforced Concrete Works for Roof Beam</t>
  </si>
  <si>
    <t>Reinforced Concrete Works for Handhole &amp; Encasement</t>
  </si>
  <si>
    <t>Cement Plaster Finish</t>
  </si>
  <si>
    <t>Waterproofing</t>
  </si>
  <si>
    <t>Painting Works (Masonry and Concrete)</t>
  </si>
  <si>
    <t>Painting Works (Ficem Board)</t>
  </si>
  <si>
    <t>Ceiling Metal Frame Ficem Board</t>
  </si>
  <si>
    <t>Aluminum Framed Glass Door</t>
  </si>
  <si>
    <t>Aluminum Glass Window</t>
  </si>
  <si>
    <t>Ceramic Tiles</t>
  </si>
  <si>
    <t>Power Load Center, Switchgear and Panelboards, and Other</t>
  </si>
  <si>
    <t>Plumbing Works</t>
  </si>
  <si>
    <t>set</t>
  </si>
  <si>
    <t>bd.ft</t>
  </si>
  <si>
    <t>LIZA P. NIDUA</t>
  </si>
  <si>
    <t>Improvement/Concreting of Roads - Concreting of the Portion of FMR Road</t>
  </si>
  <si>
    <t>at Barangay Baculud, Amulung, Cagayan</t>
  </si>
  <si>
    <t>MIG Aggregates and Concrete Products</t>
  </si>
  <si>
    <t>AMULUNG, CAGAYAN</t>
  </si>
  <si>
    <t>A.1.1 (11)</t>
  </si>
  <si>
    <t>FACILITIES FOR ENGINEERS</t>
  </si>
  <si>
    <t>Provision of Furnitures/Fixtures, Equipment &amp; Appliances for the Field Office for the Engineer</t>
  </si>
  <si>
    <t>Removal of Actual Structures/Obstruction (610mmØ RCPC)</t>
  </si>
  <si>
    <t>Removal of Actual Structures/Obstruction (910mmØ RCPC)</t>
  </si>
  <si>
    <t>L.S</t>
  </si>
  <si>
    <t>ln.m</t>
  </si>
  <si>
    <t>311(2)e1</t>
  </si>
  <si>
    <t>Pipe Culvert and Drain Excavation (Common Soil)</t>
  </si>
  <si>
    <t>Sub-Grade Preparation (Common Soil)</t>
  </si>
  <si>
    <t>Portland Cement Concrete Pavemnet (Unreinforced)</t>
  </si>
  <si>
    <t>230mm thk.</t>
  </si>
  <si>
    <t>Portland Cement Concrete Pavemnet (Reinforced)</t>
  </si>
  <si>
    <t>0.28m thk.</t>
  </si>
  <si>
    <t>Retaining Wall</t>
  </si>
  <si>
    <t>Reinforcing Steel, Grade 40 (Retaining Wall)</t>
  </si>
  <si>
    <t>Reinforcing Steel, Grade 60 (Retaining wall)</t>
  </si>
  <si>
    <t>Reinforced Concrete Box Culvert (Single Barrel)</t>
  </si>
  <si>
    <t>Reinforcing Steel, Grade 40 (610mmØ RCPC)</t>
  </si>
  <si>
    <t>Reinforcing Steel, Grade 60 (610mmØ RCPC)</t>
  </si>
  <si>
    <t>Reinforcing Steel, Grade 40 (RCBC Single Barrel)</t>
  </si>
  <si>
    <t>Reinforcing Steel, Grade 60 (RCBC Single Barrel)</t>
  </si>
  <si>
    <t>Structural Concrete Class A (RCBC Single Barrel)</t>
  </si>
  <si>
    <t>Reinforced Concrete Pipe Culvert</t>
  </si>
  <si>
    <t>Structural Concrete Class A (610mmØ RCPC)</t>
  </si>
  <si>
    <t>Reinforced Concrete Pipe Culvert (610mmØ, Single)</t>
  </si>
  <si>
    <t>kgs</t>
  </si>
  <si>
    <t>801(3)a</t>
  </si>
  <si>
    <t>804(4)</t>
  </si>
  <si>
    <t>900a</t>
  </si>
  <si>
    <t>900b</t>
  </si>
  <si>
    <t>900c</t>
  </si>
  <si>
    <t>903(1)</t>
  </si>
  <si>
    <t>1003(1)</t>
  </si>
  <si>
    <t>1008(1)</t>
  </si>
  <si>
    <t>1102(a)</t>
  </si>
  <si>
    <t>Removal of Actual Structures/Obstruction</t>
  </si>
  <si>
    <t>Gravel Fill</t>
  </si>
  <si>
    <t>Reinforced Concrete (Slab on Grade)</t>
  </si>
  <si>
    <t>Reinforced Concrete (Septic Tank)</t>
  </si>
  <si>
    <t>Reinforced Concrete (Countertop Slab and Ledge)</t>
  </si>
  <si>
    <t>Ceramic Tile Works</t>
  </si>
  <si>
    <t>Ceiling</t>
  </si>
  <si>
    <t>Painting, Varnishing &amp; Other Related Works</t>
  </si>
  <si>
    <t>Doors</t>
  </si>
  <si>
    <t>Aluminum Glass Windows</t>
  </si>
  <si>
    <t>Power Load Center, Switchgear and Panelboards,</t>
  </si>
  <si>
    <t>and other Overcurrent Protection Devices</t>
  </si>
  <si>
    <t>Improvement of PEO Warehouse, Capitol Compound, Tuguegarao City</t>
  </si>
  <si>
    <t>WBS Construction and Construction Supply</t>
  </si>
  <si>
    <t>Improvement of Provincial Government of Cagayan - Repair/Rehabilitation/</t>
  </si>
  <si>
    <t>Improvement of Kamaranan Building, Capitol Compounds, Tuguegarao City</t>
  </si>
  <si>
    <t>San Jacinto Construction Services</t>
  </si>
  <si>
    <t>1014(1)a2</t>
  </si>
  <si>
    <t>1016(1)a</t>
  </si>
  <si>
    <t>1003(1)a1</t>
  </si>
  <si>
    <t>1003(1)e2</t>
  </si>
  <si>
    <t>1003(2)</t>
  </si>
  <si>
    <t>1003(3)</t>
  </si>
  <si>
    <t>1200(5)</t>
  </si>
  <si>
    <t>SPL</t>
  </si>
  <si>
    <t>Project Billboard, Signages and Barricades</t>
  </si>
  <si>
    <t>Removal of Structures/Obstructions</t>
  </si>
  <si>
    <t>Gravel Bed</t>
  </si>
  <si>
    <t>Reinforced Concrete for Pedestal &amp; Countertop</t>
  </si>
  <si>
    <t>Reinforced Concrete for Wall Footing</t>
  </si>
  <si>
    <t>Reinforced Concrete for Slab on Fill</t>
  </si>
  <si>
    <t>Metal Structures</t>
  </si>
  <si>
    <t>Sheet Glass</t>
  </si>
  <si>
    <t>Wooden Doors</t>
  </si>
  <si>
    <t>Carpentry and Joinery Works (Ceiling - Fiber Cement Board)</t>
  </si>
  <si>
    <t>Carpentry and Joinery Works (Cubicle Partition Wall)</t>
  </si>
  <si>
    <t>Carpentry and Joinery Works (Cabinet)</t>
  </si>
  <si>
    <t>Carpentry and Joinery Works (Ceiling-Pre-painted Metal Panel)</t>
  </si>
  <si>
    <t>Exhaust Fan</t>
  </si>
  <si>
    <t>Finishing Works</t>
  </si>
  <si>
    <t>Conduit,Boxes and Fittings</t>
  </si>
  <si>
    <t>Wire and Wiring Devices</t>
  </si>
  <si>
    <t>Power Load Center, Switchgear and Panelboards and</t>
  </si>
  <si>
    <t>Lighting and Fixture Lamps</t>
  </si>
  <si>
    <t>Construction of Gas Station at Capitol Compound, Tuguegarao City</t>
  </si>
  <si>
    <t>606 b</t>
  </si>
  <si>
    <t>801a</t>
  </si>
  <si>
    <t>801b</t>
  </si>
  <si>
    <t>801c</t>
  </si>
  <si>
    <t>900d</t>
  </si>
  <si>
    <t>900e</t>
  </si>
  <si>
    <t>900f</t>
  </si>
  <si>
    <t>900g</t>
  </si>
  <si>
    <t>900h</t>
  </si>
  <si>
    <t>900i</t>
  </si>
  <si>
    <t>900j</t>
  </si>
  <si>
    <t>900k</t>
  </si>
  <si>
    <t>1011(1)b</t>
  </si>
  <si>
    <t>Pavement markings</t>
  </si>
  <si>
    <t>Concrete bollard/protection post</t>
  </si>
  <si>
    <t>Removal of Structures/Obstruction</t>
  </si>
  <si>
    <t>Relocation of Utilities</t>
  </si>
  <si>
    <t>Reinforced Concrete (Foundation)</t>
  </si>
  <si>
    <t>Reinforced Concrete (Column)</t>
  </si>
  <si>
    <t>Reinforced Concrete (Grade Beam)</t>
  </si>
  <si>
    <t>Reinforced Concrete (Beam-01)</t>
  </si>
  <si>
    <t>Reinforced Concrete (Corbel)</t>
  </si>
  <si>
    <t>Reinforced Concrete (Pump Island Slab on Fill)</t>
  </si>
  <si>
    <t>Reinforced Concrete (Tank Pavement Slab on Fill)</t>
  </si>
  <si>
    <t>Reinforced Concrete (Cashier Booth Roof Slba)</t>
  </si>
  <si>
    <t>Reinforced Concrete (Wall Footing)</t>
  </si>
  <si>
    <t>Reinforced Concrete (MDP TRENCHWAY)</t>
  </si>
  <si>
    <t>Reinforced Concrete (Vent Riser Pipe Transition)</t>
  </si>
  <si>
    <t>Storm Drainage and Seewerage System</t>
  </si>
  <si>
    <t>Carpentry and Joinery Works</t>
  </si>
  <si>
    <t>Finishing Hardware</t>
  </si>
  <si>
    <t>Louver Window</t>
  </si>
  <si>
    <t>Roll-Up Doors</t>
  </si>
  <si>
    <t>Prepainted Metal Sheets</t>
  </si>
  <si>
    <t>Ceramic/Granite Tiles</t>
  </si>
  <si>
    <t>Metal Structure</t>
  </si>
  <si>
    <t>Power Load Center, Switchgear and Panelboards, and</t>
  </si>
  <si>
    <t>Other Overcurrent Protection Devices</t>
  </si>
  <si>
    <t>Miscellaneous Electrical/Civil Works</t>
  </si>
  <si>
    <t>Bulk Fuel Storage Tank</t>
  </si>
  <si>
    <t>Fuel Transfer Pump</t>
  </si>
  <si>
    <t>l.m</t>
  </si>
  <si>
    <t>Repair of Vicente Trinidad National High School Gymasium, Iguig, Cagayan</t>
  </si>
  <si>
    <t>TS Construction</t>
  </si>
  <si>
    <t>Structural Concrete</t>
  </si>
  <si>
    <t>Electrical Works</t>
  </si>
  <si>
    <t>units</t>
  </si>
  <si>
    <t>IGUIG, CAGAYAN</t>
  </si>
  <si>
    <t xml:space="preserve">Improvement of Provincial Capitol, Tuguegarao City </t>
  </si>
  <si>
    <t>Improvement of Provincial Budget Office</t>
  </si>
  <si>
    <t>1010(2)b</t>
  </si>
  <si>
    <t>1000(2)</t>
  </si>
  <si>
    <t>SPL-0T</t>
  </si>
  <si>
    <t>Removal of Actual Structures/Obstructions</t>
  </si>
  <si>
    <t>Carpentry and Joinery Works (Ceiling)</t>
  </si>
  <si>
    <t>Doors - Wood Panel</t>
  </si>
  <si>
    <t>Glass and Glazing</t>
  </si>
  <si>
    <t>Wood Preservative</t>
  </si>
  <si>
    <t>Wall Finishes</t>
  </si>
  <si>
    <t>Network Cabling System</t>
  </si>
  <si>
    <t>Ventilating System</t>
  </si>
  <si>
    <t>Fire Alarm System</t>
  </si>
  <si>
    <t>Improvement of Provincial Accountant's Office</t>
  </si>
  <si>
    <t>SPL-01</t>
  </si>
  <si>
    <t>1200(b)</t>
  </si>
  <si>
    <t>Other Overcurrent, Protection Devices</t>
  </si>
  <si>
    <t>rl</t>
  </si>
  <si>
    <t>.</t>
  </si>
  <si>
    <t>a</t>
  </si>
  <si>
    <t>1032(1)</t>
  </si>
  <si>
    <t>1046(1)</t>
  </si>
  <si>
    <t>1200(a)</t>
  </si>
  <si>
    <t>900(1)</t>
  </si>
  <si>
    <t>1010(2)</t>
  </si>
  <si>
    <t>1007(1)a</t>
  </si>
  <si>
    <t>1018(2)</t>
  </si>
  <si>
    <t xml:space="preserve">Painting Works </t>
  </si>
  <si>
    <t>Airconditioning and Ventilating System</t>
  </si>
  <si>
    <t>1700(2)</t>
  </si>
  <si>
    <t>1102(1)</t>
  </si>
  <si>
    <t>1005(5)</t>
  </si>
  <si>
    <t>1005(6)</t>
  </si>
  <si>
    <t xml:space="preserve">Ceramic Tiles </t>
  </si>
  <si>
    <t>Clearing and Grubbing</t>
  </si>
  <si>
    <t>Panel Board with Main and Branch Breakers</t>
  </si>
  <si>
    <t>Wires and Devices</t>
  </si>
  <si>
    <t>Conduit, Boxes and Fittings</t>
  </si>
  <si>
    <t>Steel Windows</t>
  </si>
  <si>
    <t>Window Accessories</t>
  </si>
  <si>
    <t>Cabinets</t>
  </si>
  <si>
    <t>lumpsum</t>
  </si>
  <si>
    <t>,</t>
  </si>
  <si>
    <t>Shasha's Construction and Supply</t>
  </si>
  <si>
    <t>Malaya Architecture Creatives</t>
  </si>
  <si>
    <t>Improvement of Provincial Assessor's Record's Room b.) Expansion of</t>
  </si>
  <si>
    <t>Provincial Assessor's Records Room Capitol Compound, Tuguegarao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</si>
</sst>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[$-3409]mmmm\ dd\,\ yyyy;@"/>
    <numFmt numFmtId="167" formatCode="0.00\ &quot;%&quot;"/>
    <numFmt numFmtId="168" formatCode="_(* #,##0.0000_);_(* \(#,##0.0000\);_(* &quot;-&quot;??_);_(@_)"/>
    <numFmt numFmtId="169" formatCode="[$-F800]dddd\,\ mmmm\ dd\,\ yyyy"/>
    <numFmt numFmtId="170" formatCode="_-* #,##0_-;\-* #,##0_-;_-* &quot;-&quot;??_-;_-@_-"/>
  </numFmts>
  <fonts count="67">
    <font>
      <sz val="11"/>
      <color theme="1"/>
      <name val="Calibri"/>
      <family val="2"/>
      <scheme val="minor"/>
    </font>
    <font>
      <sz val="11"/>
      <color indexed="8"/>
      <name val="Myriad Pro"/>
      <family val="2"/>
    </font>
    <font>
      <b/>
      <sz val="12"/>
      <color indexed="8"/>
      <name val="Myriad Pro"/>
      <family val="2"/>
    </font>
    <font>
      <sz val="14"/>
      <color indexed="8"/>
      <name val="Myriad Pro"/>
      <family val="2"/>
    </font>
    <font>
      <b/>
      <sz val="14"/>
      <color indexed="8"/>
      <name val="Myriad Pro"/>
      <family val="2"/>
    </font>
    <font>
      <sz val="10"/>
      <name val="Arial"/>
      <family val="2"/>
    </font>
    <font>
      <sz val="12"/>
      <name val="Myriad Pro"/>
      <family val="2"/>
    </font>
    <font>
      <sz val="14"/>
      <name val="Myriad Pro"/>
      <family val="2"/>
    </font>
    <font>
      <sz val="8"/>
      <name val="Arial Narrow"/>
      <family val="2"/>
    </font>
    <font>
      <sz val="10"/>
      <name val="Myriad Pro"/>
      <family val="2"/>
    </font>
    <font>
      <sz val="10"/>
      <color indexed="8"/>
      <name val="Myriad Pro"/>
      <family val="2"/>
    </font>
    <font>
      <sz val="12"/>
      <color indexed="8"/>
      <name val="Myriad Pro"/>
      <family val="2"/>
    </font>
    <font>
      <b/>
      <sz val="14"/>
      <name val="Myriad Pro"/>
      <family val="2"/>
    </font>
    <font>
      <i/>
      <sz val="10"/>
      <name val="Myriad Pro"/>
    </font>
    <font>
      <sz val="14"/>
      <color rgb="FFFF0000"/>
      <name val="Myriad Pro"/>
      <family val="2"/>
    </font>
    <font>
      <sz val="14"/>
      <color indexed="8"/>
      <name val="Myriad Pro"/>
    </font>
    <font>
      <sz val="12"/>
      <color indexed="8"/>
      <name val="Myriad Pro"/>
    </font>
    <font>
      <sz val="14"/>
      <name val="Myriad Pro"/>
    </font>
    <font>
      <i/>
      <sz val="11"/>
      <name val="Myriad Pro"/>
    </font>
    <font>
      <sz val="13"/>
      <color indexed="8"/>
      <name val="Myriad Pro"/>
      <family val="2"/>
    </font>
    <font>
      <b/>
      <sz val="14"/>
      <color indexed="8"/>
      <name val="Myriad Pro"/>
    </font>
    <font>
      <b/>
      <sz val="11"/>
      <name val="Myriad Pr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9"/>
      <name val="Calibri"/>
      <family val="2"/>
    </font>
    <font>
      <sz val="10.35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3"/>
      <color theme="1"/>
      <name val="Tahoma"/>
      <family val="2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rgb="FFFF0000"/>
      <name val="Arial"/>
      <family val="2"/>
    </font>
    <font>
      <sz val="8"/>
      <color theme="1"/>
      <name val="Times New Roman"/>
      <family val="1"/>
    </font>
    <font>
      <sz val="10"/>
      <name val="Times New Roman"/>
      <family val="1"/>
    </font>
    <font>
      <sz val="24"/>
      <color theme="1"/>
      <name val="Times New Roman"/>
      <family val="1"/>
    </font>
    <font>
      <u/>
      <sz val="14"/>
      <name val="Myriad Pro"/>
    </font>
    <font>
      <u/>
      <sz val="14"/>
      <name val="Myriad Pro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i/>
      <sz val="14"/>
      <name val="Myriad Pro"/>
    </font>
    <font>
      <b/>
      <sz val="14"/>
      <color theme="1"/>
      <name val="Arial"/>
      <family val="2"/>
    </font>
    <font>
      <b/>
      <sz val="12"/>
      <name val="Myriad Pro"/>
    </font>
    <font>
      <sz val="14"/>
      <color rgb="FF000000"/>
      <name val="Myriad Pro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5" fillId="0" borderId="0"/>
    <xf numFmtId="0" fontId="8" fillId="0" borderId="0"/>
    <xf numFmtId="0" fontId="8" fillId="0" borderId="0"/>
    <xf numFmtId="0" fontId="5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2" fillId="0" borderId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836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 vertical="top" wrapText="1"/>
      <protection hidden="1"/>
    </xf>
    <xf numFmtId="0" fontId="9" fillId="0" borderId="0" xfId="4" applyFont="1" applyAlignment="1">
      <alignment horizontal="left" vertical="top"/>
    </xf>
    <xf numFmtId="1" fontId="9" fillId="0" borderId="0" xfId="0" applyNumberFormat="1" applyFont="1" applyAlignment="1" applyProtection="1">
      <alignment horizontal="left" vertical="top" wrapText="1"/>
      <protection hidden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  <xf numFmtId="0" fontId="9" fillId="0" borderId="0" xfId="2" applyFont="1" applyAlignment="1">
      <alignment horizontal="left" vertical="top" wrapText="1"/>
    </xf>
    <xf numFmtId="1" fontId="9" fillId="0" borderId="0" xfId="1" applyNumberFormat="1" applyFont="1" applyAlignment="1" applyProtection="1">
      <alignment horizontal="left" vertical="top" wrapText="1"/>
      <protection hidden="1"/>
    </xf>
    <xf numFmtId="0" fontId="10" fillId="0" borderId="0" xfId="0" applyFont="1" applyAlignment="1" applyProtection="1">
      <alignment horizontal="left" vertical="top" wrapText="1"/>
      <protection locked="0"/>
    </xf>
    <xf numFmtId="0" fontId="9" fillId="0" borderId="0" xfId="4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7" fillId="0" borderId="0" xfId="3" applyFont="1" applyAlignment="1" applyProtection="1">
      <alignment horizontal="left" vertical="top" wrapText="1" shrinkToFit="1"/>
      <protection hidden="1"/>
    </xf>
    <xf numFmtId="0" fontId="11" fillId="0" borderId="0" xfId="0" applyFont="1" applyAlignment="1">
      <alignment vertical="top" wrapText="1"/>
    </xf>
    <xf numFmtId="1" fontId="12" fillId="0" borderId="1" xfId="1" applyNumberFormat="1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1" fontId="12" fillId="0" borderId="0" xfId="1" applyNumberFormat="1" applyFont="1" applyAlignment="1" applyProtection="1">
      <alignment horizontal="left" vertical="top"/>
      <protection hidden="1"/>
    </xf>
    <xf numFmtId="0" fontId="7" fillId="0" borderId="0" xfId="4" applyFont="1" applyAlignment="1">
      <alignment horizontal="left" vertical="top"/>
    </xf>
    <xf numFmtId="0" fontId="7" fillId="0" borderId="0" xfId="1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left" vertical="top" wrapText="1"/>
    </xf>
    <xf numFmtId="1" fontId="7" fillId="0" borderId="0" xfId="0" applyNumberFormat="1" applyFont="1" applyAlignment="1" applyProtection="1">
      <alignment horizontal="left" vertical="top" wrapText="1"/>
      <protection hidden="1"/>
    </xf>
    <xf numFmtId="0" fontId="7" fillId="0" borderId="0" xfId="2" applyFont="1" applyAlignment="1">
      <alignment horizontal="left" vertical="top" wrapText="1"/>
    </xf>
    <xf numFmtId="1" fontId="7" fillId="0" borderId="0" xfId="1" applyNumberFormat="1" applyFont="1" applyAlignment="1" applyProtection="1">
      <alignment horizontal="left" vertical="top" wrapText="1"/>
      <protection hidden="1"/>
    </xf>
    <xf numFmtId="0" fontId="3" fillId="0" borderId="0" xfId="0" applyFont="1" applyAlignment="1" applyProtection="1">
      <alignment horizontal="left" vertical="top" wrapText="1"/>
      <protection locked="0"/>
    </xf>
    <xf numFmtId="1" fontId="12" fillId="0" borderId="0" xfId="1" applyNumberFormat="1" applyFont="1" applyAlignment="1" applyProtection="1">
      <alignment vertical="top"/>
      <protection hidden="1"/>
    </xf>
    <xf numFmtId="0" fontId="12" fillId="0" borderId="0" xfId="4" applyFont="1" applyAlignment="1">
      <alignment horizontal="left" vertical="top"/>
    </xf>
    <xf numFmtId="1" fontId="12" fillId="0" borderId="0" xfId="1" applyNumberFormat="1" applyFont="1" applyAlignment="1" applyProtection="1">
      <alignment vertical="center"/>
      <protection hidden="1"/>
    </xf>
    <xf numFmtId="0" fontId="13" fillId="0" borderId="0" xfId="4" applyFont="1" applyAlignment="1">
      <alignment horizontal="left" vertical="top"/>
    </xf>
    <xf numFmtId="0" fontId="14" fillId="0" borderId="0" xfId="3" applyFont="1" applyAlignment="1" applyProtection="1">
      <alignment horizontal="left" vertical="top" wrapText="1" shrinkToFit="1"/>
      <protection hidden="1"/>
    </xf>
    <xf numFmtId="1" fontId="14" fillId="0" borderId="0" xfId="1" applyNumberFormat="1" applyFont="1" applyAlignment="1" applyProtection="1">
      <alignment horizontal="center" vertical="top" wrapText="1"/>
      <protection hidden="1"/>
    </xf>
    <xf numFmtId="0" fontId="2" fillId="0" borderId="0" xfId="0" applyFont="1" applyAlignment="1">
      <alignment horizontal="left"/>
    </xf>
    <xf numFmtId="0" fontId="7" fillId="0" borderId="0" xfId="2" applyFont="1" applyAlignment="1">
      <alignment vertical="center" wrapText="1"/>
    </xf>
    <xf numFmtId="0" fontId="7" fillId="0" borderId="0" xfId="2" applyFont="1" applyAlignment="1">
      <alignment horizontal="center" vertical="center" wrapText="1"/>
    </xf>
    <xf numFmtId="1" fontId="7" fillId="0" borderId="0" xfId="2" applyNumberFormat="1" applyFont="1" applyAlignment="1">
      <alignment horizontal="center" vertical="center" wrapText="1"/>
    </xf>
    <xf numFmtId="0" fontId="7" fillId="0" borderId="0" xfId="0" applyFont="1" applyAlignment="1" applyProtection="1">
      <alignment vertical="center" wrapText="1"/>
      <protection locked="0"/>
    </xf>
    <xf numFmtId="0" fontId="12" fillId="0" borderId="0" xfId="0" applyFont="1" applyAlignment="1">
      <alignment horizontal="left" vertical="top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11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8" fillId="0" borderId="1" xfId="2" applyFont="1" applyBorder="1" applyAlignment="1" applyProtection="1">
      <alignment horizontal="center" vertical="center" wrapText="1"/>
      <protection locked="0"/>
    </xf>
    <xf numFmtId="0" fontId="18" fillId="0" borderId="1" xfId="4" applyFont="1" applyBorder="1" applyAlignment="1" applyProtection="1">
      <alignment vertical="center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1" fontId="18" fillId="0" borderId="0" xfId="1" applyNumberFormat="1" applyFont="1" applyAlignment="1" applyProtection="1">
      <alignment horizontal="left" wrapText="1"/>
      <protection locked="0" hidden="1"/>
    </xf>
    <xf numFmtId="0" fontId="18" fillId="0" borderId="0" xfId="3" applyFont="1" applyAlignment="1" applyProtection="1">
      <alignment horizontal="left" wrapText="1" shrinkToFit="1"/>
      <protection locked="0" hidden="1"/>
    </xf>
    <xf numFmtId="0" fontId="7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8" fillId="0" borderId="1" xfId="4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 wrapText="1"/>
    </xf>
    <xf numFmtId="0" fontId="12" fillId="0" borderId="1" xfId="3" applyFont="1" applyBorder="1" applyAlignment="1" applyProtection="1">
      <alignment horizontal="center" vertical="center" wrapText="1" shrinkToFit="1"/>
      <protection hidden="1"/>
    </xf>
    <xf numFmtId="0" fontId="18" fillId="0" borderId="1" xfId="3" applyFont="1" applyBorder="1" applyAlignment="1" applyProtection="1">
      <alignment horizontal="center" vertical="center" wrapText="1" shrinkToFit="1"/>
      <protection locked="0" hidden="1"/>
    </xf>
    <xf numFmtId="1" fontId="18" fillId="0" borderId="1" xfId="1" applyNumberFormat="1" applyFont="1" applyBorder="1" applyAlignment="1" applyProtection="1">
      <alignment horizontal="left" vertical="center" wrapText="1"/>
      <protection locked="0" hidden="1"/>
    </xf>
    <xf numFmtId="1" fontId="7" fillId="0" borderId="0" xfId="1" applyNumberFormat="1" applyFont="1" applyAlignment="1" applyProtection="1">
      <alignment horizontal="center" vertical="center" wrapText="1"/>
      <protection hidden="1"/>
    </xf>
    <xf numFmtId="1" fontId="7" fillId="0" borderId="0" xfId="1" applyNumberFormat="1" applyFont="1" applyAlignment="1" applyProtection="1">
      <alignment horizontal="center" vertical="top" wrapText="1"/>
      <protection hidden="1"/>
    </xf>
    <xf numFmtId="0" fontId="12" fillId="0" borderId="0" xfId="1" applyFont="1" applyAlignment="1">
      <alignment horizontal="left" vertical="top"/>
    </xf>
    <xf numFmtId="0" fontId="19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18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1" fontId="18" fillId="0" borderId="1" xfId="1" applyNumberFormat="1" applyFont="1" applyBorder="1" applyAlignment="1" applyProtection="1">
      <alignment horizontal="center" vertical="center" wrapText="1"/>
      <protection locked="0" hidden="1"/>
    </xf>
    <xf numFmtId="43" fontId="0" fillId="0" borderId="0" xfId="5" applyFont="1"/>
    <xf numFmtId="0" fontId="26" fillId="0" borderId="0" xfId="0" applyFont="1"/>
    <xf numFmtId="0" fontId="26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6" fontId="27" fillId="0" borderId="0" xfId="0" applyNumberFormat="1" applyFont="1"/>
    <xf numFmtId="166" fontId="26" fillId="0" borderId="0" xfId="0" applyNumberFormat="1" applyFont="1"/>
    <xf numFmtId="166" fontId="27" fillId="0" borderId="0" xfId="0" applyNumberFormat="1" applyFont="1" applyAlignment="1">
      <alignment horizontal="center"/>
    </xf>
    <xf numFmtId="0" fontId="28" fillId="0" borderId="0" xfId="0" applyFont="1"/>
    <xf numFmtId="43" fontId="5" fillId="0" borderId="0" xfId="5" applyFont="1" applyBorder="1"/>
    <xf numFmtId="0" fontId="5" fillId="0" borderId="0" xfId="0" applyFont="1" applyAlignment="1">
      <alignment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/>
    </xf>
    <xf numFmtId="0" fontId="29" fillId="0" borderId="17" xfId="0" applyFont="1" applyBorder="1" applyAlignment="1">
      <alignment horizontal="center" vertical="center"/>
    </xf>
    <xf numFmtId="0" fontId="23" fillId="0" borderId="0" xfId="0" applyFont="1"/>
    <xf numFmtId="43" fontId="23" fillId="0" borderId="0" xfId="5" applyFont="1"/>
    <xf numFmtId="0" fontId="29" fillId="0" borderId="19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43" fontId="29" fillId="0" borderId="1" xfId="5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10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10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43" fontId="30" fillId="0" borderId="1" xfId="5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1" fillId="0" borderId="0" xfId="0" applyFont="1"/>
    <xf numFmtId="43" fontId="31" fillId="0" borderId="0" xfId="5" applyFont="1"/>
    <xf numFmtId="2" fontId="29" fillId="0" borderId="23" xfId="7" applyNumberFormat="1" applyFont="1" applyBorder="1" applyAlignment="1">
      <alignment horizontal="center" vertical="center"/>
    </xf>
    <xf numFmtId="164" fontId="29" fillId="0" borderId="7" xfId="8" applyFont="1" applyBorder="1" applyAlignment="1">
      <alignment horizontal="center"/>
    </xf>
    <xf numFmtId="164" fontId="29" fillId="0" borderId="5" xfId="7" applyNumberFormat="1" applyFont="1" applyBorder="1" applyAlignment="1">
      <alignment horizontal="center" vertical="center"/>
    </xf>
    <xf numFmtId="164" fontId="29" fillId="0" borderId="24" xfId="8" applyFont="1" applyBorder="1" applyAlignment="1">
      <alignment horizontal="center"/>
    </xf>
    <xf numFmtId="164" fontId="29" fillId="0" borderId="5" xfId="8" applyFont="1" applyBorder="1" applyAlignment="1">
      <alignment horizontal="center"/>
    </xf>
    <xf numFmtId="2" fontId="29" fillId="0" borderId="20" xfId="0" applyNumberFormat="1" applyFont="1" applyBorder="1" applyAlignment="1">
      <alignment horizontal="center"/>
    </xf>
    <xf numFmtId="164" fontId="29" fillId="0" borderId="1" xfId="8" applyFont="1" applyFill="1" applyBorder="1"/>
    <xf numFmtId="43" fontId="29" fillId="0" borderId="1" xfId="5" applyFont="1" applyFill="1" applyBorder="1"/>
    <xf numFmtId="2" fontId="29" fillId="0" borderId="1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/>
    </xf>
    <xf numFmtId="2" fontId="28" fillId="0" borderId="23" xfId="7" applyNumberFormat="1" applyFont="1" applyBorder="1" applyAlignment="1">
      <alignment horizontal="center" vertical="center"/>
    </xf>
    <xf numFmtId="0" fontId="28" fillId="0" borderId="4" xfId="7" applyFont="1" applyBorder="1" applyAlignment="1">
      <alignment vertical="center"/>
    </xf>
    <xf numFmtId="0" fontId="28" fillId="0" borderId="3" xfId="7" applyFont="1" applyBorder="1" applyAlignment="1">
      <alignment vertical="center"/>
    </xf>
    <xf numFmtId="0" fontId="28" fillId="0" borderId="5" xfId="7" applyFont="1" applyBorder="1" applyAlignment="1">
      <alignment vertical="center"/>
    </xf>
    <xf numFmtId="164" fontId="28" fillId="0" borderId="7" xfId="8" applyFont="1" applyBorder="1" applyAlignment="1">
      <alignment horizontal="center"/>
    </xf>
    <xf numFmtId="164" fontId="28" fillId="0" borderId="5" xfId="7" applyNumberFormat="1" applyFont="1" applyBorder="1" applyAlignment="1">
      <alignment horizontal="center" vertical="center"/>
    </xf>
    <xf numFmtId="164" fontId="28" fillId="0" borderId="24" xfId="8" applyFont="1" applyBorder="1" applyAlignment="1">
      <alignment horizontal="center"/>
    </xf>
    <xf numFmtId="164" fontId="28" fillId="0" borderId="5" xfId="8" applyFont="1" applyBorder="1" applyAlignment="1">
      <alignment horizontal="center"/>
    </xf>
    <xf numFmtId="2" fontId="28" fillId="0" borderId="20" xfId="0" applyNumberFormat="1" applyFont="1" applyBorder="1" applyAlignment="1">
      <alignment horizontal="center"/>
    </xf>
    <xf numFmtId="164" fontId="28" fillId="0" borderId="1" xfId="8" applyFont="1" applyFill="1" applyBorder="1" applyAlignment="1">
      <alignment horizontal="center"/>
    </xf>
    <xf numFmtId="43" fontId="28" fillId="0" borderId="1" xfId="5" applyFont="1" applyFill="1" applyBorder="1" applyAlignment="1">
      <alignment horizontal="center"/>
    </xf>
    <xf numFmtId="43" fontId="28" fillId="0" borderId="1" xfId="5" applyFont="1" applyBorder="1" applyAlignment="1">
      <alignment horizontal="center"/>
    </xf>
    <xf numFmtId="2" fontId="28" fillId="0" borderId="1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/>
    </xf>
    <xf numFmtId="43" fontId="22" fillId="0" borderId="0" xfId="5" applyFont="1"/>
    <xf numFmtId="43" fontId="0" fillId="0" borderId="0" xfId="0" applyNumberFormat="1"/>
    <xf numFmtId="0" fontId="29" fillId="0" borderId="4" xfId="7" applyFont="1" applyBorder="1" applyAlignment="1">
      <alignment vertical="center"/>
    </xf>
    <xf numFmtId="0" fontId="29" fillId="0" borderId="3" xfId="7" applyFont="1" applyBorder="1" applyAlignment="1">
      <alignment vertical="center"/>
    </xf>
    <xf numFmtId="0" fontId="29" fillId="0" borderId="5" xfId="7" applyFont="1" applyBorder="1" applyAlignment="1">
      <alignment vertical="center"/>
    </xf>
    <xf numFmtId="43" fontId="28" fillId="0" borderId="1" xfId="5" applyFont="1" applyBorder="1" applyAlignment="1">
      <alignment horizontal="center" vertical="center"/>
    </xf>
    <xf numFmtId="43" fontId="29" fillId="0" borderId="1" xfId="5" applyFont="1" applyBorder="1" applyAlignment="1">
      <alignment horizontal="center" vertical="center"/>
    </xf>
    <xf numFmtId="2" fontId="28" fillId="0" borderId="25" xfId="7" applyNumberFormat="1" applyFont="1" applyBorder="1" applyAlignment="1">
      <alignment horizontal="center" vertical="center"/>
    </xf>
    <xf numFmtId="0" fontId="28" fillId="0" borderId="7" xfId="7" applyFont="1" applyBorder="1" applyAlignment="1">
      <alignment vertical="center"/>
    </xf>
    <xf numFmtId="0" fontId="28" fillId="0" borderId="6" xfId="7" applyFont="1" applyBorder="1" applyAlignment="1">
      <alignment vertical="center"/>
    </xf>
    <xf numFmtId="0" fontId="28" fillId="0" borderId="8" xfId="7" applyFont="1" applyBorder="1" applyAlignment="1">
      <alignment vertical="center"/>
    </xf>
    <xf numFmtId="164" fontId="28" fillId="0" borderId="8" xfId="7" applyNumberFormat="1" applyFont="1" applyBorder="1" applyAlignment="1">
      <alignment horizontal="center" vertical="center"/>
    </xf>
    <xf numFmtId="164" fontId="28" fillId="0" borderId="8" xfId="8" applyFont="1" applyBorder="1" applyAlignment="1">
      <alignment horizontal="center"/>
    </xf>
    <xf numFmtId="2" fontId="28" fillId="0" borderId="24" xfId="0" applyNumberFormat="1" applyFont="1" applyBorder="1" applyAlignment="1">
      <alignment horizontal="center"/>
    </xf>
    <xf numFmtId="43" fontId="28" fillId="0" borderId="24" xfId="5" applyFont="1" applyFill="1" applyBorder="1" applyAlignment="1">
      <alignment horizontal="center"/>
    </xf>
    <xf numFmtId="43" fontId="28" fillId="0" borderId="24" xfId="5" applyFont="1" applyBorder="1" applyAlignment="1">
      <alignment horizontal="center"/>
    </xf>
    <xf numFmtId="43" fontId="28" fillId="0" borderId="24" xfId="5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164" fontId="0" fillId="0" borderId="0" xfId="0" applyNumberFormat="1"/>
    <xf numFmtId="164" fontId="26" fillId="0" borderId="29" xfId="8" applyFont="1" applyBorder="1" applyAlignment="1">
      <alignment horizontal="center" vertical="center"/>
    </xf>
    <xf numFmtId="164" fontId="26" fillId="0" borderId="30" xfId="7" applyNumberFormat="1" applyFont="1" applyBorder="1" applyAlignment="1">
      <alignment horizontal="center" vertical="center"/>
    </xf>
    <xf numFmtId="164" fontId="26" fillId="0" borderId="31" xfId="8" applyFont="1" applyBorder="1" applyAlignment="1">
      <alignment horizontal="center" vertical="center"/>
    </xf>
    <xf numFmtId="164" fontId="26" fillId="0" borderId="30" xfId="8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43" fontId="26" fillId="0" borderId="31" xfId="5" applyFont="1" applyFill="1" applyBorder="1" applyAlignment="1">
      <alignment vertical="center"/>
    </xf>
    <xf numFmtId="0" fontId="26" fillId="0" borderId="32" xfId="0" applyFont="1" applyBorder="1" applyAlignment="1">
      <alignment horizontal="center" vertical="center"/>
    </xf>
    <xf numFmtId="164" fontId="33" fillId="0" borderId="0" xfId="0" applyNumberFormat="1" applyFont="1" applyAlignment="1">
      <alignment vertical="center"/>
    </xf>
    <xf numFmtId="43" fontId="33" fillId="0" borderId="0" xfId="5" applyFont="1" applyAlignment="1">
      <alignment vertical="center"/>
    </xf>
    <xf numFmtId="43" fontId="33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164" fontId="29" fillId="0" borderId="11" xfId="8" applyFont="1" applyBorder="1" applyAlignment="1">
      <alignment horizontal="center"/>
    </xf>
    <xf numFmtId="164" fontId="29" fillId="0" borderId="10" xfId="7" applyNumberFormat="1" applyFont="1" applyBorder="1" applyAlignment="1">
      <alignment horizontal="center" vertical="center"/>
    </xf>
    <xf numFmtId="164" fontId="29" fillId="0" borderId="22" xfId="8" applyFont="1" applyBorder="1" applyAlignment="1">
      <alignment horizontal="center"/>
    </xf>
    <xf numFmtId="164" fontId="28" fillId="0" borderId="10" xfId="8" applyFont="1" applyBorder="1" applyAlignment="1">
      <alignment horizontal="center"/>
    </xf>
    <xf numFmtId="164" fontId="29" fillId="0" borderId="20" xfId="8" applyFont="1" applyFill="1" applyBorder="1"/>
    <xf numFmtId="43" fontId="28" fillId="0" borderId="20" xfId="5" applyFont="1" applyFill="1" applyBorder="1"/>
    <xf numFmtId="43" fontId="29" fillId="0" borderId="20" xfId="5" applyFont="1" applyBorder="1" applyAlignment="1">
      <alignment horizontal="center"/>
    </xf>
    <xf numFmtId="2" fontId="29" fillId="0" borderId="20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/>
    </xf>
    <xf numFmtId="43" fontId="28" fillId="0" borderId="1" xfId="5" applyFont="1" applyFill="1" applyBorder="1"/>
    <xf numFmtId="43" fontId="23" fillId="0" borderId="0" xfId="0" applyNumberFormat="1" applyFont="1"/>
    <xf numFmtId="164" fontId="28" fillId="0" borderId="4" xfId="8" applyFont="1" applyBorder="1" applyAlignment="1">
      <alignment horizontal="center"/>
    </xf>
    <xf numFmtId="164" fontId="28" fillId="0" borderId="1" xfId="8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2" fontId="29" fillId="0" borderId="1" xfId="0" applyNumberFormat="1" applyFont="1" applyBorder="1" applyAlignment="1">
      <alignment horizontal="center"/>
    </xf>
    <xf numFmtId="2" fontId="28" fillId="0" borderId="22" xfId="0" applyNumberFormat="1" applyFont="1" applyBorder="1" applyAlignment="1">
      <alignment horizontal="center"/>
    </xf>
    <xf numFmtId="43" fontId="28" fillId="0" borderId="24" xfId="5" applyFont="1" applyFill="1" applyBorder="1"/>
    <xf numFmtId="164" fontId="5" fillId="0" borderId="28" xfId="8" applyFont="1" applyBorder="1" applyAlignment="1">
      <alignment horizontal="center" vertical="center"/>
    </xf>
    <xf numFmtId="0" fontId="36" fillId="0" borderId="28" xfId="7" applyFont="1" applyBorder="1" applyAlignment="1">
      <alignment horizontal="center" vertical="center"/>
    </xf>
    <xf numFmtId="164" fontId="5" fillId="0" borderId="30" xfId="8" applyFont="1" applyBorder="1" applyAlignment="1">
      <alignment horizontal="center" vertical="center"/>
    </xf>
    <xf numFmtId="43" fontId="26" fillId="0" borderId="31" xfId="5" applyFont="1" applyBorder="1" applyAlignment="1">
      <alignment horizontal="center" vertical="center"/>
    </xf>
    <xf numFmtId="164" fontId="5" fillId="0" borderId="34" xfId="8" applyFont="1" applyBorder="1" applyAlignment="1">
      <alignment horizontal="center" vertical="center"/>
    </xf>
    <xf numFmtId="164" fontId="26" fillId="0" borderId="28" xfId="8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64" fontId="26" fillId="0" borderId="31" xfId="8" applyFont="1" applyFill="1" applyBorder="1" applyAlignment="1">
      <alignment vertical="center"/>
    </xf>
    <xf numFmtId="0" fontId="37" fillId="0" borderId="0" xfId="0" applyFont="1" applyAlignment="1">
      <alignment vertical="center"/>
    </xf>
    <xf numFmtId="43" fontId="37" fillId="0" borderId="0" xfId="5" applyFont="1" applyAlignment="1">
      <alignment vertical="center"/>
    </xf>
    <xf numFmtId="0" fontId="26" fillId="0" borderId="0" xfId="0" applyFont="1" applyAlignment="1">
      <alignment horizontal="left"/>
    </xf>
    <xf numFmtId="0" fontId="0" fillId="0" borderId="0" xfId="0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/>
    <xf numFmtId="167" fontId="5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center"/>
    </xf>
    <xf numFmtId="43" fontId="28" fillId="0" borderId="0" xfId="0" applyNumberFormat="1" applyFont="1" applyAlignment="1">
      <alignment horizontal="center"/>
    </xf>
    <xf numFmtId="164" fontId="38" fillId="0" borderId="0" xfId="8" applyFont="1"/>
    <xf numFmtId="10" fontId="28" fillId="0" borderId="0" xfId="6" applyNumberFormat="1" applyFont="1"/>
    <xf numFmtId="164" fontId="0" fillId="0" borderId="0" xfId="8" applyFont="1"/>
    <xf numFmtId="164" fontId="28" fillId="0" borderId="0" xfId="8" applyFont="1" applyBorder="1" applyAlignment="1">
      <alignment horizontal="center"/>
    </xf>
    <xf numFmtId="164" fontId="28" fillId="0" borderId="0" xfId="8" applyFont="1"/>
    <xf numFmtId="0" fontId="28" fillId="0" borderId="0" xfId="0" applyFont="1" applyAlignment="1">
      <alignment horizontal="right"/>
    </xf>
    <xf numFmtId="168" fontId="28" fillId="0" borderId="0" xfId="0" applyNumberFormat="1" applyFont="1"/>
    <xf numFmtId="164" fontId="28" fillId="0" borderId="0" xfId="8" applyFont="1" applyBorder="1" applyAlignment="1">
      <alignment horizontal="left"/>
    </xf>
    <xf numFmtId="43" fontId="28" fillId="0" borderId="0" xfId="0" applyNumberFormat="1" applyFont="1"/>
    <xf numFmtId="164" fontId="29" fillId="0" borderId="0" xfId="8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0" fillId="0" borderId="0" xfId="0" applyAlignment="1">
      <alignment vertical="center"/>
    </xf>
    <xf numFmtId="2" fontId="18" fillId="0" borderId="1" xfId="4" applyNumberFormat="1" applyFont="1" applyBorder="1" applyAlignment="1" applyProtection="1">
      <alignment horizontal="center" vertical="center"/>
      <protection locked="0"/>
    </xf>
    <xf numFmtId="2" fontId="18" fillId="0" borderId="1" xfId="2" applyNumberFormat="1" applyFont="1" applyBorder="1" applyAlignment="1" applyProtection="1">
      <alignment horizontal="center" vertical="center" wrapText="1"/>
      <protection locked="0"/>
    </xf>
    <xf numFmtId="2" fontId="0" fillId="0" borderId="0" xfId="0" applyNumberFormat="1"/>
    <xf numFmtId="10" fontId="3" fillId="0" borderId="0" xfId="0" applyNumberFormat="1" applyFont="1" applyAlignment="1">
      <alignment vertical="center" wrapText="1"/>
    </xf>
    <xf numFmtId="0" fontId="41" fillId="0" borderId="0" xfId="0" applyFont="1" applyAlignment="1">
      <alignment vertical="center"/>
    </xf>
    <xf numFmtId="0" fontId="42" fillId="0" borderId="0" xfId="0" applyFont="1"/>
    <xf numFmtId="0" fontId="43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50" fillId="0" borderId="0" xfId="0" applyFont="1"/>
    <xf numFmtId="0" fontId="49" fillId="0" borderId="0" xfId="0" applyFont="1" applyAlignment="1">
      <alignment horizontal="center"/>
    </xf>
    <xf numFmtId="0" fontId="43" fillId="3" borderId="1" xfId="0" applyFont="1" applyFill="1" applyBorder="1"/>
    <xf numFmtId="0" fontId="49" fillId="2" borderId="0" xfId="0" applyFont="1" applyFill="1" applyAlignment="1">
      <alignment horizontal="center"/>
    </xf>
    <xf numFmtId="0" fontId="52" fillId="0" borderId="0" xfId="0" applyFont="1"/>
    <xf numFmtId="0" fontId="42" fillId="4" borderId="1" xfId="0" applyFont="1" applyFill="1" applyBorder="1"/>
    <xf numFmtId="0" fontId="42" fillId="4" borderId="4" xfId="0" applyFont="1" applyFill="1" applyBorder="1"/>
    <xf numFmtId="0" fontId="42" fillId="4" borderId="3" xfId="0" applyFont="1" applyFill="1" applyBorder="1"/>
    <xf numFmtId="0" fontId="42" fillId="4" borderId="5" xfId="0" applyFont="1" applyFill="1" applyBorder="1"/>
    <xf numFmtId="166" fontId="49" fillId="0" borderId="0" xfId="0" applyNumberFormat="1" applyFont="1" applyAlignment="1">
      <alignment horizontal="center"/>
    </xf>
    <xf numFmtId="0" fontId="50" fillId="0" borderId="0" xfId="0" applyFont="1" applyAlignment="1">
      <alignment horizontal="center"/>
    </xf>
    <xf numFmtId="0" fontId="42" fillId="5" borderId="1" xfId="0" applyFont="1" applyFill="1" applyBorder="1"/>
    <xf numFmtId="0" fontId="42" fillId="5" borderId="4" xfId="0" applyFont="1" applyFill="1" applyBorder="1"/>
    <xf numFmtId="0" fontId="42" fillId="5" borderId="3" xfId="0" applyFont="1" applyFill="1" applyBorder="1"/>
    <xf numFmtId="0" fontId="42" fillId="5" borderId="5" xfId="0" applyFont="1" applyFill="1" applyBorder="1"/>
    <xf numFmtId="0" fontId="42" fillId="6" borderId="1" xfId="0" applyFont="1" applyFill="1" applyBorder="1"/>
    <xf numFmtId="0" fontId="42" fillId="6" borderId="4" xfId="0" applyFont="1" applyFill="1" applyBorder="1"/>
    <xf numFmtId="0" fontId="42" fillId="6" borderId="3" xfId="0" applyFont="1" applyFill="1" applyBorder="1"/>
    <xf numFmtId="0" fontId="42" fillId="6" borderId="5" xfId="0" applyFont="1" applyFill="1" applyBorder="1"/>
    <xf numFmtId="0" fontId="42" fillId="0" borderId="0" xfId="0" quotePrefix="1" applyFont="1" applyAlignment="1">
      <alignment horizontal="center" vertical="top"/>
    </xf>
    <xf numFmtId="0" fontId="42" fillId="7" borderId="1" xfId="0" applyFont="1" applyFill="1" applyBorder="1"/>
    <xf numFmtId="0" fontId="42" fillId="7" borderId="4" xfId="0" applyFont="1" applyFill="1" applyBorder="1"/>
    <xf numFmtId="0" fontId="42" fillId="7" borderId="3" xfId="0" applyFont="1" applyFill="1" applyBorder="1"/>
    <xf numFmtId="0" fontId="42" fillId="7" borderId="5" xfId="0" applyFont="1" applyFill="1" applyBorder="1"/>
    <xf numFmtId="0" fontId="42" fillId="0" borderId="0" xfId="0" applyFont="1" applyAlignment="1">
      <alignment horizontal="left" vertical="top"/>
    </xf>
    <xf numFmtId="0" fontId="42" fillId="0" borderId="0" xfId="0" quotePrefix="1" applyFont="1" applyAlignment="1">
      <alignment horizontal="center" vertical="center"/>
    </xf>
    <xf numFmtId="0" fontId="42" fillId="0" borderId="3" xfId="0" applyFont="1" applyBorder="1" applyAlignment="1">
      <alignment vertical="center"/>
    </xf>
    <xf numFmtId="0" fontId="42" fillId="0" borderId="3" xfId="0" applyFont="1" applyBorder="1"/>
    <xf numFmtId="0" fontId="42" fillId="8" borderId="1" xfId="0" applyFont="1" applyFill="1" applyBorder="1"/>
    <xf numFmtId="0" fontId="42" fillId="8" borderId="4" xfId="0" applyFont="1" applyFill="1" applyBorder="1"/>
    <xf numFmtId="0" fontId="42" fillId="8" borderId="3" xfId="0" applyFont="1" applyFill="1" applyBorder="1"/>
    <xf numFmtId="0" fontId="42" fillId="8" borderId="5" xfId="0" applyFont="1" applyFill="1" applyBorder="1"/>
    <xf numFmtId="0" fontId="42" fillId="0" borderId="0" xfId="0" applyFont="1" applyAlignment="1">
      <alignment horizontal="left" vertical="center"/>
    </xf>
    <xf numFmtId="4" fontId="42" fillId="0" borderId="3" xfId="0" applyNumberFormat="1" applyFont="1" applyBorder="1" applyAlignment="1">
      <alignment horizontal="left"/>
    </xf>
    <xf numFmtId="0" fontId="42" fillId="9" borderId="1" xfId="0" applyFont="1" applyFill="1" applyBorder="1"/>
    <xf numFmtId="0" fontId="42" fillId="9" borderId="4" xfId="0" applyFont="1" applyFill="1" applyBorder="1"/>
    <xf numFmtId="0" fontId="42" fillId="9" borderId="3" xfId="0" applyFont="1" applyFill="1" applyBorder="1"/>
    <xf numFmtId="0" fontId="42" fillId="9" borderId="5" xfId="0" applyFont="1" applyFill="1" applyBorder="1"/>
    <xf numFmtId="0" fontId="49" fillId="2" borderId="0" xfId="0" applyFont="1" applyFill="1" applyAlignment="1">
      <alignment horizontal="center" vertical="center"/>
    </xf>
    <xf numFmtId="0" fontId="42" fillId="3" borderId="1" xfId="0" applyFont="1" applyFill="1" applyBorder="1"/>
    <xf numFmtId="0" fontId="42" fillId="3" borderId="4" xfId="0" applyFont="1" applyFill="1" applyBorder="1"/>
    <xf numFmtId="0" fontId="42" fillId="3" borderId="3" xfId="0" applyFont="1" applyFill="1" applyBorder="1"/>
    <xf numFmtId="0" fontId="42" fillId="3" borderId="5" xfId="0" applyFont="1" applyFill="1" applyBorder="1"/>
    <xf numFmtId="0" fontId="43" fillId="0" borderId="0" xfId="0" applyFont="1" applyAlignment="1">
      <alignment vertical="center"/>
    </xf>
    <xf numFmtId="0" fontId="42" fillId="0" borderId="3" xfId="0" applyFont="1" applyBorder="1" applyAlignment="1">
      <alignment horizontal="left"/>
    </xf>
    <xf numFmtId="0" fontId="43" fillId="0" borderId="0" xfId="0" applyFont="1" applyAlignment="1">
      <alignment horizontal="left"/>
    </xf>
    <xf numFmtId="0" fontId="42" fillId="10" borderId="1" xfId="0" applyFont="1" applyFill="1" applyBorder="1"/>
    <xf numFmtId="0" fontId="42" fillId="10" borderId="4" xfId="0" applyFont="1" applyFill="1" applyBorder="1"/>
    <xf numFmtId="0" fontId="42" fillId="10" borderId="3" xfId="0" applyFont="1" applyFill="1" applyBorder="1"/>
    <xf numFmtId="0" fontId="42" fillId="10" borderId="5" xfId="0" applyFont="1" applyFill="1" applyBorder="1"/>
    <xf numFmtId="0" fontId="42" fillId="0" borderId="0" xfId="0" quotePrefix="1" applyFont="1"/>
    <xf numFmtId="0" fontId="42" fillId="0" borderId="0" xfId="0" applyFont="1" applyAlignment="1">
      <alignment vertical="center"/>
    </xf>
    <xf numFmtId="166" fontId="42" fillId="0" borderId="3" xfId="0" applyNumberFormat="1" applyFont="1" applyBorder="1" applyAlignment="1">
      <alignment horizontal="left"/>
    </xf>
    <xf numFmtId="0" fontId="43" fillId="0" borderId="3" xfId="0" applyFont="1" applyBorder="1"/>
    <xf numFmtId="0" fontId="53" fillId="0" borderId="0" xfId="0" applyFont="1" applyAlignment="1">
      <alignment horizontal="center"/>
    </xf>
    <xf numFmtId="0" fontId="54" fillId="0" borderId="0" xfId="0" applyFont="1" applyAlignment="1">
      <alignment vertical="center"/>
    </xf>
    <xf numFmtId="166" fontId="42" fillId="0" borderId="2" xfId="0" applyNumberFormat="1" applyFont="1" applyBorder="1" applyAlignment="1">
      <alignment horizontal="left"/>
    </xf>
    <xf numFmtId="169" fontId="43" fillId="0" borderId="0" xfId="0" applyNumberFormat="1" applyFont="1"/>
    <xf numFmtId="169" fontId="53" fillId="0" borderId="0" xfId="0" applyNumberFormat="1" applyFont="1" applyAlignment="1">
      <alignment horizontal="center"/>
    </xf>
    <xf numFmtId="170" fontId="42" fillId="0" borderId="2" xfId="9" applyNumberFormat="1" applyFont="1" applyBorder="1" applyAlignment="1">
      <alignment horizontal="left"/>
    </xf>
    <xf numFmtId="1" fontId="42" fillId="0" borderId="2" xfId="0" applyNumberFormat="1" applyFont="1" applyBorder="1" applyAlignment="1">
      <alignment horizontal="left"/>
    </xf>
    <xf numFmtId="0" fontId="53" fillId="0" borderId="0" xfId="0" applyFont="1"/>
    <xf numFmtId="0" fontId="52" fillId="0" borderId="0" xfId="0" applyFont="1" applyAlignment="1">
      <alignment horizontal="right"/>
    </xf>
    <xf numFmtId="170" fontId="42" fillId="2" borderId="1" xfId="9" applyNumberFormat="1" applyFont="1" applyFill="1" applyBorder="1" applyAlignment="1">
      <alignment horizontal="left"/>
    </xf>
    <xf numFmtId="0" fontId="53" fillId="0" borderId="0" xfId="0" applyFont="1" applyAlignment="1">
      <alignment horizontal="right"/>
    </xf>
    <xf numFmtId="0" fontId="42" fillId="0" borderId="0" xfId="0" applyFont="1" applyAlignment="1">
      <alignment horizontal="center"/>
    </xf>
    <xf numFmtId="170" fontId="42" fillId="0" borderId="3" xfId="9" applyNumberFormat="1" applyFont="1" applyBorder="1" applyAlignment="1">
      <alignment horizontal="left"/>
    </xf>
    <xf numFmtId="170" fontId="42" fillId="2" borderId="1" xfId="9" applyNumberFormat="1" applyFont="1" applyFill="1" applyBorder="1" applyAlignment="1"/>
    <xf numFmtId="170" fontId="42" fillId="11" borderId="1" xfId="9" applyNumberFormat="1" applyFont="1" applyFill="1" applyBorder="1" applyAlignment="1"/>
    <xf numFmtId="1" fontId="42" fillId="0" borderId="3" xfId="0" applyNumberFormat="1" applyFont="1" applyBorder="1"/>
    <xf numFmtId="2" fontId="42" fillId="0" borderId="3" xfId="0" applyNumberFormat="1" applyFont="1" applyBorder="1" applyAlignment="1">
      <alignment horizontal="left"/>
    </xf>
    <xf numFmtId="166" fontId="55" fillId="0" borderId="3" xfId="0" applyNumberFormat="1" applyFont="1" applyBorder="1" applyAlignment="1">
      <alignment horizontal="left"/>
    </xf>
    <xf numFmtId="10" fontId="42" fillId="0" borderId="3" xfId="0" applyNumberFormat="1" applyFont="1" applyBorder="1" applyAlignment="1">
      <alignment horizontal="left"/>
    </xf>
    <xf numFmtId="10" fontId="56" fillId="0" borderId="3" xfId="6" applyNumberFormat="1" applyFont="1" applyBorder="1" applyAlignment="1">
      <alignment horizontal="left"/>
    </xf>
    <xf numFmtId="10" fontId="56" fillId="11" borderId="1" xfId="6" applyNumberFormat="1" applyFont="1" applyFill="1" applyBorder="1" applyAlignment="1">
      <alignment horizontal="left"/>
    </xf>
    <xf numFmtId="0" fontId="42" fillId="0" borderId="4" xfId="0" applyFont="1" applyBorder="1" applyAlignment="1">
      <alignment vertical="center"/>
    </xf>
    <xf numFmtId="0" fontId="43" fillId="0" borderId="5" xfId="0" applyFont="1" applyBorder="1"/>
    <xf numFmtId="10" fontId="42" fillId="0" borderId="2" xfId="0" applyNumberFormat="1" applyFont="1" applyBorder="1" applyAlignment="1">
      <alignment horizontal="left"/>
    </xf>
    <xf numFmtId="0" fontId="42" fillId="0" borderId="2" xfId="0" applyFont="1" applyBorder="1" applyAlignment="1">
      <alignment horizontal="left"/>
    </xf>
    <xf numFmtId="0" fontId="42" fillId="0" borderId="6" xfId="0" applyFont="1" applyBorder="1"/>
    <xf numFmtId="10" fontId="42" fillId="0" borderId="0" xfId="6" applyNumberFormat="1" applyFont="1"/>
    <xf numFmtId="10" fontId="42" fillId="0" borderId="0" xfId="0" applyNumberFormat="1" applyFont="1"/>
    <xf numFmtId="10" fontId="56" fillId="0" borderId="0" xfId="6" applyNumberFormat="1" applyFont="1" applyBorder="1" applyAlignment="1">
      <alignment horizontal="left"/>
    </xf>
    <xf numFmtId="0" fontId="42" fillId="5" borderId="36" xfId="0" applyFont="1" applyFill="1" applyBorder="1"/>
    <xf numFmtId="0" fontId="43" fillId="5" borderId="37" xfId="0" applyFont="1" applyFill="1" applyBorder="1"/>
    <xf numFmtId="0" fontId="43" fillId="5" borderId="38" xfId="0" applyFont="1" applyFill="1" applyBorder="1"/>
    <xf numFmtId="0" fontId="42" fillId="5" borderId="39" xfId="0" applyFont="1" applyFill="1" applyBorder="1"/>
    <xf numFmtId="0" fontId="43" fillId="5" borderId="40" xfId="0" applyFont="1" applyFill="1" applyBorder="1"/>
    <xf numFmtId="0" fontId="43" fillId="5" borderId="41" xfId="0" applyFont="1" applyFill="1" applyBorder="1"/>
    <xf numFmtId="1" fontId="18" fillId="0" borderId="2" xfId="1" applyNumberFormat="1" applyFont="1" applyBorder="1" applyAlignment="1" applyProtection="1">
      <alignment horizontal="left" wrapText="1"/>
      <protection locked="0" hidden="1"/>
    </xf>
    <xf numFmtId="0" fontId="11" fillId="0" borderId="1" xfId="0" applyFont="1" applyBorder="1" applyAlignment="1">
      <alignment horizontal="center" vertical="top" wrapText="1"/>
    </xf>
    <xf numFmtId="0" fontId="6" fillId="0" borderId="0" xfId="4" applyFont="1" applyAlignment="1" applyProtection="1">
      <alignment vertical="top"/>
      <protection locked="0"/>
    </xf>
    <xf numFmtId="0" fontId="7" fillId="0" borderId="0" xfId="4" applyFont="1" applyAlignment="1">
      <alignment vertical="top"/>
    </xf>
    <xf numFmtId="0" fontId="7" fillId="0" borderId="0" xfId="1" applyFont="1" applyAlignment="1">
      <alignment vertical="top"/>
    </xf>
    <xf numFmtId="0" fontId="7" fillId="0" borderId="0" xfId="4" applyFont="1" applyAlignment="1">
      <alignment horizontal="center" vertical="top"/>
    </xf>
    <xf numFmtId="0" fontId="7" fillId="0" borderId="0" xfId="4" quotePrefix="1" applyFont="1" applyAlignment="1">
      <alignment horizontal="center" vertical="top"/>
    </xf>
    <xf numFmtId="0" fontId="3" fillId="0" borderId="3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11" fillId="10" borderId="0" xfId="0" applyFont="1" applyFill="1" applyAlignment="1">
      <alignment vertical="top" wrapText="1"/>
    </xf>
    <xf numFmtId="0" fontId="11" fillId="3" borderId="0" xfId="0" applyFont="1" applyFill="1" applyAlignment="1">
      <alignment vertical="top" wrapText="1"/>
    </xf>
    <xf numFmtId="0" fontId="60" fillId="0" borderId="4" xfId="0" applyFont="1" applyBorder="1"/>
    <xf numFmtId="0" fontId="60" fillId="0" borderId="3" xfId="0" applyFont="1" applyBorder="1"/>
    <xf numFmtId="0" fontId="60" fillId="0" borderId="5" xfId="0" applyFont="1" applyBorder="1"/>
    <xf numFmtId="0" fontId="61" fillId="0" borderId="4" xfId="0" applyFont="1" applyBorder="1"/>
    <xf numFmtId="1" fontId="62" fillId="14" borderId="23" xfId="0" applyNumberFormat="1" applyFont="1" applyFill="1" applyBorder="1" applyAlignment="1">
      <alignment horizontal="center" vertical="center"/>
    </xf>
    <xf numFmtId="1" fontId="60" fillId="0" borderId="23" xfId="0" applyNumberFormat="1" applyFont="1" applyBorder="1" applyAlignment="1">
      <alignment horizontal="center" vertical="center"/>
    </xf>
    <xf numFmtId="0" fontId="63" fillId="0" borderId="1" xfId="2" applyFont="1" applyBorder="1" applyAlignment="1" applyProtection="1">
      <alignment horizontal="center" vertical="center" wrapText="1"/>
      <protection locked="0"/>
    </xf>
    <xf numFmtId="1" fontId="62" fillId="13" borderId="23" xfId="0" applyNumberFormat="1" applyFont="1" applyFill="1" applyBorder="1" applyAlignment="1">
      <alignment horizontal="center" vertical="center"/>
    </xf>
    <xf numFmtId="2" fontId="63" fillId="12" borderId="1" xfId="2" applyNumberFormat="1" applyFont="1" applyFill="1" applyBorder="1" applyAlignment="1" applyProtection="1">
      <alignment horizontal="center" vertical="center" wrapText="1"/>
      <protection locked="0"/>
    </xf>
    <xf numFmtId="0" fontId="63" fillId="12" borderId="1" xfId="2" applyFont="1" applyFill="1" applyBorder="1" applyAlignment="1" applyProtection="1">
      <alignment horizontal="center" vertical="center" wrapText="1"/>
      <protection locked="0"/>
    </xf>
    <xf numFmtId="0" fontId="61" fillId="0" borderId="4" xfId="0" applyFont="1" applyBorder="1" applyAlignment="1">
      <alignment horizontal="left"/>
    </xf>
    <xf numFmtId="0" fontId="61" fillId="0" borderId="3" xfId="0" applyFont="1" applyBorder="1" applyAlignment="1">
      <alignment horizontal="left"/>
    </xf>
    <xf numFmtId="0" fontId="61" fillId="0" borderId="5" xfId="0" applyFont="1" applyBorder="1" applyAlignment="1">
      <alignment horizontal="left"/>
    </xf>
    <xf numFmtId="1" fontId="63" fillId="12" borderId="4" xfId="1" applyNumberFormat="1" applyFont="1" applyFill="1" applyBorder="1" applyAlignment="1" applyProtection="1">
      <alignment horizontal="center" vertical="center" wrapText="1"/>
      <protection locked="0" hidden="1"/>
    </xf>
    <xf numFmtId="1" fontId="63" fillId="12" borderId="3" xfId="1" applyNumberFormat="1" applyFont="1" applyFill="1" applyBorder="1" applyAlignment="1" applyProtection="1">
      <alignment horizontal="center" vertical="center" wrapText="1"/>
      <protection locked="0" hidden="1"/>
    </xf>
    <xf numFmtId="1" fontId="63" fillId="12" borderId="5" xfId="1" applyNumberFormat="1" applyFont="1" applyFill="1" applyBorder="1" applyAlignment="1" applyProtection="1">
      <alignment horizontal="center" vertical="center" wrapText="1"/>
      <protection locked="0" hidden="1"/>
    </xf>
    <xf numFmtId="0" fontId="61" fillId="0" borderId="3" xfId="0" applyFont="1" applyBorder="1"/>
    <xf numFmtId="0" fontId="61" fillId="0" borderId="5" xfId="0" applyFont="1" applyBorder="1"/>
    <xf numFmtId="0" fontId="61" fillId="0" borderId="23" xfId="0" applyFont="1" applyBorder="1" applyAlignment="1">
      <alignment horizontal="center"/>
    </xf>
    <xf numFmtId="1" fontId="60" fillId="0" borderId="44" xfId="0" applyNumberFormat="1" applyFont="1" applyBorder="1" applyAlignment="1">
      <alignment horizontal="center" vertical="center"/>
    </xf>
    <xf numFmtId="0" fontId="61" fillId="0" borderId="45" xfId="0" applyFont="1" applyBorder="1"/>
    <xf numFmtId="0" fontId="61" fillId="0" borderId="46" xfId="0" applyFont="1" applyBorder="1"/>
    <xf numFmtId="0" fontId="61" fillId="0" borderId="47" xfId="0" applyFont="1" applyBorder="1"/>
    <xf numFmtId="0" fontId="63" fillId="0" borderId="48" xfId="2" applyFont="1" applyBorder="1" applyAlignment="1" applyProtection="1">
      <alignment horizontal="center" vertical="center" wrapText="1"/>
      <protection locked="0"/>
    </xf>
    <xf numFmtId="0" fontId="60" fillId="0" borderId="43" xfId="0" applyFont="1" applyBorder="1" applyAlignment="1">
      <alignment vertical="center"/>
    </xf>
    <xf numFmtId="1" fontId="62" fillId="12" borderId="23" xfId="0" applyNumberFormat="1" applyFont="1" applyFill="1" applyBorder="1" applyAlignment="1">
      <alignment horizontal="center" vertical="center"/>
    </xf>
    <xf numFmtId="0" fontId="60" fillId="12" borderId="43" xfId="0" applyFont="1" applyFill="1" applyBorder="1" applyAlignment="1">
      <alignment horizontal="center" vertical="center"/>
    </xf>
    <xf numFmtId="1" fontId="60" fillId="12" borderId="44" xfId="0" applyNumberFormat="1" applyFont="1" applyFill="1" applyBorder="1" applyAlignment="1">
      <alignment horizontal="center" vertical="center"/>
    </xf>
    <xf numFmtId="0" fontId="63" fillId="12" borderId="48" xfId="2" applyFont="1" applyFill="1" applyBorder="1" applyAlignment="1" applyProtection="1">
      <alignment horizontal="center" vertical="center" wrapText="1"/>
      <protection locked="0"/>
    </xf>
    <xf numFmtId="0" fontId="60" fillId="12" borderId="50" xfId="0" applyFont="1" applyFill="1" applyBorder="1" applyAlignment="1">
      <alignment horizontal="center" vertical="center"/>
    </xf>
    <xf numFmtId="0" fontId="62" fillId="0" borderId="4" xfId="0" applyFont="1" applyBorder="1"/>
    <xf numFmtId="0" fontId="62" fillId="0" borderId="1" xfId="0" applyFont="1" applyBorder="1"/>
    <xf numFmtId="0" fontId="20" fillId="0" borderId="1" xfId="0" applyFont="1" applyBorder="1" applyAlignment="1">
      <alignment horizontal="center" vertical="top"/>
    </xf>
    <xf numFmtId="0" fontId="59" fillId="0" borderId="0" xfId="4" applyFont="1" applyAlignment="1">
      <alignment horizontal="center" vertical="top"/>
    </xf>
    <xf numFmtId="0" fontId="63" fillId="0" borderId="4" xfId="2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63" fillId="0" borderId="4" xfId="2" applyFont="1" applyBorder="1" applyAlignment="1" applyProtection="1">
      <alignment horizontal="center" vertical="center" wrapText="1"/>
      <protection locked="0"/>
    </xf>
    <xf numFmtId="0" fontId="63" fillId="0" borderId="5" xfId="2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3" fillId="0" borderId="4" xfId="1" applyNumberFormat="1" applyFont="1" applyBorder="1" applyAlignment="1" applyProtection="1">
      <alignment horizontal="center" vertical="center" wrapText="1"/>
      <protection locked="0" hidden="1"/>
    </xf>
    <xf numFmtId="1" fontId="63" fillId="0" borderId="3" xfId="1" applyNumberFormat="1" applyFont="1" applyBorder="1" applyAlignment="1" applyProtection="1">
      <alignment horizontal="center" vertical="center" wrapText="1"/>
      <protection locked="0" hidden="1"/>
    </xf>
    <xf numFmtId="1" fontId="63" fillId="0" borderId="5" xfId="1" applyNumberFormat="1" applyFont="1" applyBorder="1" applyAlignment="1" applyProtection="1">
      <alignment horizontal="center" vertical="center" wrapText="1"/>
      <protection locked="0" hidden="1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1" fontId="18" fillId="0" borderId="0" xfId="1" applyNumberFormat="1" applyFont="1" applyAlignment="1" applyProtection="1">
      <alignment horizontal="left" wrapText="1"/>
      <protection locked="0" hidden="1"/>
    </xf>
    <xf numFmtId="0" fontId="20" fillId="0" borderId="1" xfId="0" applyFont="1" applyBorder="1" applyAlignment="1">
      <alignment horizontal="center" vertical="top"/>
    </xf>
    <xf numFmtId="1" fontId="7" fillId="0" borderId="0" xfId="1" applyNumberFormat="1" applyFont="1" applyAlignment="1" applyProtection="1">
      <alignment horizontal="center" vertical="top" wrapText="1"/>
      <protection hidden="1"/>
    </xf>
    <xf numFmtId="0" fontId="18" fillId="0" borderId="1" xfId="3" applyFont="1" applyBorder="1" applyAlignment="1" applyProtection="1">
      <alignment horizontal="center" vertical="center" wrapText="1" shrinkToFit="1"/>
      <protection locked="0" hidden="1"/>
    </xf>
    <xf numFmtId="1" fontId="7" fillId="0" borderId="0" xfId="1" applyNumberFormat="1" applyFont="1" applyAlignment="1" applyProtection="1">
      <alignment horizontal="center" vertical="center" wrapText="1"/>
      <protection hidden="1"/>
    </xf>
    <xf numFmtId="0" fontId="12" fillId="0" borderId="1" xfId="3" applyFont="1" applyBorder="1" applyAlignment="1" applyProtection="1">
      <alignment horizontal="center" vertical="center" wrapText="1" shrinkToFit="1"/>
      <protection hidden="1"/>
    </xf>
    <xf numFmtId="1" fontId="18" fillId="0" borderId="1" xfId="1" applyNumberFormat="1" applyFont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9" fillId="0" borderId="0" xfId="4" applyFont="1" applyAlignment="1">
      <alignment horizontal="center" vertical="top"/>
    </xf>
    <xf numFmtId="0" fontId="7" fillId="0" borderId="0" xfId="4" applyFont="1" applyAlignment="1">
      <alignment horizontal="center" vertical="top"/>
    </xf>
    <xf numFmtId="0" fontId="7" fillId="0" borderId="0" xfId="4" quotePrefix="1" applyFont="1" applyAlignment="1">
      <alignment horizontal="center" vertical="top"/>
    </xf>
    <xf numFmtId="1" fontId="63" fillId="0" borderId="4" xfId="1" applyNumberFormat="1" applyFont="1" applyBorder="1" applyAlignment="1" applyProtection="1">
      <alignment horizontal="center" vertical="center" wrapText="1"/>
      <protection locked="0" hidden="1"/>
    </xf>
    <xf numFmtId="1" fontId="63" fillId="0" borderId="3" xfId="1" applyNumberFormat="1" applyFont="1" applyBorder="1" applyAlignment="1" applyProtection="1">
      <alignment horizontal="center" vertical="center" wrapText="1"/>
      <protection locked="0" hidden="1"/>
    </xf>
    <xf numFmtId="1" fontId="63" fillId="0" borderId="5" xfId="1" applyNumberFormat="1" applyFont="1" applyBorder="1" applyAlignment="1" applyProtection="1">
      <alignment horizontal="center" vertical="center" wrapText="1"/>
      <protection locked="0" hidden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3" fillId="0" borderId="4" xfId="2" applyFont="1" applyBorder="1" applyAlignment="1" applyProtection="1">
      <alignment horizontal="center" vertical="center" wrapText="1"/>
      <protection locked="0"/>
    </xf>
    <xf numFmtId="0" fontId="63" fillId="0" borderId="5" xfId="2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 wrapText="1"/>
    </xf>
    <xf numFmtId="0" fontId="64" fillId="0" borderId="4" xfId="0" applyFont="1" applyFill="1" applyBorder="1"/>
    <xf numFmtId="0" fontId="60" fillId="0" borderId="5" xfId="0" applyFont="1" applyFill="1" applyBorder="1"/>
    <xf numFmtId="1" fontId="60" fillId="0" borderId="23" xfId="0" applyNumberFormat="1" applyFont="1" applyFill="1" applyBorder="1" applyAlignment="1">
      <alignment horizontal="center" vertical="center"/>
    </xf>
    <xf numFmtId="1" fontId="62" fillId="0" borderId="23" xfId="0" applyNumberFormat="1" applyFont="1" applyFill="1" applyBorder="1" applyAlignment="1">
      <alignment horizontal="center" vertical="center"/>
    </xf>
    <xf numFmtId="0" fontId="60" fillId="0" borderId="51" xfId="0" applyFont="1" applyFill="1" applyBorder="1" applyAlignment="1">
      <alignment horizontal="center" vertical="center" wrapText="1"/>
    </xf>
    <xf numFmtId="0" fontId="60" fillId="0" borderId="21" xfId="0" applyFont="1" applyFill="1" applyBorder="1" applyAlignment="1">
      <alignment horizontal="center"/>
    </xf>
    <xf numFmtId="0" fontId="60" fillId="0" borderId="49" xfId="0" applyFont="1" applyFill="1" applyBorder="1" applyAlignment="1">
      <alignment horizontal="center"/>
    </xf>
    <xf numFmtId="0" fontId="60" fillId="0" borderId="47" xfId="0" applyFont="1" applyBorder="1"/>
    <xf numFmtId="0" fontId="62" fillId="0" borderId="21" xfId="0" applyFont="1" applyFill="1" applyBorder="1"/>
    <xf numFmtId="0" fontId="62" fillId="0" borderId="23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8" fillId="0" borderId="1" xfId="1" applyNumberFormat="1" applyFont="1" applyBorder="1" applyAlignment="1" applyProtection="1">
      <alignment horizontal="center" vertical="center" wrapText="1"/>
      <protection locked="0" hidden="1"/>
    </xf>
    <xf numFmtId="0" fontId="18" fillId="0" borderId="1" xfId="3" applyFont="1" applyBorder="1" applyAlignment="1" applyProtection="1">
      <alignment horizontal="center" vertical="center" wrapText="1" shrinkToFit="1"/>
      <protection locked="0" hidden="1"/>
    </xf>
    <xf numFmtId="1" fontId="7" fillId="0" borderId="0" xfId="1" applyNumberFormat="1" applyFont="1" applyAlignment="1" applyProtection="1">
      <alignment horizontal="center" vertical="center" wrapText="1"/>
      <protection hidden="1"/>
    </xf>
    <xf numFmtId="0" fontId="12" fillId="0" borderId="1" xfId="3" applyFont="1" applyBorder="1" applyAlignment="1" applyProtection="1">
      <alignment horizontal="center" vertical="center" wrapText="1" shrinkToFit="1"/>
      <protection hidden="1"/>
    </xf>
    <xf numFmtId="1" fontId="7" fillId="0" borderId="0" xfId="1" applyNumberFormat="1" applyFont="1" applyAlignment="1" applyProtection="1">
      <alignment horizontal="center" vertical="top" wrapText="1"/>
      <protection hidden="1"/>
    </xf>
    <xf numFmtId="1" fontId="18" fillId="0" borderId="0" xfId="1" applyNumberFormat="1" applyFont="1" applyAlignment="1" applyProtection="1">
      <alignment horizontal="left" wrapText="1"/>
      <protection locked="0" hidden="1"/>
    </xf>
    <xf numFmtId="0" fontId="20" fillId="0" borderId="1" xfId="0" applyFont="1" applyBorder="1" applyAlignment="1">
      <alignment horizontal="center" vertical="top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59" fillId="0" borderId="0" xfId="4" applyFont="1" applyAlignment="1">
      <alignment horizontal="center" vertical="top"/>
    </xf>
    <xf numFmtId="0" fontId="7" fillId="0" borderId="0" xfId="4" applyFont="1" applyAlignment="1">
      <alignment horizontal="center" vertical="top"/>
    </xf>
    <xf numFmtId="0" fontId="7" fillId="0" borderId="0" xfId="4" quotePrefix="1" applyFont="1" applyAlignment="1">
      <alignment horizontal="center" vertical="top"/>
    </xf>
    <xf numFmtId="0" fontId="63" fillId="0" borderId="4" xfId="2" applyFont="1" applyBorder="1" applyAlignment="1" applyProtection="1">
      <alignment horizontal="center" vertical="center" wrapText="1"/>
      <protection locked="0"/>
    </xf>
    <xf numFmtId="0" fontId="63" fillId="0" borderId="5" xfId="2" applyFont="1" applyBorder="1" applyAlignment="1" applyProtection="1">
      <alignment horizontal="center" vertical="center" wrapText="1"/>
      <protection locked="0"/>
    </xf>
    <xf numFmtId="1" fontId="63" fillId="0" borderId="1" xfId="1" applyNumberFormat="1" applyFont="1" applyBorder="1" applyAlignment="1" applyProtection="1">
      <alignment horizontal="center" vertical="center" wrapText="1"/>
      <protection locked="0" hidden="1"/>
    </xf>
    <xf numFmtId="1" fontId="63" fillId="0" borderId="4" xfId="1" applyNumberFormat="1" applyFont="1" applyBorder="1" applyAlignment="1" applyProtection="1">
      <alignment horizontal="center" vertical="center" wrapText="1"/>
      <protection locked="0" hidden="1"/>
    </xf>
    <xf numFmtId="1" fontId="63" fillId="0" borderId="3" xfId="1" applyNumberFormat="1" applyFont="1" applyBorder="1" applyAlignment="1" applyProtection="1">
      <alignment horizontal="center" vertical="center" wrapText="1"/>
      <protection locked="0" hidden="1"/>
    </xf>
    <xf numFmtId="1" fontId="63" fillId="0" borderId="5" xfId="1" applyNumberFormat="1" applyFont="1" applyBorder="1" applyAlignment="1" applyProtection="1">
      <alignment horizontal="center" vertical="center" wrapText="1"/>
      <protection locked="0" hidden="1"/>
    </xf>
    <xf numFmtId="0" fontId="62" fillId="0" borderId="4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62" fillId="0" borderId="3" xfId="0" applyFont="1" applyFill="1" applyBorder="1"/>
    <xf numFmtId="0" fontId="62" fillId="0" borderId="5" xfId="0" applyFont="1" applyFill="1" applyBorder="1"/>
    <xf numFmtId="0" fontId="60" fillId="0" borderId="4" xfId="0" applyFont="1" applyFill="1" applyBorder="1"/>
    <xf numFmtId="0" fontId="60" fillId="0" borderId="3" xfId="0" applyFont="1" applyFill="1" applyBorder="1"/>
    <xf numFmtId="0" fontId="61" fillId="0" borderId="23" xfId="0" applyFont="1" applyFill="1" applyBorder="1" applyAlignment="1">
      <alignment horizontal="center"/>
    </xf>
    <xf numFmtId="0" fontId="61" fillId="0" borderId="4" xfId="0" applyFont="1" applyFill="1" applyBorder="1"/>
    <xf numFmtId="0" fontId="61" fillId="0" borderId="5" xfId="0" applyFont="1" applyFill="1" applyBorder="1"/>
    <xf numFmtId="0" fontId="61" fillId="0" borderId="3" xfId="0" applyFont="1" applyFill="1" applyBorder="1"/>
    <xf numFmtId="0" fontId="60" fillId="0" borderId="3" xfId="0" applyFont="1" applyFill="1" applyBorder="1" applyAlignment="1">
      <alignment horizontal="center"/>
    </xf>
    <xf numFmtId="0" fontId="60" fillId="0" borderId="4" xfId="0" applyFont="1" applyFill="1" applyBorder="1" applyAlignment="1">
      <alignment horizontal="center"/>
    </xf>
    <xf numFmtId="0" fontId="62" fillId="0" borderId="4" xfId="0" applyFont="1" applyFill="1" applyBorder="1" applyAlignment="1">
      <alignment horizontal="center"/>
    </xf>
    <xf numFmtId="0" fontId="61" fillId="0" borderId="4" xfId="0" applyFont="1" applyFill="1" applyBorder="1" applyAlignment="1">
      <alignment horizontal="center"/>
    </xf>
    <xf numFmtId="0" fontId="60" fillId="0" borderId="19" xfId="0" applyFont="1" applyFill="1" applyBorder="1" applyAlignment="1">
      <alignment horizontal="center"/>
    </xf>
    <xf numFmtId="0" fontId="60" fillId="0" borderId="19" xfId="0" applyFont="1" applyBorder="1" applyAlignment="1">
      <alignment horizontal="center"/>
    </xf>
    <xf numFmtId="1" fontId="62" fillId="0" borderId="23" xfId="0" applyNumberFormat="1" applyFont="1" applyBorder="1" applyAlignment="1">
      <alignment horizontal="center" vertical="center"/>
    </xf>
    <xf numFmtId="1" fontId="60" fillId="0" borderId="25" xfId="0" applyNumberFormat="1" applyFont="1" applyBorder="1" applyAlignment="1">
      <alignment horizontal="center" vertical="center"/>
    </xf>
    <xf numFmtId="0" fontId="64" fillId="0" borderId="23" xfId="0" applyFont="1" applyFill="1" applyBorder="1" applyAlignment="1">
      <alignment horizontal="center"/>
    </xf>
    <xf numFmtId="1" fontId="60" fillId="0" borderId="25" xfId="0" applyNumberFormat="1" applyFont="1" applyFill="1" applyBorder="1" applyAlignment="1">
      <alignment horizontal="center" vertical="center"/>
    </xf>
    <xf numFmtId="1" fontId="60" fillId="0" borderId="25" xfId="0" applyNumberFormat="1" applyFont="1" applyFill="1" applyBorder="1" applyAlignment="1">
      <alignment vertical="center"/>
    </xf>
    <xf numFmtId="0" fontId="63" fillId="0" borderId="7" xfId="2" applyFont="1" applyBorder="1" applyAlignment="1" applyProtection="1">
      <alignment horizontal="center" vertical="center" wrapText="1"/>
      <protection locked="0"/>
    </xf>
    <xf numFmtId="0" fontId="63" fillId="0" borderId="24" xfId="2" applyFont="1" applyBorder="1" applyAlignment="1" applyProtection="1">
      <alignment horizontal="center" vertical="center" wrapText="1"/>
      <protection locked="0"/>
    </xf>
    <xf numFmtId="0" fontId="60" fillId="0" borderId="7" xfId="0" applyFont="1" applyFill="1" applyBorder="1" applyAlignment="1">
      <alignment horizontal="center" vertical="center"/>
    </xf>
    <xf numFmtId="1" fontId="7" fillId="0" borderId="1" xfId="1" applyNumberFormat="1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8" fillId="0" borderId="1" xfId="1" applyNumberFormat="1" applyFont="1" applyBorder="1" applyAlignment="1" applyProtection="1">
      <alignment horizontal="center" vertical="center" wrapText="1"/>
      <protection locked="0" hidden="1"/>
    </xf>
    <xf numFmtId="0" fontId="18" fillId="0" borderId="1" xfId="3" applyFont="1" applyBorder="1" applyAlignment="1" applyProtection="1">
      <alignment horizontal="center" vertical="center" wrapText="1" shrinkToFit="1"/>
      <protection locked="0" hidden="1"/>
    </xf>
    <xf numFmtId="1" fontId="7" fillId="0" borderId="0" xfId="1" applyNumberFormat="1" applyFont="1" applyAlignment="1" applyProtection="1">
      <alignment horizontal="center" vertical="center" wrapText="1"/>
      <protection hidden="1"/>
    </xf>
    <xf numFmtId="0" fontId="12" fillId="0" borderId="1" xfId="3" applyFont="1" applyBorder="1" applyAlignment="1" applyProtection="1">
      <alignment horizontal="center" vertical="center" wrapText="1" shrinkToFit="1"/>
      <protection hidden="1"/>
    </xf>
    <xf numFmtId="1" fontId="7" fillId="0" borderId="0" xfId="1" applyNumberFormat="1" applyFont="1" applyAlignment="1" applyProtection="1">
      <alignment horizontal="center" vertical="top" wrapText="1"/>
      <protection hidden="1"/>
    </xf>
    <xf numFmtId="1" fontId="18" fillId="0" borderId="0" xfId="1" applyNumberFormat="1" applyFont="1" applyAlignment="1" applyProtection="1">
      <alignment horizontal="left" wrapText="1"/>
      <protection locked="0" hidden="1"/>
    </xf>
    <xf numFmtId="0" fontId="20" fillId="0" borderId="1" xfId="0" applyFont="1" applyBorder="1" applyAlignment="1">
      <alignment horizontal="center" vertical="top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59" fillId="0" borderId="0" xfId="4" applyFont="1" applyAlignment="1">
      <alignment horizontal="center" vertical="top"/>
    </xf>
    <xf numFmtId="0" fontId="7" fillId="0" borderId="0" xfId="4" applyFont="1" applyAlignment="1">
      <alignment horizontal="center" vertical="top"/>
    </xf>
    <xf numFmtId="0" fontId="7" fillId="0" borderId="0" xfId="4" quotePrefix="1" applyFont="1" applyAlignment="1">
      <alignment horizontal="center" vertical="top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3" fillId="0" borderId="4" xfId="2" applyFont="1" applyBorder="1" applyAlignment="1" applyProtection="1">
      <alignment horizontal="center" vertical="center" wrapText="1"/>
      <protection locked="0"/>
    </xf>
    <xf numFmtId="0" fontId="63" fillId="0" borderId="5" xfId="2" applyFont="1" applyBorder="1" applyAlignment="1" applyProtection="1">
      <alignment horizontal="center" vertical="center" wrapText="1"/>
      <protection locked="0"/>
    </xf>
    <xf numFmtId="1" fontId="63" fillId="0" borderId="4" xfId="1" applyNumberFormat="1" applyFont="1" applyBorder="1" applyAlignment="1" applyProtection="1">
      <alignment horizontal="center" vertical="center" wrapText="1"/>
      <protection locked="0" hidden="1"/>
    </xf>
    <xf numFmtId="1" fontId="63" fillId="0" borderId="3" xfId="1" applyNumberFormat="1" applyFont="1" applyBorder="1" applyAlignment="1" applyProtection="1">
      <alignment horizontal="center" vertical="center" wrapText="1"/>
      <protection locked="0" hidden="1"/>
    </xf>
    <xf numFmtId="1" fontId="63" fillId="0" borderId="5" xfId="1" applyNumberFormat="1" applyFont="1" applyBorder="1" applyAlignment="1" applyProtection="1">
      <alignment horizontal="center" vertical="center" wrapText="1"/>
      <protection locked="0" hidden="1"/>
    </xf>
    <xf numFmtId="1" fontId="60" fillId="0" borderId="25" xfId="0" applyNumberFormat="1" applyFont="1" applyFill="1" applyBorder="1" applyAlignment="1">
      <alignment horizontal="center" vertical="center"/>
    </xf>
    <xf numFmtId="0" fontId="63" fillId="0" borderId="24" xfId="2" applyFont="1" applyBorder="1" applyAlignment="1" applyProtection="1">
      <alignment horizontal="center" vertical="center" wrapText="1"/>
      <protection locked="0"/>
    </xf>
    <xf numFmtId="0" fontId="61" fillId="0" borderId="4" xfId="0" applyFont="1" applyFill="1" applyBorder="1" applyAlignment="1">
      <alignment horizontal="left"/>
    </xf>
    <xf numFmtId="0" fontId="61" fillId="0" borderId="7" xfId="0" applyFont="1" applyFill="1" applyBorder="1"/>
    <xf numFmtId="0" fontId="60" fillId="0" borderId="8" xfId="0" applyFont="1" applyFill="1" applyBorder="1"/>
    <xf numFmtId="0" fontId="61" fillId="0" borderId="6" xfId="0" applyFont="1" applyBorder="1"/>
    <xf numFmtId="0" fontId="61" fillId="0" borderId="8" xfId="0" applyFont="1" applyBorder="1"/>
    <xf numFmtId="0" fontId="61" fillId="0" borderId="9" xfId="0" applyFont="1" applyBorder="1"/>
    <xf numFmtId="0" fontId="60" fillId="0" borderId="10" xfId="0" applyFont="1" applyBorder="1"/>
    <xf numFmtId="0" fontId="61" fillId="0" borderId="2" xfId="0" applyFont="1" applyBorder="1"/>
    <xf numFmtId="0" fontId="61" fillId="0" borderId="10" xfId="0" applyFont="1" applyBorder="1"/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8" fillId="0" borderId="1" xfId="1" applyNumberFormat="1" applyFont="1" applyBorder="1" applyAlignment="1" applyProtection="1">
      <alignment horizontal="center" vertical="center" wrapText="1"/>
      <protection locked="0" hidden="1"/>
    </xf>
    <xf numFmtId="0" fontId="18" fillId="0" borderId="1" xfId="3" applyFont="1" applyBorder="1" applyAlignment="1" applyProtection="1">
      <alignment horizontal="center" vertical="center" wrapText="1" shrinkToFit="1"/>
      <protection locked="0" hidden="1"/>
    </xf>
    <xf numFmtId="1" fontId="7" fillId="0" borderId="0" xfId="1" applyNumberFormat="1" applyFont="1" applyAlignment="1" applyProtection="1">
      <alignment horizontal="center" vertical="center" wrapText="1"/>
      <protection hidden="1"/>
    </xf>
    <xf numFmtId="0" fontId="12" fillId="0" borderId="1" xfId="3" applyFont="1" applyBorder="1" applyAlignment="1" applyProtection="1">
      <alignment horizontal="center" vertical="center" wrapText="1" shrinkToFit="1"/>
      <protection hidden="1"/>
    </xf>
    <xf numFmtId="1" fontId="7" fillId="0" borderId="0" xfId="1" applyNumberFormat="1" applyFont="1" applyAlignment="1" applyProtection="1">
      <alignment horizontal="center" vertical="top" wrapText="1"/>
      <protection hidden="1"/>
    </xf>
    <xf numFmtId="1" fontId="18" fillId="0" borderId="0" xfId="1" applyNumberFormat="1" applyFont="1" applyAlignment="1" applyProtection="1">
      <alignment horizontal="left" wrapText="1"/>
      <protection locked="0" hidden="1"/>
    </xf>
    <xf numFmtId="0" fontId="20" fillId="0" borderId="1" xfId="0" applyFont="1" applyBorder="1" applyAlignment="1">
      <alignment horizontal="center" vertical="top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59" fillId="0" borderId="0" xfId="4" applyFont="1" applyAlignment="1">
      <alignment horizontal="center" vertical="top"/>
    </xf>
    <xf numFmtId="0" fontId="7" fillId="0" borderId="0" xfId="4" applyFont="1" applyAlignment="1">
      <alignment horizontal="center" vertical="top"/>
    </xf>
    <xf numFmtId="0" fontId="7" fillId="0" borderId="0" xfId="4" quotePrefix="1" applyFont="1" applyAlignment="1">
      <alignment horizontal="center" vertical="top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3" fillId="0" borderId="4" xfId="2" applyFont="1" applyBorder="1" applyAlignment="1" applyProtection="1">
      <alignment horizontal="center" vertical="center" wrapText="1"/>
      <protection locked="0"/>
    </xf>
    <xf numFmtId="0" fontId="63" fillId="0" borderId="5" xfId="2" applyFont="1" applyBorder="1" applyAlignment="1" applyProtection="1">
      <alignment horizontal="center" vertical="center" wrapText="1"/>
      <protection locked="0"/>
    </xf>
    <xf numFmtId="1" fontId="63" fillId="0" borderId="4" xfId="1" applyNumberFormat="1" applyFont="1" applyBorder="1" applyAlignment="1" applyProtection="1">
      <alignment horizontal="center" vertical="center" wrapText="1"/>
      <protection locked="0" hidden="1"/>
    </xf>
    <xf numFmtId="1" fontId="63" fillId="0" borderId="3" xfId="1" applyNumberFormat="1" applyFont="1" applyBorder="1" applyAlignment="1" applyProtection="1">
      <alignment horizontal="center" vertical="center" wrapText="1"/>
      <protection locked="0" hidden="1"/>
    </xf>
    <xf numFmtId="1" fontId="63" fillId="0" borderId="5" xfId="1" applyNumberFormat="1" applyFont="1" applyBorder="1" applyAlignment="1" applyProtection="1">
      <alignment horizontal="center" vertical="center" wrapText="1"/>
      <protection locked="0" hidden="1"/>
    </xf>
    <xf numFmtId="0" fontId="62" fillId="0" borderId="1" xfId="0" applyFont="1" applyFill="1" applyBorder="1"/>
    <xf numFmtId="0" fontId="60" fillId="0" borderId="22" xfId="0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horizontal="center"/>
    </xf>
    <xf numFmtId="0" fontId="60" fillId="0" borderId="48" xfId="0" applyFont="1" applyFill="1" applyBorder="1" applyAlignment="1">
      <alignment horizontal="center"/>
    </xf>
    <xf numFmtId="0" fontId="64" fillId="0" borderId="7" xfId="0" applyFont="1" applyFill="1" applyBorder="1"/>
    <xf numFmtId="0" fontId="61" fillId="0" borderId="6" xfId="0" applyFont="1" applyFill="1" applyBorder="1"/>
    <xf numFmtId="0" fontId="61" fillId="0" borderId="8" xfId="0" applyFont="1" applyFill="1" applyBorder="1"/>
    <xf numFmtId="0" fontId="61" fillId="0" borderId="9" xfId="0" applyFont="1" applyFill="1" applyBorder="1"/>
    <xf numFmtId="0" fontId="60" fillId="0" borderId="10" xfId="0" applyFont="1" applyFill="1" applyBorder="1"/>
    <xf numFmtId="0" fontId="61" fillId="0" borderId="2" xfId="0" applyFont="1" applyFill="1" applyBorder="1"/>
    <xf numFmtId="0" fontId="61" fillId="0" borderId="10" xfId="0" applyFont="1" applyFill="1" applyBorder="1"/>
    <xf numFmtId="0" fontId="61" fillId="0" borderId="0" xfId="0" applyFont="1" applyFill="1" applyBorder="1" applyAlignment="1"/>
    <xf numFmtId="0" fontId="60" fillId="0" borderId="6" xfId="0" applyFont="1" applyFill="1" applyBorder="1"/>
    <xf numFmtId="0" fontId="61" fillId="0" borderId="11" xfId="0" applyFont="1" applyFill="1" applyBorder="1" applyAlignment="1"/>
    <xf numFmtId="0" fontId="61" fillId="0" borderId="54" xfId="0" applyFont="1" applyFill="1" applyBorder="1" applyAlignment="1"/>
    <xf numFmtId="0" fontId="64" fillId="0" borderId="9" xfId="0" applyFont="1" applyFill="1" applyBorder="1"/>
    <xf numFmtId="0" fontId="60" fillId="0" borderId="2" xfId="0" applyFont="1" applyFill="1" applyBorder="1"/>
    <xf numFmtId="0" fontId="62" fillId="0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0" fontId="60" fillId="0" borderId="24" xfId="0" applyFont="1" applyFill="1" applyBorder="1" applyAlignment="1">
      <alignment horizontal="center" vertical="center"/>
    </xf>
    <xf numFmtId="1" fontId="60" fillId="0" borderId="25" xfId="0" applyNumberFormat="1" applyFont="1" applyFill="1" applyBorder="1" applyAlignment="1">
      <alignment horizontal="center" vertical="center"/>
    </xf>
    <xf numFmtId="0" fontId="60" fillId="0" borderId="24" xfId="0" applyFont="1" applyFill="1" applyBorder="1" applyAlignment="1">
      <alignment horizontal="center" vertical="center"/>
    </xf>
    <xf numFmtId="0" fontId="60" fillId="0" borderId="26" xfId="0" applyFont="1" applyFill="1" applyBorder="1" applyAlignment="1">
      <alignment horizontal="center" vertical="center"/>
    </xf>
    <xf numFmtId="1" fontId="63" fillId="0" borderId="7" xfId="1" applyNumberFormat="1" applyFont="1" applyBorder="1" applyAlignment="1" applyProtection="1">
      <alignment vertical="center" wrapText="1"/>
      <protection locked="0" hidden="1"/>
    </xf>
    <xf numFmtId="1" fontId="63" fillId="0" borderId="6" xfId="1" applyNumberFormat="1" applyFont="1" applyBorder="1" applyAlignment="1" applyProtection="1">
      <alignment vertical="center" wrapText="1"/>
      <protection locked="0" hidden="1"/>
    </xf>
    <xf numFmtId="1" fontId="63" fillId="0" borderId="8" xfId="1" applyNumberFormat="1" applyFont="1" applyBorder="1" applyAlignment="1" applyProtection="1">
      <alignment vertical="center" wrapText="1"/>
      <protection locked="0" hidden="1"/>
    </xf>
    <xf numFmtId="1" fontId="63" fillId="0" borderId="9" xfId="1" applyNumberFormat="1" applyFont="1" applyBorder="1" applyAlignment="1" applyProtection="1">
      <alignment vertical="center" wrapText="1"/>
      <protection locked="0" hidden="1"/>
    </xf>
    <xf numFmtId="1" fontId="63" fillId="0" borderId="2" xfId="1" applyNumberFormat="1" applyFont="1" applyBorder="1" applyAlignment="1" applyProtection="1">
      <alignment vertical="center" wrapText="1"/>
      <protection locked="0" hidden="1"/>
    </xf>
    <xf numFmtId="1" fontId="63" fillId="0" borderId="10" xfId="1" applyNumberFormat="1" applyFont="1" applyBorder="1" applyAlignment="1" applyProtection="1">
      <alignment vertical="center" wrapText="1"/>
      <protection locked="0" hidden="1"/>
    </xf>
    <xf numFmtId="0" fontId="63" fillId="0" borderId="7" xfId="2" applyFont="1" applyBorder="1" applyAlignment="1" applyProtection="1">
      <alignment vertical="center" wrapText="1"/>
      <protection locked="0"/>
    </xf>
    <xf numFmtId="0" fontId="63" fillId="0" borderId="8" xfId="2" applyFont="1" applyBorder="1" applyAlignment="1" applyProtection="1">
      <alignment vertical="center" wrapText="1"/>
      <protection locked="0"/>
    </xf>
    <xf numFmtId="0" fontId="63" fillId="0" borderId="9" xfId="2" applyFont="1" applyBorder="1" applyAlignment="1" applyProtection="1">
      <alignment vertical="center" wrapText="1"/>
      <protection locked="0"/>
    </xf>
    <xf numFmtId="0" fontId="63" fillId="0" borderId="10" xfId="2" applyFont="1" applyBorder="1" applyAlignment="1" applyProtection="1">
      <alignment vertical="center" wrapText="1"/>
      <protection locked="0"/>
    </xf>
    <xf numFmtId="0" fontId="63" fillId="0" borderId="24" xfId="2" applyFont="1" applyBorder="1" applyAlignment="1" applyProtection="1">
      <alignment vertical="center" wrapText="1"/>
      <protection locked="0"/>
    </xf>
    <xf numFmtId="0" fontId="63" fillId="0" borderId="20" xfId="2" applyFont="1" applyBorder="1" applyAlignment="1" applyProtection="1">
      <alignment vertical="center" wrapText="1"/>
      <protection locked="0"/>
    </xf>
    <xf numFmtId="1" fontId="60" fillId="0" borderId="19" xfId="0" applyNumberFormat="1" applyFont="1" applyBorder="1" applyAlignment="1">
      <alignment horizontal="center" vertical="center"/>
    </xf>
    <xf numFmtId="0" fontId="60" fillId="0" borderId="23" xfId="0" applyFont="1" applyFill="1" applyBorder="1" applyAlignment="1">
      <alignment horizontal="center"/>
    </xf>
    <xf numFmtId="0" fontId="60" fillId="0" borderId="4" xfId="0" applyFont="1" applyFill="1" applyBorder="1" applyAlignment="1"/>
    <xf numFmtId="0" fontId="60" fillId="0" borderId="5" xfId="0" applyFont="1" applyFill="1" applyBorder="1" applyAlignment="1"/>
    <xf numFmtId="0" fontId="61" fillId="0" borderId="9" xfId="0" applyFont="1" applyFill="1" applyBorder="1" applyAlignment="1"/>
    <xf numFmtId="0" fontId="61" fillId="0" borderId="2" xfId="0" applyFont="1" applyFill="1" applyBorder="1" applyAlignment="1"/>
    <xf numFmtId="0" fontId="61" fillId="0" borderId="10" xfId="0" applyFont="1" applyFill="1" applyBorder="1" applyAlignment="1"/>
    <xf numFmtId="0" fontId="61" fillId="0" borderId="7" xfId="0" applyFont="1" applyFill="1" applyBorder="1" applyAlignment="1"/>
    <xf numFmtId="0" fontId="61" fillId="0" borderId="6" xfId="0" applyFont="1" applyFill="1" applyBorder="1" applyAlignment="1"/>
    <xf numFmtId="0" fontId="61" fillId="0" borderId="8" xfId="0" applyFont="1" applyFill="1" applyBorder="1" applyAlignment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1" fontId="18" fillId="0" borderId="1" xfId="1" applyNumberFormat="1" applyFont="1" applyBorder="1" applyAlignment="1" applyProtection="1">
      <alignment vertical="center" wrapText="1"/>
      <protection locked="0" hidden="1"/>
    </xf>
    <xf numFmtId="1" fontId="18" fillId="0" borderId="1" xfId="1" applyNumberFormat="1" applyFont="1" applyBorder="1" applyAlignment="1" applyProtection="1">
      <alignment horizontal="center" vertical="center" wrapText="1"/>
      <protection locked="0" hidden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8" fillId="0" borderId="1" xfId="1" applyNumberFormat="1" applyFont="1" applyBorder="1" applyAlignment="1" applyProtection="1">
      <alignment horizontal="left" vertical="center" wrapText="1"/>
      <protection locked="0" hidden="1"/>
    </xf>
    <xf numFmtId="165" fontId="18" fillId="0" borderId="1" xfId="1" applyNumberFormat="1" applyFont="1" applyBorder="1" applyAlignment="1" applyProtection="1">
      <alignment horizontal="left" vertical="center" wrapText="1"/>
      <protection locked="0" hidden="1"/>
    </xf>
    <xf numFmtId="0" fontId="18" fillId="0" borderId="1" xfId="3" applyFont="1" applyBorder="1" applyAlignment="1" applyProtection="1">
      <alignment horizontal="center" vertical="center" wrapText="1" shrinkToFit="1"/>
      <protection locked="0" hidden="1"/>
    </xf>
    <xf numFmtId="165" fontId="7" fillId="0" borderId="0" xfId="1" applyNumberFormat="1" applyFont="1" applyAlignment="1" applyProtection="1">
      <alignment horizontal="center" vertical="center" wrapText="1"/>
      <protection hidden="1"/>
    </xf>
    <xf numFmtId="1" fontId="7" fillId="0" borderId="0" xfId="1" applyNumberFormat="1" applyFont="1" applyAlignment="1" applyProtection="1">
      <alignment horizontal="center" vertical="center" wrapText="1"/>
      <protection hidden="1"/>
    </xf>
    <xf numFmtId="165" fontId="12" fillId="0" borderId="1" xfId="1" applyNumberFormat="1" applyFont="1" applyBorder="1" applyAlignment="1" applyProtection="1">
      <alignment horizontal="center" vertical="center" wrapText="1"/>
      <protection hidden="1"/>
    </xf>
    <xf numFmtId="0" fontId="12" fillId="0" borderId="1" xfId="3" applyFont="1" applyBorder="1" applyAlignment="1" applyProtection="1">
      <alignment horizontal="center" vertical="center" wrapText="1" shrinkToFit="1"/>
      <protection hidden="1"/>
    </xf>
    <xf numFmtId="1" fontId="18" fillId="0" borderId="2" xfId="1" applyNumberFormat="1" applyFont="1" applyBorder="1" applyAlignment="1" applyProtection="1">
      <alignment horizontal="left" wrapText="1"/>
      <protection locked="0" hidden="1"/>
    </xf>
    <xf numFmtId="1" fontId="7" fillId="0" borderId="0" xfId="1" applyNumberFormat="1" applyFont="1" applyAlignment="1" applyProtection="1">
      <alignment horizontal="center" vertical="top" wrapText="1"/>
      <protection hidden="1"/>
    </xf>
    <xf numFmtId="1" fontId="18" fillId="0" borderId="3" xfId="1" applyNumberFormat="1" applyFont="1" applyBorder="1" applyAlignment="1" applyProtection="1">
      <alignment horizontal="left" wrapText="1"/>
      <protection locked="0" hidden="1"/>
    </xf>
    <xf numFmtId="1" fontId="18" fillId="0" borderId="0" xfId="1" applyNumberFormat="1" applyFont="1" applyAlignment="1" applyProtection="1">
      <alignment horizontal="left" wrapText="1"/>
      <protection locked="0" hidden="1"/>
    </xf>
    <xf numFmtId="0" fontId="20" fillId="0" borderId="1" xfId="0" applyFont="1" applyBorder="1" applyAlignment="1">
      <alignment horizontal="center" vertical="top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left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6" fillId="0" borderId="2" xfId="4" applyFont="1" applyBorder="1" applyAlignment="1" applyProtection="1">
      <alignment horizontal="center" vertical="top"/>
      <protection locked="0"/>
    </xf>
    <xf numFmtId="0" fontId="7" fillId="0" borderId="6" xfId="4" applyFont="1" applyBorder="1" applyAlignment="1">
      <alignment horizontal="center" vertical="top"/>
    </xf>
    <xf numFmtId="0" fontId="7" fillId="0" borderId="6" xfId="1" applyFont="1" applyBorder="1" applyAlignment="1">
      <alignment horizontal="center" vertical="top"/>
    </xf>
    <xf numFmtId="10" fontId="17" fillId="0" borderId="7" xfId="0" applyNumberFormat="1" applyFont="1" applyBorder="1" applyAlignment="1" applyProtection="1">
      <alignment horizontal="center" vertical="center" wrapText="1"/>
      <protection locked="0"/>
    </xf>
    <xf numFmtId="10" fontId="17" fillId="0" borderId="8" xfId="0" applyNumberFormat="1" applyFont="1" applyBorder="1" applyAlignment="1" applyProtection="1">
      <alignment horizontal="center" vertical="center" wrapText="1"/>
      <protection locked="0"/>
    </xf>
    <xf numFmtId="10" fontId="17" fillId="0" borderId="9" xfId="0" applyNumberFormat="1" applyFont="1" applyBorder="1" applyAlignment="1" applyProtection="1">
      <alignment horizontal="center" vertical="center" wrapText="1"/>
      <protection locked="0"/>
    </xf>
    <xf numFmtId="10" fontId="17" fillId="0" borderId="10" xfId="0" applyNumberFormat="1" applyFont="1" applyBorder="1" applyAlignment="1" applyProtection="1">
      <alignment horizontal="center" vertical="center" wrapText="1"/>
      <protection locked="0"/>
    </xf>
    <xf numFmtId="9" fontId="17" fillId="0" borderId="7" xfId="0" applyNumberFormat="1" applyFont="1" applyBorder="1" applyAlignment="1" applyProtection="1">
      <alignment horizontal="center" vertical="center" wrapText="1"/>
      <protection locked="0"/>
    </xf>
    <xf numFmtId="9" fontId="17" fillId="0" borderId="8" xfId="0" applyNumberFormat="1" applyFont="1" applyBorder="1" applyAlignment="1" applyProtection="1">
      <alignment horizontal="center" vertical="center" wrapText="1"/>
      <protection locked="0"/>
    </xf>
    <xf numFmtId="9" fontId="17" fillId="0" borderId="9" xfId="0" applyNumberFormat="1" applyFont="1" applyBorder="1" applyAlignment="1" applyProtection="1">
      <alignment horizontal="center" vertical="center" wrapText="1"/>
      <protection locked="0"/>
    </xf>
    <xf numFmtId="9" fontId="17" fillId="0" borderId="10" xfId="0" applyNumberFormat="1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64" fontId="28" fillId="0" borderId="0" xfId="8" applyFont="1" applyBorder="1" applyAlignment="1">
      <alignment horizontal="center"/>
    </xf>
    <xf numFmtId="164" fontId="28" fillId="0" borderId="35" xfId="8" applyFont="1" applyBorder="1" applyAlignment="1">
      <alignment horizontal="center"/>
    </xf>
    <xf numFmtId="164" fontId="0" fillId="0" borderId="14" xfId="8" applyFont="1" applyBorder="1" applyAlignment="1">
      <alignment horizontal="center"/>
    </xf>
    <xf numFmtId="0" fontId="28" fillId="0" borderId="0" xfId="0" applyFont="1" applyAlignment="1">
      <alignment horizontal="left"/>
    </xf>
    <xf numFmtId="164" fontId="28" fillId="0" borderId="0" xfId="8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4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0" fontId="28" fillId="0" borderId="0" xfId="6" applyNumberFormat="1" applyFont="1" applyBorder="1" applyAlignment="1">
      <alignment horizontal="right"/>
    </xf>
    <xf numFmtId="0" fontId="29" fillId="0" borderId="4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30" fillId="0" borderId="4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28" fillId="0" borderId="4" xfId="7" applyFont="1" applyBorder="1" applyAlignment="1">
      <alignment horizontal="left" vertical="center"/>
    </xf>
    <xf numFmtId="0" fontId="28" fillId="0" borderId="3" xfId="7" applyFont="1" applyBorder="1" applyAlignment="1">
      <alignment horizontal="left" vertical="center"/>
    </xf>
    <xf numFmtId="0" fontId="28" fillId="0" borderId="5" xfId="7" applyFont="1" applyBorder="1" applyAlignment="1">
      <alignment horizontal="left" vertical="center"/>
    </xf>
    <xf numFmtId="0" fontId="29" fillId="0" borderId="4" xfId="7" applyFont="1" applyBorder="1" applyAlignment="1">
      <alignment horizontal="left" vertical="center"/>
    </xf>
    <xf numFmtId="0" fontId="29" fillId="0" borderId="3" xfId="7" applyFont="1" applyBorder="1" applyAlignment="1">
      <alignment horizontal="left" vertical="center"/>
    </xf>
    <xf numFmtId="0" fontId="29" fillId="0" borderId="5" xfId="7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43" fontId="0" fillId="0" borderId="0" xfId="5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9" fillId="0" borderId="1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16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30" fillId="0" borderId="9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left" vertical="center" wrapText="1"/>
    </xf>
    <xf numFmtId="0" fontId="47" fillId="2" borderId="3" xfId="0" applyFont="1" applyFill="1" applyBorder="1" applyAlignment="1">
      <alignment horizontal="center"/>
    </xf>
    <xf numFmtId="0" fontId="47" fillId="2" borderId="5" xfId="0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166" fontId="51" fillId="0" borderId="0" xfId="0" applyNumberFormat="1" applyFont="1" applyAlignment="1">
      <alignment horizontal="center"/>
    </xf>
    <xf numFmtId="0" fontId="42" fillId="0" borderId="0" xfId="0" applyFont="1" applyAlignment="1">
      <alignment horizontal="left" vertical="top"/>
    </xf>
    <xf numFmtId="0" fontId="49" fillId="0" borderId="2" xfId="0" applyFont="1" applyBorder="1" applyAlignment="1">
      <alignment horizontal="left" vertical="top" wrapText="1"/>
    </xf>
    <xf numFmtId="0" fontId="5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vertical="center"/>
    </xf>
    <xf numFmtId="0" fontId="57" fillId="2" borderId="24" xfId="0" applyFont="1" applyFill="1" applyBorder="1" applyAlignment="1">
      <alignment horizontal="center" vertical="center"/>
    </xf>
    <xf numFmtId="0" fontId="57" fillId="2" borderId="20" xfId="0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6" fillId="0" borderId="0" xfId="4" applyFont="1" applyAlignment="1" applyProtection="1">
      <alignment horizontal="center" vertical="top"/>
      <protection locked="0"/>
    </xf>
    <xf numFmtId="0" fontId="58" fillId="0" borderId="0" xfId="4" applyFont="1" applyAlignment="1">
      <alignment horizontal="center" vertical="top"/>
    </xf>
    <xf numFmtId="0" fontId="59" fillId="0" borderId="0" xfId="4" applyFont="1" applyAlignment="1">
      <alignment horizontal="center" vertical="top"/>
    </xf>
    <xf numFmtId="0" fontId="6" fillId="0" borderId="0" xfId="4" applyFont="1" applyAlignment="1" applyProtection="1">
      <alignment horizontal="center" vertical="center"/>
      <protection locked="0"/>
    </xf>
    <xf numFmtId="0" fontId="7" fillId="0" borderId="0" xfId="4" applyFont="1" applyAlignment="1">
      <alignment horizontal="center" vertical="top"/>
    </xf>
    <xf numFmtId="0" fontId="7" fillId="0" borderId="0" xfId="4" quotePrefix="1" applyFont="1" applyAlignment="1">
      <alignment horizontal="center" vertical="top"/>
    </xf>
    <xf numFmtId="10" fontId="17" fillId="0" borderId="7" xfId="6" applyNumberFormat="1" applyFont="1" applyBorder="1" applyAlignment="1" applyProtection="1">
      <alignment horizontal="center" vertical="center" wrapText="1"/>
      <protection locked="0"/>
    </xf>
    <xf numFmtId="10" fontId="17" fillId="0" borderId="8" xfId="6" applyNumberFormat="1" applyFont="1" applyBorder="1" applyAlignment="1" applyProtection="1">
      <alignment horizontal="center" vertical="center" wrapText="1"/>
      <protection locked="0"/>
    </xf>
    <xf numFmtId="10" fontId="17" fillId="0" borderId="9" xfId="6" applyNumberFormat="1" applyFont="1" applyBorder="1" applyAlignment="1" applyProtection="1">
      <alignment horizontal="center" vertical="center" wrapText="1"/>
      <protection locked="0"/>
    </xf>
    <xf numFmtId="10" fontId="17" fillId="0" borderId="10" xfId="6" applyNumberFormat="1" applyFont="1" applyBorder="1" applyAlignment="1" applyProtection="1">
      <alignment horizontal="center" vertical="center" wrapText="1"/>
      <protection locked="0"/>
    </xf>
    <xf numFmtId="17" fontId="1" fillId="0" borderId="3" xfId="0" applyNumberFormat="1" applyFont="1" applyBorder="1" applyAlignment="1">
      <alignment horizontal="center" vertical="center" wrapText="1"/>
    </xf>
    <xf numFmtId="1" fontId="18" fillId="0" borderId="0" xfId="1" applyNumberFormat="1" applyFont="1" applyAlignment="1" applyProtection="1">
      <alignment horizontal="left" vertical="top" wrapText="1"/>
      <protection hidden="1"/>
    </xf>
    <xf numFmtId="0" fontId="58" fillId="0" borderId="2" xfId="4" applyFont="1" applyBorder="1" applyAlignment="1">
      <alignment horizontal="center" vertical="top"/>
    </xf>
    <xf numFmtId="0" fontId="59" fillId="0" borderId="2" xfId="4" applyFont="1" applyBorder="1" applyAlignment="1">
      <alignment horizontal="center" vertical="top"/>
    </xf>
    <xf numFmtId="0" fontId="7" fillId="0" borderId="2" xfId="4" applyFont="1" applyBorder="1" applyAlignment="1" applyProtection="1">
      <alignment horizontal="center" vertical="top"/>
      <protection locked="0"/>
    </xf>
    <xf numFmtId="0" fontId="17" fillId="0" borderId="2" xfId="4" applyFont="1" applyBorder="1" applyAlignment="1">
      <alignment horizontal="center" vertical="top"/>
    </xf>
    <xf numFmtId="0" fontId="7" fillId="0" borderId="2" xfId="4" applyFont="1" applyBorder="1" applyAlignment="1">
      <alignment horizontal="center" vertical="top"/>
    </xf>
    <xf numFmtId="0" fontId="62" fillId="12" borderId="45" xfId="0" applyFont="1" applyFill="1" applyBorder="1" applyAlignment="1">
      <alignment horizontal="center"/>
    </xf>
    <xf numFmtId="0" fontId="62" fillId="12" borderId="46" xfId="0" applyFont="1" applyFill="1" applyBorder="1" applyAlignment="1">
      <alignment horizontal="center"/>
    </xf>
    <xf numFmtId="0" fontId="62" fillId="12" borderId="47" xfId="0" applyFont="1" applyFill="1" applyBorder="1" applyAlignment="1">
      <alignment horizontal="center"/>
    </xf>
    <xf numFmtId="1" fontId="63" fillId="12" borderId="45" xfId="1" applyNumberFormat="1" applyFont="1" applyFill="1" applyBorder="1" applyAlignment="1" applyProtection="1">
      <alignment horizontal="center" vertical="center" wrapText="1"/>
      <protection locked="0" hidden="1"/>
    </xf>
    <xf numFmtId="1" fontId="63" fillId="12" borderId="46" xfId="1" applyNumberFormat="1" applyFont="1" applyFill="1" applyBorder="1" applyAlignment="1" applyProtection="1">
      <alignment horizontal="center" vertical="center" wrapText="1"/>
      <protection locked="0" hidden="1"/>
    </xf>
    <xf numFmtId="1" fontId="63" fillId="12" borderId="47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12" borderId="4" xfId="0" applyFont="1" applyFill="1" applyBorder="1" applyAlignment="1">
      <alignment horizontal="center"/>
    </xf>
    <xf numFmtId="0" fontId="62" fillId="12" borderId="3" xfId="0" applyFont="1" applyFill="1" applyBorder="1" applyAlignment="1">
      <alignment horizontal="center"/>
    </xf>
    <xf numFmtId="0" fontId="62" fillId="12" borderId="5" xfId="0" applyFont="1" applyFill="1" applyBorder="1" applyAlignment="1">
      <alignment horizontal="center"/>
    </xf>
    <xf numFmtId="1" fontId="63" fillId="12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61" fillId="0" borderId="4" xfId="0" applyFont="1" applyBorder="1" applyAlignment="1">
      <alignment horizontal="left"/>
    </xf>
    <xf numFmtId="0" fontId="61" fillId="0" borderId="3" xfId="0" applyFont="1" applyBorder="1" applyAlignment="1">
      <alignment horizontal="left"/>
    </xf>
    <xf numFmtId="0" fontId="61" fillId="0" borderId="5" xfId="0" applyFont="1" applyBorder="1" applyAlignment="1">
      <alignment horizontal="left"/>
    </xf>
    <xf numFmtId="1" fontId="63" fillId="12" borderId="4" xfId="1" applyNumberFormat="1" applyFont="1" applyFill="1" applyBorder="1" applyAlignment="1" applyProtection="1">
      <alignment horizontal="center" vertical="center" wrapText="1"/>
      <protection locked="0" hidden="1"/>
    </xf>
    <xf numFmtId="1" fontId="63" fillId="12" borderId="3" xfId="1" applyNumberFormat="1" applyFont="1" applyFill="1" applyBorder="1" applyAlignment="1" applyProtection="1">
      <alignment horizontal="center" vertical="center" wrapText="1"/>
      <protection locked="0" hidden="1"/>
    </xf>
    <xf numFmtId="1" fontId="63" fillId="12" borderId="5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13" borderId="4" xfId="0" applyFont="1" applyFill="1" applyBorder="1" applyAlignment="1">
      <alignment horizontal="left"/>
    </xf>
    <xf numFmtId="0" fontId="62" fillId="13" borderId="3" xfId="0" applyFont="1" applyFill="1" applyBorder="1" applyAlignment="1">
      <alignment horizontal="left"/>
    </xf>
    <xf numFmtId="0" fontId="62" fillId="13" borderId="43" xfId="0" applyFont="1" applyFill="1" applyBorder="1" applyAlignment="1">
      <alignment horizontal="left"/>
    </xf>
    <xf numFmtId="0" fontId="60" fillId="0" borderId="4" xfId="0" applyFont="1" applyBorder="1" applyAlignment="1">
      <alignment horizontal="left"/>
    </xf>
    <xf numFmtId="0" fontId="60" fillId="0" borderId="3" xfId="0" applyFont="1" applyBorder="1" applyAlignment="1">
      <alignment horizontal="left"/>
    </xf>
    <xf numFmtId="0" fontId="60" fillId="0" borderId="5" xfId="0" applyFont="1" applyBorder="1" applyAlignment="1">
      <alignment horizontal="left"/>
    </xf>
    <xf numFmtId="0" fontId="62" fillId="14" borderId="4" xfId="0" applyFont="1" applyFill="1" applyBorder="1" applyAlignment="1">
      <alignment horizontal="left"/>
    </xf>
    <xf numFmtId="0" fontId="62" fillId="14" borderId="3" xfId="0" applyFont="1" applyFill="1" applyBorder="1" applyAlignment="1">
      <alignment horizontal="left"/>
    </xf>
    <xf numFmtId="0" fontId="62" fillId="14" borderId="43" xfId="0" applyFont="1" applyFill="1" applyBorder="1" applyAlignment="1">
      <alignment horizontal="left"/>
    </xf>
    <xf numFmtId="0" fontId="4" fillId="0" borderId="4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" fontId="60" fillId="0" borderId="25" xfId="0" applyNumberFormat="1" applyFont="1" applyFill="1" applyBorder="1" applyAlignment="1">
      <alignment horizontal="center" vertical="center"/>
    </xf>
    <xf numFmtId="1" fontId="60" fillId="0" borderId="19" xfId="0" applyNumberFormat="1" applyFont="1" applyFill="1" applyBorder="1" applyAlignment="1">
      <alignment horizontal="center" vertical="center"/>
    </xf>
    <xf numFmtId="1" fontId="63" fillId="0" borderId="7" xfId="1" applyNumberFormat="1" applyFont="1" applyBorder="1" applyAlignment="1" applyProtection="1">
      <alignment horizontal="center" vertical="center" wrapText="1"/>
      <protection locked="0" hidden="1"/>
    </xf>
    <xf numFmtId="1" fontId="63" fillId="0" borderId="6" xfId="1" applyNumberFormat="1" applyFont="1" applyBorder="1" applyAlignment="1" applyProtection="1">
      <alignment horizontal="center" vertical="center" wrapText="1"/>
      <protection locked="0" hidden="1"/>
    </xf>
    <xf numFmtId="1" fontId="63" fillId="0" borderId="8" xfId="1" applyNumberFormat="1" applyFont="1" applyBorder="1" applyAlignment="1" applyProtection="1">
      <alignment horizontal="center" vertical="center" wrapText="1"/>
      <protection locked="0" hidden="1"/>
    </xf>
    <xf numFmtId="1" fontId="63" fillId="0" borderId="9" xfId="1" applyNumberFormat="1" applyFont="1" applyBorder="1" applyAlignment="1" applyProtection="1">
      <alignment horizontal="center" vertical="center" wrapText="1"/>
      <protection locked="0" hidden="1"/>
    </xf>
    <xf numFmtId="1" fontId="63" fillId="0" borderId="2" xfId="1" applyNumberFormat="1" applyFont="1" applyBorder="1" applyAlignment="1" applyProtection="1">
      <alignment horizontal="center" vertical="center" wrapText="1"/>
      <protection locked="0" hidden="1"/>
    </xf>
    <xf numFmtId="1" fontId="63" fillId="0" borderId="10" xfId="1" applyNumberFormat="1" applyFont="1" applyBorder="1" applyAlignment="1" applyProtection="1">
      <alignment horizontal="center" vertical="center" wrapText="1"/>
      <protection locked="0" hidden="1"/>
    </xf>
    <xf numFmtId="0" fontId="63" fillId="0" borderId="7" xfId="2" applyFont="1" applyBorder="1" applyAlignment="1" applyProtection="1">
      <alignment horizontal="center" vertical="center" wrapText="1"/>
      <protection locked="0"/>
    </xf>
    <xf numFmtId="0" fontId="63" fillId="0" borderId="8" xfId="2" applyFont="1" applyBorder="1" applyAlignment="1" applyProtection="1">
      <alignment horizontal="center" vertical="center" wrapText="1"/>
      <protection locked="0"/>
    </xf>
    <xf numFmtId="0" fontId="63" fillId="0" borderId="9" xfId="2" applyFont="1" applyBorder="1" applyAlignment="1" applyProtection="1">
      <alignment horizontal="center" vertical="center" wrapText="1"/>
      <protection locked="0"/>
    </xf>
    <xf numFmtId="0" fontId="63" fillId="0" borderId="10" xfId="2" applyFont="1" applyBorder="1" applyAlignment="1" applyProtection="1">
      <alignment horizontal="center" vertical="center" wrapText="1"/>
      <protection locked="0"/>
    </xf>
    <xf numFmtId="0" fontId="63" fillId="0" borderId="24" xfId="2" applyFont="1" applyBorder="1" applyAlignment="1" applyProtection="1">
      <alignment horizontal="center" vertical="center" wrapText="1"/>
      <protection locked="0"/>
    </xf>
    <xf numFmtId="0" fontId="63" fillId="0" borderId="20" xfId="2" applyFont="1" applyBorder="1" applyAlignment="1" applyProtection="1">
      <alignment horizontal="center" vertical="center" wrapText="1"/>
      <protection locked="0"/>
    </xf>
    <xf numFmtId="0" fontId="60" fillId="0" borderId="24" xfId="0" applyFont="1" applyFill="1" applyBorder="1" applyAlignment="1">
      <alignment horizontal="center"/>
    </xf>
    <xf numFmtId="0" fontId="60" fillId="0" borderId="20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61" fillId="0" borderId="7" xfId="0" applyFont="1" applyFill="1" applyBorder="1" applyAlignment="1">
      <alignment horizontal="left" wrapText="1"/>
    </xf>
    <xf numFmtId="0" fontId="61" fillId="0" borderId="6" xfId="0" applyFont="1" applyFill="1" applyBorder="1" applyAlignment="1">
      <alignment horizontal="left" wrapText="1"/>
    </xf>
    <xf numFmtId="0" fontId="61" fillId="0" borderId="8" xfId="0" applyFont="1" applyFill="1" applyBorder="1" applyAlignment="1">
      <alignment horizontal="left" wrapText="1"/>
    </xf>
    <xf numFmtId="0" fontId="61" fillId="0" borderId="9" xfId="0" applyFont="1" applyFill="1" applyBorder="1" applyAlignment="1">
      <alignment horizontal="left" wrapText="1"/>
    </xf>
    <xf numFmtId="0" fontId="61" fillId="0" borderId="2" xfId="0" applyFont="1" applyFill="1" applyBorder="1" applyAlignment="1">
      <alignment horizontal="left" wrapText="1"/>
    </xf>
    <xf numFmtId="0" fontId="61" fillId="0" borderId="10" xfId="0" applyFont="1" applyFill="1" applyBorder="1" applyAlignment="1">
      <alignment horizontal="left" wrapText="1"/>
    </xf>
    <xf numFmtId="0" fontId="4" fillId="0" borderId="2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3" fillId="0" borderId="1" xfId="1" applyNumberFormat="1" applyFont="1" applyBorder="1" applyAlignment="1" applyProtection="1">
      <alignment horizontal="center" vertical="center" wrapText="1"/>
      <protection locked="0" hidden="1"/>
    </xf>
    <xf numFmtId="2" fontId="63" fillId="0" borderId="4" xfId="2" applyNumberFormat="1" applyFont="1" applyBorder="1" applyAlignment="1" applyProtection="1">
      <alignment horizontal="center" vertical="center" wrapText="1"/>
      <protection locked="0"/>
    </xf>
    <xf numFmtId="2" fontId="63" fillId="0" borderId="5" xfId="2" applyNumberFormat="1" applyFont="1" applyBorder="1" applyAlignment="1" applyProtection="1">
      <alignment horizontal="center" vertical="center" wrapText="1"/>
      <protection locked="0"/>
    </xf>
    <xf numFmtId="0" fontId="62" fillId="0" borderId="4" xfId="0" applyFont="1" applyBorder="1" applyAlignment="1">
      <alignment horizontal="center"/>
    </xf>
    <xf numFmtId="0" fontId="62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66" fillId="0" borderId="4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60" fillId="0" borderId="4" xfId="0" applyFont="1" applyFill="1" applyBorder="1" applyAlignment="1">
      <alignment horizontal="left"/>
    </xf>
    <xf numFmtId="0" fontId="60" fillId="0" borderId="3" xfId="0" applyFont="1" applyFill="1" applyBorder="1" applyAlignment="1">
      <alignment horizontal="left"/>
    </xf>
    <xf numFmtId="0" fontId="60" fillId="0" borderId="5" xfId="0" applyFont="1" applyFill="1" applyBorder="1" applyAlignment="1">
      <alignment horizontal="left"/>
    </xf>
    <xf numFmtId="0" fontId="63" fillId="0" borderId="4" xfId="2" applyFont="1" applyBorder="1" applyAlignment="1" applyProtection="1">
      <alignment horizontal="center" vertical="center" wrapText="1"/>
      <protection locked="0"/>
    </xf>
    <xf numFmtId="0" fontId="63" fillId="0" borderId="5" xfId="2" applyFont="1" applyBorder="1" applyAlignment="1" applyProtection="1">
      <alignment horizontal="center" vertical="center" wrapText="1"/>
      <protection locked="0"/>
    </xf>
    <xf numFmtId="0" fontId="60" fillId="0" borderId="4" xfId="0" applyFont="1" applyFill="1" applyBorder="1" applyAlignment="1">
      <alignment horizontal="left" vertical="center" wrapText="1"/>
    </xf>
    <xf numFmtId="0" fontId="60" fillId="0" borderId="3" xfId="0" applyFont="1" applyFill="1" applyBorder="1" applyAlignment="1">
      <alignment horizontal="left" vertical="center" wrapText="1"/>
    </xf>
    <xf numFmtId="0" fontId="60" fillId="0" borderId="5" xfId="0" applyFont="1" applyFill="1" applyBorder="1" applyAlignment="1">
      <alignment horizontal="left" vertical="center" wrapText="1"/>
    </xf>
    <xf numFmtId="1" fontId="63" fillId="0" borderId="4" xfId="1" applyNumberFormat="1" applyFont="1" applyBorder="1" applyAlignment="1" applyProtection="1">
      <alignment horizontal="center" vertical="center" wrapText="1"/>
      <protection locked="0" hidden="1"/>
    </xf>
    <xf numFmtId="1" fontId="63" fillId="0" borderId="3" xfId="1" applyNumberFormat="1" applyFont="1" applyBorder="1" applyAlignment="1" applyProtection="1">
      <alignment horizontal="center" vertical="center" wrapText="1"/>
      <protection locked="0" hidden="1"/>
    </xf>
    <xf numFmtId="1" fontId="63" fillId="0" borderId="5" xfId="1" applyNumberFormat="1" applyFont="1" applyBorder="1" applyAlignment="1" applyProtection="1">
      <alignment horizontal="center" vertical="center" wrapText="1"/>
      <protection locked="0" hidden="1"/>
    </xf>
    <xf numFmtId="0" fontId="18" fillId="0" borderId="4" xfId="3" applyFont="1" applyBorder="1" applyAlignment="1" applyProtection="1">
      <alignment horizontal="center" vertical="center" wrapText="1" shrinkToFit="1"/>
      <protection locked="0" hidden="1"/>
    </xf>
    <xf numFmtId="0" fontId="18" fillId="0" borderId="5" xfId="3" applyFont="1" applyBorder="1" applyAlignment="1" applyProtection="1">
      <alignment horizontal="center" vertical="center" wrapText="1" shrinkToFit="1"/>
      <protection locked="0" hidden="1"/>
    </xf>
    <xf numFmtId="1" fontId="63" fillId="0" borderId="48" xfId="1" applyNumberFormat="1" applyFont="1" applyBorder="1" applyAlignment="1" applyProtection="1">
      <alignment horizontal="center" vertical="center" wrapText="1"/>
      <protection locked="0" hidden="1"/>
    </xf>
    <xf numFmtId="0" fontId="63" fillId="0" borderId="45" xfId="2" applyFont="1" applyBorder="1" applyAlignment="1" applyProtection="1">
      <alignment horizontal="center" vertical="center" wrapText="1"/>
      <protection locked="0"/>
    </xf>
    <xf numFmtId="0" fontId="63" fillId="0" borderId="47" xfId="2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>
      <alignment horizontal="center" vertical="top"/>
    </xf>
    <xf numFmtId="0" fontId="20" fillId="0" borderId="3" xfId="0" applyFont="1" applyBorder="1" applyAlignment="1">
      <alignment horizontal="center" vertical="top"/>
    </xf>
    <xf numFmtId="0" fontId="20" fillId="0" borderId="5" xfId="0" applyFont="1" applyBorder="1" applyAlignment="1">
      <alignment horizontal="center" vertical="top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65" fillId="0" borderId="2" xfId="4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>
      <alignment horizontal="center" vertical="center" wrapText="1"/>
    </xf>
    <xf numFmtId="9" fontId="17" fillId="0" borderId="6" xfId="0" applyNumberFormat="1" applyFont="1" applyBorder="1" applyAlignment="1" applyProtection="1">
      <alignment horizontal="center" vertical="center" wrapText="1"/>
      <protection locked="0"/>
    </xf>
    <xf numFmtId="9" fontId="17" fillId="0" borderId="2" xfId="0" applyNumberFormat="1" applyFont="1" applyBorder="1" applyAlignment="1" applyProtection="1">
      <alignment horizontal="center" vertical="center" wrapText="1"/>
      <protection locked="0"/>
    </xf>
    <xf numFmtId="0" fontId="64" fillId="0" borderId="4" xfId="0" applyFont="1" applyFill="1" applyBorder="1" applyAlignment="1">
      <alignment horizontal="center"/>
    </xf>
    <xf numFmtId="0" fontId="64" fillId="0" borderId="3" xfId="0" applyFont="1" applyFill="1" applyBorder="1" applyAlignment="1">
      <alignment horizontal="center"/>
    </xf>
    <xf numFmtId="0" fontId="64" fillId="0" borderId="5" xfId="0" applyFont="1" applyFill="1" applyBorder="1" applyAlignment="1">
      <alignment horizontal="center"/>
    </xf>
    <xf numFmtId="0" fontId="61" fillId="0" borderId="4" xfId="0" applyFont="1" applyFill="1" applyBorder="1" applyAlignment="1">
      <alignment horizontal="left"/>
    </xf>
    <xf numFmtId="0" fontId="61" fillId="0" borderId="3" xfId="0" applyFont="1" applyFill="1" applyBorder="1" applyAlignment="1">
      <alignment horizontal="left"/>
    </xf>
    <xf numFmtId="0" fontId="61" fillId="0" borderId="5" xfId="0" applyFont="1" applyFill="1" applyBorder="1" applyAlignment="1">
      <alignment horizontal="left"/>
    </xf>
    <xf numFmtId="0" fontId="61" fillId="0" borderId="4" xfId="0" applyFont="1" applyFill="1" applyBorder="1" applyAlignment="1">
      <alignment horizontal="center"/>
    </xf>
    <xf numFmtId="0" fontId="61" fillId="0" borderId="3" xfId="0" applyFont="1" applyFill="1" applyBorder="1" applyAlignment="1">
      <alignment horizontal="center"/>
    </xf>
    <xf numFmtId="0" fontId="61" fillId="0" borderId="5" xfId="0" applyFont="1" applyFill="1" applyBorder="1" applyAlignment="1">
      <alignment horizontal="center"/>
    </xf>
    <xf numFmtId="0" fontId="66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left" vertical="center" wrapText="1"/>
    </xf>
    <xf numFmtId="0" fontId="60" fillId="0" borderId="3" xfId="0" applyFont="1" applyBorder="1" applyAlignment="1">
      <alignment horizontal="left" vertical="center" wrapText="1"/>
    </xf>
    <xf numFmtId="0" fontId="60" fillId="0" borderId="5" xfId="0" applyFont="1" applyBorder="1" applyAlignment="1">
      <alignment horizontal="left" vertical="center" wrapText="1"/>
    </xf>
    <xf numFmtId="0" fontId="11" fillId="12" borderId="7" xfId="0" applyFont="1" applyFill="1" applyBorder="1" applyAlignment="1">
      <alignment horizontal="center" vertical="top" wrapText="1"/>
    </xf>
    <xf numFmtId="0" fontId="11" fillId="12" borderId="9" xfId="0" applyFont="1" applyFill="1" applyBorder="1" applyAlignment="1">
      <alignment horizontal="center" vertical="top" wrapText="1"/>
    </xf>
    <xf numFmtId="1" fontId="7" fillId="0" borderId="24" xfId="1" applyNumberFormat="1" applyFont="1" applyBorder="1" applyAlignment="1" applyProtection="1">
      <alignment horizontal="center" vertical="center" wrapText="1"/>
      <protection hidden="1"/>
    </xf>
    <xf numFmtId="1" fontId="7" fillId="0" borderId="20" xfId="1" applyNumberFormat="1" applyFont="1" applyBorder="1" applyAlignment="1" applyProtection="1">
      <alignment horizontal="center" vertical="center" wrapText="1"/>
      <protection hidden="1"/>
    </xf>
    <xf numFmtId="0" fontId="62" fillId="0" borderId="4" xfId="0" applyFont="1" applyFill="1" applyBorder="1" applyAlignment="1">
      <alignment horizontal="left"/>
    </xf>
    <xf numFmtId="0" fontId="62" fillId="0" borderId="3" xfId="0" applyFont="1" applyFill="1" applyBorder="1" applyAlignment="1">
      <alignment horizontal="left"/>
    </xf>
    <xf numFmtId="0" fontId="62" fillId="0" borderId="5" xfId="0" applyFont="1" applyFill="1" applyBorder="1" applyAlignment="1">
      <alignment horizontal="left"/>
    </xf>
    <xf numFmtId="0" fontId="60" fillId="0" borderId="7" xfId="0" applyFont="1" applyFill="1" applyBorder="1" applyAlignment="1">
      <alignment horizontal="left" wrapText="1"/>
    </xf>
    <xf numFmtId="0" fontId="60" fillId="0" borderId="6" xfId="0" applyFont="1" applyFill="1" applyBorder="1" applyAlignment="1">
      <alignment horizontal="left" wrapText="1"/>
    </xf>
    <xf numFmtId="0" fontId="60" fillId="0" borderId="8" xfId="0" applyFont="1" applyFill="1" applyBorder="1" applyAlignment="1">
      <alignment horizontal="left" wrapText="1"/>
    </xf>
    <xf numFmtId="2" fontId="63" fillId="0" borderId="7" xfId="2" applyNumberFormat="1" applyFont="1" applyBorder="1" applyAlignment="1" applyProtection="1">
      <alignment horizontal="center" vertical="center" wrapText="1"/>
      <protection locked="0"/>
    </xf>
    <xf numFmtId="2" fontId="63" fillId="0" borderId="8" xfId="2" applyNumberFormat="1" applyFont="1" applyBorder="1" applyAlignment="1" applyProtection="1">
      <alignment horizontal="center" vertical="center" wrapText="1"/>
      <protection locked="0"/>
    </xf>
    <xf numFmtId="0" fontId="61" fillId="0" borderId="45" xfId="0" applyFont="1" applyBorder="1" applyAlignment="1">
      <alignment horizontal="center"/>
    </xf>
    <xf numFmtId="0" fontId="61" fillId="0" borderId="46" xfId="0" applyFont="1" applyBorder="1" applyAlignment="1">
      <alignment horizontal="center"/>
    </xf>
    <xf numFmtId="0" fontId="61" fillId="0" borderId="47" xfId="0" applyFont="1" applyBorder="1" applyAlignment="1">
      <alignment horizontal="center"/>
    </xf>
    <xf numFmtId="1" fontId="60" fillId="0" borderId="52" xfId="0" applyNumberFormat="1" applyFont="1" applyFill="1" applyBorder="1" applyAlignment="1">
      <alignment horizontal="center" vertical="center"/>
    </xf>
    <xf numFmtId="1" fontId="60" fillId="0" borderId="53" xfId="0" applyNumberFormat="1" applyFont="1" applyFill="1" applyBorder="1" applyAlignment="1">
      <alignment horizontal="center" vertical="center"/>
    </xf>
    <xf numFmtId="0" fontId="60" fillId="0" borderId="24" xfId="0" applyFont="1" applyFill="1" applyBorder="1" applyAlignment="1">
      <alignment horizontal="center" vertical="center"/>
    </xf>
    <xf numFmtId="0" fontId="60" fillId="0" borderId="20" xfId="0" applyFont="1" applyFill="1" applyBorder="1" applyAlignment="1">
      <alignment horizontal="center" vertical="center"/>
    </xf>
    <xf numFmtId="2" fontId="63" fillId="0" borderId="9" xfId="2" applyNumberFormat="1" applyFont="1" applyBorder="1" applyAlignment="1" applyProtection="1">
      <alignment horizontal="center" vertical="center" wrapText="1"/>
      <protection locked="0"/>
    </xf>
    <xf numFmtId="2" fontId="63" fillId="0" borderId="10" xfId="2" applyNumberFormat="1" applyFont="1" applyBorder="1" applyAlignment="1" applyProtection="1">
      <alignment horizontal="center" vertical="center" wrapText="1"/>
      <protection locked="0"/>
    </xf>
    <xf numFmtId="0" fontId="60" fillId="0" borderId="9" xfId="0" applyFont="1" applyFill="1" applyBorder="1" applyAlignment="1">
      <alignment horizontal="left" wrapText="1"/>
    </xf>
    <xf numFmtId="0" fontId="60" fillId="0" borderId="2" xfId="0" applyFont="1" applyFill="1" applyBorder="1" applyAlignment="1">
      <alignment horizontal="left" wrapText="1"/>
    </xf>
    <xf numFmtId="0" fontId="60" fillId="0" borderId="10" xfId="0" applyFont="1" applyFill="1" applyBorder="1" applyAlignment="1">
      <alignment horizontal="left" wrapText="1"/>
    </xf>
    <xf numFmtId="0" fontId="64" fillId="0" borderId="4" xfId="0" applyFont="1" applyFill="1" applyBorder="1" applyAlignment="1">
      <alignment horizontal="left"/>
    </xf>
    <xf numFmtId="0" fontId="64" fillId="0" borderId="3" xfId="0" applyFont="1" applyFill="1" applyBorder="1" applyAlignment="1">
      <alignment horizontal="left"/>
    </xf>
    <xf numFmtId="0" fontId="64" fillId="0" borderId="5" xfId="0" applyFont="1" applyFill="1" applyBorder="1" applyAlignment="1">
      <alignment horizontal="left"/>
    </xf>
    <xf numFmtId="0" fontId="61" fillId="0" borderId="45" xfId="0" applyFont="1" applyFill="1" applyBorder="1" applyAlignment="1">
      <alignment horizontal="center"/>
    </xf>
    <xf numFmtId="0" fontId="61" fillId="0" borderId="46" xfId="0" applyFont="1" applyFill="1" applyBorder="1" applyAlignment="1">
      <alignment horizontal="center"/>
    </xf>
    <xf numFmtId="0" fontId="61" fillId="0" borderId="47" xfId="0" applyFont="1" applyFill="1" applyBorder="1" applyAlignment="1">
      <alignment horizontal="center"/>
    </xf>
    <xf numFmtId="0" fontId="60" fillId="0" borderId="4" xfId="0" applyFont="1" applyFill="1" applyBorder="1" applyAlignment="1">
      <alignment horizontal="left" wrapText="1"/>
    </xf>
    <xf numFmtId="0" fontId="60" fillId="0" borderId="3" xfId="0" applyFont="1" applyFill="1" applyBorder="1" applyAlignment="1">
      <alignment horizontal="left" wrapText="1"/>
    </xf>
    <xf numFmtId="0" fontId="60" fillId="0" borderId="5" xfId="0" applyFont="1" applyFill="1" applyBorder="1" applyAlignment="1">
      <alignment horizontal="left" wrapText="1"/>
    </xf>
    <xf numFmtId="0" fontId="60" fillId="0" borderId="7" xfId="0" applyFont="1" applyFill="1" applyBorder="1" applyAlignment="1">
      <alignment horizontal="center" vertical="center"/>
    </xf>
    <xf numFmtId="0" fontId="60" fillId="0" borderId="9" xfId="0" applyFont="1" applyFill="1" applyBorder="1" applyAlignment="1">
      <alignment horizontal="center" vertical="center"/>
    </xf>
    <xf numFmtId="0" fontId="60" fillId="0" borderId="26" xfId="0" applyFont="1" applyFill="1" applyBorder="1" applyAlignment="1">
      <alignment horizontal="center" vertical="center"/>
    </xf>
    <xf numFmtId="0" fontId="60" fillId="0" borderId="33" xfId="0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1" fillId="0" borderId="3" xfId="0" applyFont="1" applyBorder="1" applyAlignment="1">
      <alignment horizontal="center"/>
    </xf>
    <xf numFmtId="0" fontId="61" fillId="0" borderId="5" xfId="0" applyFont="1" applyBorder="1" applyAlignment="1">
      <alignment horizontal="center"/>
    </xf>
    <xf numFmtId="1" fontId="60" fillId="0" borderId="52" xfId="0" applyNumberFormat="1" applyFont="1" applyBorder="1" applyAlignment="1">
      <alignment horizontal="center" vertical="center"/>
    </xf>
    <xf numFmtId="1" fontId="60" fillId="0" borderId="53" xfId="0" applyNumberFormat="1" applyFont="1" applyBorder="1" applyAlignment="1">
      <alignment horizontal="center" vertical="center"/>
    </xf>
    <xf numFmtId="0" fontId="61" fillId="0" borderId="7" xfId="0" applyFont="1" applyBorder="1" applyAlignment="1">
      <alignment horizontal="left"/>
    </xf>
    <xf numFmtId="0" fontId="61" fillId="0" borderId="6" xfId="0" applyFont="1" applyBorder="1" applyAlignment="1">
      <alignment horizontal="left"/>
    </xf>
    <xf numFmtId="0" fontId="61" fillId="0" borderId="8" xfId="0" applyFont="1" applyBorder="1" applyAlignment="1">
      <alignment horizontal="left"/>
    </xf>
    <xf numFmtId="0" fontId="61" fillId="0" borderId="9" xfId="0" applyFont="1" applyBorder="1" applyAlignment="1">
      <alignment horizontal="left"/>
    </xf>
    <xf numFmtId="0" fontId="61" fillId="0" borderId="2" xfId="0" applyFont="1" applyBorder="1" applyAlignment="1">
      <alignment horizontal="left"/>
    </xf>
    <xf numFmtId="0" fontId="61" fillId="0" borderId="10" xfId="0" applyFont="1" applyBorder="1" applyAlignment="1">
      <alignment horizontal="left"/>
    </xf>
  </cellXfs>
  <cellStyles count="10">
    <cellStyle name="Comma" xfId="5" builtinId="3"/>
    <cellStyle name="Comma 3" xfId="8" xr:uid="{00000000-0005-0000-0000-000001000000}"/>
    <cellStyle name="Comma 4" xfId="9" xr:uid="{00000000-0005-0000-0000-000002000000}"/>
    <cellStyle name="Normal" xfId="0" builtinId="0"/>
    <cellStyle name="Normal 2" xfId="1" xr:uid="{00000000-0005-0000-0000-000004000000}"/>
    <cellStyle name="Normal 2 2" xfId="7" xr:uid="{00000000-0005-0000-0000-000005000000}"/>
    <cellStyle name="Normal_Aspect ID worksheet_meatprep 2" xfId="2" xr:uid="{00000000-0005-0000-0000-000006000000}"/>
    <cellStyle name="Normal_Book1" xfId="4" xr:uid="{00000000-0005-0000-0000-000007000000}"/>
    <cellStyle name="Normal_Consolidated HIRAC, TIP - 051708 2" xfId="3" xr:uid="{00000000-0005-0000-0000-000008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323407" cy="2731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514243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659123" cy="333242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5941" y="47940"/>
          <a:ext cx="1193338" cy="11768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609600</xdr:colOff>
      <xdr:row>0</xdr:row>
      <xdr:rowOff>0</xdr:rowOff>
    </xdr:from>
    <xdr:to>
      <xdr:col>11</xdr:col>
      <xdr:colOff>762000</xdr:colOff>
      <xdr:row>4</xdr:row>
      <xdr:rowOff>11458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0" y="0"/>
          <a:ext cx="1318260" cy="12611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338979</xdr:colOff>
      <xdr:row>2</xdr:row>
      <xdr:rowOff>13398</xdr:rowOff>
    </xdr:from>
    <xdr:to>
      <xdr:col>9</xdr:col>
      <xdr:colOff>214818</xdr:colOff>
      <xdr:row>4</xdr:row>
      <xdr:rowOff>94369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497719" y="417258"/>
          <a:ext cx="2314239" cy="4467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as of ________________________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142875</xdr:rowOff>
    </xdr:from>
    <xdr:to>
      <xdr:col>5</xdr:col>
      <xdr:colOff>615285</xdr:colOff>
      <xdr:row>0</xdr:row>
      <xdr:rowOff>142875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ShapeType="1"/>
        </xdr:cNvSpPr>
      </xdr:nvSpPr>
      <xdr:spPr bwMode="auto">
        <a:xfrm flipV="1">
          <a:off x="47625" y="142875"/>
          <a:ext cx="633600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0</xdr:col>
      <xdr:colOff>200026</xdr:colOff>
      <xdr:row>1</xdr:row>
      <xdr:rowOff>95251</xdr:rowOff>
    </xdr:from>
    <xdr:to>
      <xdr:col>1</xdr:col>
      <xdr:colOff>514350</xdr:colOff>
      <xdr:row>4</xdr:row>
      <xdr:rowOff>66675</xdr:rowOff>
    </xdr:to>
    <xdr:pic>
      <xdr:nvPicPr>
        <xdr:cNvPr id="3" name="Picture 18" descr="Description: PGCagayan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293371"/>
          <a:ext cx="588644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59055</xdr:colOff>
      <xdr:row>5</xdr:row>
      <xdr:rowOff>85725</xdr:rowOff>
    </xdr:from>
    <xdr:to>
      <xdr:col>5</xdr:col>
      <xdr:colOff>626715</xdr:colOff>
      <xdr:row>5</xdr:row>
      <xdr:rowOff>85725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ShapeType="1"/>
        </xdr:cNvSpPr>
      </xdr:nvSpPr>
      <xdr:spPr bwMode="auto">
        <a:xfrm flipV="1">
          <a:off x="59055" y="1091565"/>
          <a:ext cx="6336000" cy="0"/>
        </a:xfrm>
        <a:prstGeom prst="line">
          <a:avLst/>
        </a:prstGeom>
        <a:noFill/>
        <a:ln w="57150" cmpd="thinThick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PH"/>
        </a:p>
      </xdr:txBody>
    </xdr:sp>
    <xdr:clientData/>
  </xdr:twoCellAnchor>
  <xdr:twoCellAnchor>
    <xdr:from>
      <xdr:col>1</xdr:col>
      <xdr:colOff>2051685</xdr:colOff>
      <xdr:row>8</xdr:row>
      <xdr:rowOff>3809</xdr:rowOff>
    </xdr:from>
    <xdr:to>
      <xdr:col>1</xdr:col>
      <xdr:colOff>2552700</xdr:colOff>
      <xdr:row>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2326005" y="1649729"/>
          <a:ext cx="501015" cy="2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>
              <a:latin typeface="Times New Roman" pitchFamily="18" charset="0"/>
              <a:cs typeface="Times New Roman" pitchFamily="18" charset="0"/>
            </a:rPr>
            <a:t>As of</a:t>
          </a:r>
        </a:p>
      </xdr:txBody>
    </xdr:sp>
    <xdr:clientData/>
  </xdr:twoCellAnchor>
  <xdr:twoCellAnchor>
    <xdr:from>
      <xdr:col>0</xdr:col>
      <xdr:colOff>200025</xdr:colOff>
      <xdr:row>1</xdr:row>
      <xdr:rowOff>95250</xdr:rowOff>
    </xdr:from>
    <xdr:to>
      <xdr:col>1</xdr:col>
      <xdr:colOff>609600</xdr:colOff>
      <xdr:row>4</xdr:row>
      <xdr:rowOff>158226</xdr:rowOff>
    </xdr:to>
    <xdr:pic>
      <xdr:nvPicPr>
        <xdr:cNvPr id="6" name="Picture 18" descr="Description: PGCagayan 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93370"/>
          <a:ext cx="683895" cy="6573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10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35782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37339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10</xdr:col>
      <xdr:colOff>758431</xdr:colOff>
      <xdr:row>0</xdr:row>
      <xdr:rowOff>47940</xdr:rowOff>
    </xdr:from>
    <xdr:to>
      <xdr:col>11</xdr:col>
      <xdr:colOff>785442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1471" y="47940"/>
          <a:ext cx="1192871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78</xdr:row>
      <xdr:rowOff>433389</xdr:rowOff>
    </xdr:from>
    <xdr:to>
      <xdr:col>10</xdr:col>
      <xdr:colOff>331931</xdr:colOff>
      <xdr:row>79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18652809"/>
          <a:ext cx="935782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8</xdr:col>
      <xdr:colOff>65818</xdr:colOff>
      <xdr:row>78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18448020"/>
          <a:ext cx="737339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78</xdr:row>
      <xdr:rowOff>538294</xdr:rowOff>
    </xdr:from>
    <xdr:to>
      <xdr:col>4</xdr:col>
      <xdr:colOff>413479</xdr:colOff>
      <xdr:row>80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11906" y="1865103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10</xdr:col>
      <xdr:colOff>703013</xdr:colOff>
      <xdr:row>75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6053" y="17975722"/>
          <a:ext cx="1189061" cy="118265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A6DF2C25-B78A-40E0-B824-1CD3A61D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51784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13DA0825-7E9B-4E4B-BDD6-6AE783798413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55627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83058A95-F39B-4156-BC1E-674C5EF8B20D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714003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94E1B4-C705-47CF-95F1-14BE0B8E4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491" y="47940"/>
          <a:ext cx="1192870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89</xdr:row>
      <xdr:rowOff>433389</xdr:rowOff>
    </xdr:from>
    <xdr:to>
      <xdr:col>11</xdr:col>
      <xdr:colOff>331931</xdr:colOff>
      <xdr:row>90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155F6532-730F-4A61-9058-A38C92B5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19856769"/>
          <a:ext cx="951784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8</xdr:col>
      <xdr:colOff>65818</xdr:colOff>
      <xdr:row>89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A724CA54-D83D-4729-9E56-E77CA08452BE}"/>
            </a:ext>
          </a:extLst>
        </xdr:cNvPr>
        <xdr:cNvSpPr txBox="1">
          <a:spLocks noChangeArrowheads="1"/>
        </xdr:cNvSpPr>
      </xdr:nvSpPr>
      <xdr:spPr bwMode="auto">
        <a:xfrm>
          <a:off x="0" y="19651980"/>
          <a:ext cx="755627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89</xdr:row>
      <xdr:rowOff>538294</xdr:rowOff>
    </xdr:from>
    <xdr:to>
      <xdr:col>4</xdr:col>
      <xdr:colOff>413479</xdr:colOff>
      <xdr:row>91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7A6831BD-96E1-48D8-9E64-57131F76AA6E}"/>
            </a:ext>
          </a:extLst>
        </xdr:cNvPr>
        <xdr:cNvSpPr txBox="1">
          <a:spLocks noChangeArrowheads="1"/>
        </xdr:cNvSpPr>
      </xdr:nvSpPr>
      <xdr:spPr bwMode="auto">
        <a:xfrm>
          <a:off x="11906" y="1985499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86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D344C04A-6CE2-492B-AF98-20C765316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6073" y="19179682"/>
          <a:ext cx="1189061" cy="1182651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61E5D688-5A83-43A7-B68F-063194449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8809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FF881625-1D8A-43B9-B644-384061FB04F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247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670FEE4C-E288-432B-AE71-525EBD6F2845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785441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442E7F-C011-4622-86A4-F5F3A94D4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2831" y="47940"/>
          <a:ext cx="1192871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88</xdr:row>
      <xdr:rowOff>433389</xdr:rowOff>
    </xdr:from>
    <xdr:to>
      <xdr:col>11</xdr:col>
      <xdr:colOff>331931</xdr:colOff>
      <xdr:row>89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92870E61-CBBF-4963-9E16-243B3DFA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17898429"/>
          <a:ext cx="880918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8</xdr:col>
      <xdr:colOff>65818</xdr:colOff>
      <xdr:row>88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34E24AF7-6D95-4502-A296-C95262D09773}"/>
            </a:ext>
          </a:extLst>
        </xdr:cNvPr>
        <xdr:cNvSpPr txBox="1">
          <a:spLocks noChangeArrowheads="1"/>
        </xdr:cNvSpPr>
      </xdr:nvSpPr>
      <xdr:spPr bwMode="auto">
        <a:xfrm>
          <a:off x="0" y="17693640"/>
          <a:ext cx="682475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88</xdr:row>
      <xdr:rowOff>538294</xdr:rowOff>
    </xdr:from>
    <xdr:to>
      <xdr:col>4</xdr:col>
      <xdr:colOff>413479</xdr:colOff>
      <xdr:row>90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9A2900C8-6588-4EDA-BED3-AAFC065E09B8}"/>
            </a:ext>
          </a:extLst>
        </xdr:cNvPr>
        <xdr:cNvSpPr txBox="1">
          <a:spLocks noChangeArrowheads="1"/>
        </xdr:cNvSpPr>
      </xdr:nvSpPr>
      <xdr:spPr bwMode="auto">
        <a:xfrm>
          <a:off x="11906" y="1789665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85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473039E0-ACF4-4CBB-8AB9-470D67BA4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7413" y="17221342"/>
          <a:ext cx="1189061" cy="1182651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E44D411F-8E2D-4AAD-8267-C2357F266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83026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A4CABCEA-D3E6-48AE-80D2-440956232B52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86869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8279847D-A3CC-499D-B121-1EAB6A3589BF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785440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E6349A-7BA1-40DD-B140-735C1028E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3911" y="47940"/>
          <a:ext cx="1192869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105</xdr:row>
      <xdr:rowOff>433389</xdr:rowOff>
    </xdr:from>
    <xdr:to>
      <xdr:col>11</xdr:col>
      <xdr:colOff>331931</xdr:colOff>
      <xdr:row>106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E37FB9E0-8143-4550-9995-7E16AD339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20260629"/>
          <a:ext cx="983026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8</xdr:col>
      <xdr:colOff>65818</xdr:colOff>
      <xdr:row>105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D81A27F7-F243-4FD2-8966-53CF581526C5}"/>
            </a:ext>
          </a:extLst>
        </xdr:cNvPr>
        <xdr:cNvSpPr txBox="1">
          <a:spLocks noChangeArrowheads="1"/>
        </xdr:cNvSpPr>
      </xdr:nvSpPr>
      <xdr:spPr bwMode="auto">
        <a:xfrm>
          <a:off x="0" y="20055840"/>
          <a:ext cx="786869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105</xdr:row>
      <xdr:rowOff>538294</xdr:rowOff>
    </xdr:from>
    <xdr:to>
      <xdr:col>4</xdr:col>
      <xdr:colOff>413479</xdr:colOff>
      <xdr:row>107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449FC27E-A907-46A2-824B-7AC9BEC1CC06}"/>
            </a:ext>
          </a:extLst>
        </xdr:cNvPr>
        <xdr:cNvSpPr txBox="1">
          <a:spLocks noChangeArrowheads="1"/>
        </xdr:cNvSpPr>
      </xdr:nvSpPr>
      <xdr:spPr bwMode="auto">
        <a:xfrm>
          <a:off x="11906" y="2025885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102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8E676ED7-ADF7-4987-A1B1-70C8F19D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93" y="19583542"/>
          <a:ext cx="1189061" cy="1182651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669A8913-3B3B-4C27-84A6-575F4F68D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51784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368DA116-7242-412D-9911-A58EAA82900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55627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CF6B5E40-02C5-4F7F-8886-9B3013565A1E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785440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22A8E9-7526-4482-9616-54C86EB3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491" y="47940"/>
          <a:ext cx="1192870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94</xdr:row>
      <xdr:rowOff>433389</xdr:rowOff>
    </xdr:from>
    <xdr:to>
      <xdr:col>11</xdr:col>
      <xdr:colOff>331931</xdr:colOff>
      <xdr:row>95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4EC645EA-83B5-4790-A7BB-A8E430D7C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20085369"/>
          <a:ext cx="951784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8</xdr:col>
      <xdr:colOff>65818</xdr:colOff>
      <xdr:row>94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68C1384B-7B23-4C27-AB14-4ED6793B0EFB}"/>
            </a:ext>
          </a:extLst>
        </xdr:cNvPr>
        <xdr:cNvSpPr txBox="1">
          <a:spLocks noChangeArrowheads="1"/>
        </xdr:cNvSpPr>
      </xdr:nvSpPr>
      <xdr:spPr bwMode="auto">
        <a:xfrm>
          <a:off x="0" y="19880580"/>
          <a:ext cx="755627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94</xdr:row>
      <xdr:rowOff>538294</xdr:rowOff>
    </xdr:from>
    <xdr:to>
      <xdr:col>4</xdr:col>
      <xdr:colOff>413479</xdr:colOff>
      <xdr:row>96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5DE3096C-A8F2-4114-BB69-B60B8DD244DF}"/>
            </a:ext>
          </a:extLst>
        </xdr:cNvPr>
        <xdr:cNvSpPr txBox="1">
          <a:spLocks noChangeArrowheads="1"/>
        </xdr:cNvSpPr>
      </xdr:nvSpPr>
      <xdr:spPr bwMode="auto">
        <a:xfrm>
          <a:off x="11906" y="2008359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91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9B6F5C63-957E-4914-94E3-AA301D578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6073" y="19408282"/>
          <a:ext cx="1189061" cy="1182651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F3838D34-3B01-45F6-A507-6402D98BD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571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662FE512-28DD-468B-A846-DED2BD1F2DA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60961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1B847E44-04ED-4E85-9FB1-8EF20E1DD6DF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785440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834055-3537-4DD2-981B-6AA6E3C3C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831" y="47940"/>
          <a:ext cx="1192869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92</xdr:row>
      <xdr:rowOff>433389</xdr:rowOff>
    </xdr:from>
    <xdr:to>
      <xdr:col>11</xdr:col>
      <xdr:colOff>331931</xdr:colOff>
      <xdr:row>93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DA74FC61-3711-4136-AFD0-14430C87B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20877849"/>
          <a:ext cx="957118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8</xdr:col>
      <xdr:colOff>65818</xdr:colOff>
      <xdr:row>92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314B33F0-463E-4A2F-A399-76FFD4911D16}"/>
            </a:ext>
          </a:extLst>
        </xdr:cNvPr>
        <xdr:cNvSpPr txBox="1">
          <a:spLocks noChangeArrowheads="1"/>
        </xdr:cNvSpPr>
      </xdr:nvSpPr>
      <xdr:spPr bwMode="auto">
        <a:xfrm>
          <a:off x="0" y="20673060"/>
          <a:ext cx="760961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92</xdr:row>
      <xdr:rowOff>538294</xdr:rowOff>
    </xdr:from>
    <xdr:to>
      <xdr:col>4</xdr:col>
      <xdr:colOff>413479</xdr:colOff>
      <xdr:row>94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3F544999-063F-4DF8-A6AA-5854A4EB8ED8}"/>
            </a:ext>
          </a:extLst>
        </xdr:cNvPr>
        <xdr:cNvSpPr txBox="1">
          <a:spLocks noChangeArrowheads="1"/>
        </xdr:cNvSpPr>
      </xdr:nvSpPr>
      <xdr:spPr bwMode="auto">
        <a:xfrm>
          <a:off x="11906" y="2087607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89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06EEE93C-C639-4452-B7BD-92327BDC5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9413" y="20200762"/>
          <a:ext cx="1189061" cy="1182651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6415FAE6-060D-45DB-8FBF-E49C4920F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571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2500DA7A-2590-487D-A49F-117534F9342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60961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AB46F679-5206-4404-98EA-30AA53DEEADE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785440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49005E-A2B4-48C9-8C6E-CAB01D9E4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831" y="47940"/>
          <a:ext cx="1192869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91</xdr:row>
      <xdr:rowOff>433389</xdr:rowOff>
    </xdr:from>
    <xdr:to>
      <xdr:col>11</xdr:col>
      <xdr:colOff>331931</xdr:colOff>
      <xdr:row>92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27552548-FE78-4290-9401-43BEA49E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21083589"/>
          <a:ext cx="957118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8</xdr:col>
      <xdr:colOff>65818</xdr:colOff>
      <xdr:row>91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B0DA7146-2F3A-48DA-B402-710DD9407F41}"/>
            </a:ext>
          </a:extLst>
        </xdr:cNvPr>
        <xdr:cNvSpPr txBox="1">
          <a:spLocks noChangeArrowheads="1"/>
        </xdr:cNvSpPr>
      </xdr:nvSpPr>
      <xdr:spPr bwMode="auto">
        <a:xfrm>
          <a:off x="0" y="20878800"/>
          <a:ext cx="760961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91</xdr:row>
      <xdr:rowOff>538294</xdr:rowOff>
    </xdr:from>
    <xdr:to>
      <xdr:col>4</xdr:col>
      <xdr:colOff>413479</xdr:colOff>
      <xdr:row>93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99C24CF1-0280-4DA0-AFDE-44F572205EEE}"/>
            </a:ext>
          </a:extLst>
        </xdr:cNvPr>
        <xdr:cNvSpPr txBox="1">
          <a:spLocks noChangeArrowheads="1"/>
        </xdr:cNvSpPr>
      </xdr:nvSpPr>
      <xdr:spPr bwMode="auto">
        <a:xfrm>
          <a:off x="11906" y="2108181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88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F6ACBF07-4BB9-4835-8CE6-27F239C0B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9413" y="20406502"/>
          <a:ext cx="1189061" cy="1182651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14837022-2CE6-43A7-82F1-7565A228B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57118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007F46FC-ED88-49A9-8A6C-05F51D3FE7D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60961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3776657B-A8A8-47F3-A228-C3C6F7415A38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785440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7A2216-73A6-4D23-95A4-A0C2AF3C9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831" y="47940"/>
          <a:ext cx="1192869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75</xdr:row>
      <xdr:rowOff>433389</xdr:rowOff>
    </xdr:from>
    <xdr:to>
      <xdr:col>11</xdr:col>
      <xdr:colOff>331931</xdr:colOff>
      <xdr:row>76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7C824482-6E1B-4209-B057-210449366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21083589"/>
          <a:ext cx="957118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8</xdr:col>
      <xdr:colOff>65818</xdr:colOff>
      <xdr:row>75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F038766C-09BE-4817-9E0E-B0AE55187122}"/>
            </a:ext>
          </a:extLst>
        </xdr:cNvPr>
        <xdr:cNvSpPr txBox="1">
          <a:spLocks noChangeArrowheads="1"/>
        </xdr:cNvSpPr>
      </xdr:nvSpPr>
      <xdr:spPr bwMode="auto">
        <a:xfrm>
          <a:off x="0" y="20878800"/>
          <a:ext cx="760961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75</xdr:row>
      <xdr:rowOff>538294</xdr:rowOff>
    </xdr:from>
    <xdr:to>
      <xdr:col>4</xdr:col>
      <xdr:colOff>413479</xdr:colOff>
      <xdr:row>77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3C2E6644-5369-4293-9887-015CC0ABFCB4}"/>
            </a:ext>
          </a:extLst>
        </xdr:cNvPr>
        <xdr:cNvSpPr txBox="1">
          <a:spLocks noChangeArrowheads="1"/>
        </xdr:cNvSpPr>
      </xdr:nvSpPr>
      <xdr:spPr bwMode="auto">
        <a:xfrm>
          <a:off x="11906" y="2108181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72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8DB64774-0F37-4473-8FD6-20BD6B72B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9413" y="20406502"/>
          <a:ext cx="1189061" cy="1182651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3BDCD47B-9389-47EF-895E-76CB4015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66262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BE873B86-6A8D-4D3E-B734-FE887B297627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7010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E3B2EC35-79FB-4206-88E4-7DD954680ECC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785441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157233-64AC-44CC-A661-F8D9C973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6271" y="47940"/>
          <a:ext cx="1192870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89</xdr:row>
      <xdr:rowOff>433389</xdr:rowOff>
    </xdr:from>
    <xdr:to>
      <xdr:col>11</xdr:col>
      <xdr:colOff>331931</xdr:colOff>
      <xdr:row>90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6F8DEDE4-FF7F-465C-85DD-0288F28F1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19666269"/>
          <a:ext cx="966262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8</xdr:col>
      <xdr:colOff>65818</xdr:colOff>
      <xdr:row>89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54A86B16-EBE1-40BF-B0B5-558E90218717}"/>
            </a:ext>
          </a:extLst>
        </xdr:cNvPr>
        <xdr:cNvSpPr txBox="1">
          <a:spLocks noChangeArrowheads="1"/>
        </xdr:cNvSpPr>
      </xdr:nvSpPr>
      <xdr:spPr bwMode="auto">
        <a:xfrm>
          <a:off x="0" y="19461480"/>
          <a:ext cx="770105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89</xdr:row>
      <xdr:rowOff>538294</xdr:rowOff>
    </xdr:from>
    <xdr:to>
      <xdr:col>4</xdr:col>
      <xdr:colOff>413479</xdr:colOff>
      <xdr:row>91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FDB49723-6801-4610-B816-19FE3FA2B21E}"/>
            </a:ext>
          </a:extLst>
        </xdr:cNvPr>
        <xdr:cNvSpPr txBox="1">
          <a:spLocks noChangeArrowheads="1"/>
        </xdr:cNvSpPr>
      </xdr:nvSpPr>
      <xdr:spPr bwMode="auto">
        <a:xfrm>
          <a:off x="11906" y="1966449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86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C2B538FD-83B5-4904-8DF9-B12A6A8B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0853" y="18989182"/>
          <a:ext cx="1189061" cy="1182651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C332C375-7EC3-4CA8-8C65-2CEDCA7DA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66262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43CD0EB9-1666-404B-B93C-69073A48BC8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7010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F82A6EAF-F5B4-435B-8DC5-E5602827C1C4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785441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56F6FF-55DD-4539-A9B1-BC4153CB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6271" y="47940"/>
          <a:ext cx="1192870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89</xdr:row>
      <xdr:rowOff>433389</xdr:rowOff>
    </xdr:from>
    <xdr:to>
      <xdr:col>11</xdr:col>
      <xdr:colOff>331931</xdr:colOff>
      <xdr:row>90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DA687DE6-AF91-46A0-A20A-2C9F62596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19872009"/>
          <a:ext cx="966262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8</xdr:col>
      <xdr:colOff>65818</xdr:colOff>
      <xdr:row>89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2E66EFF7-9109-4134-9BD0-D803664D40CB}"/>
            </a:ext>
          </a:extLst>
        </xdr:cNvPr>
        <xdr:cNvSpPr txBox="1">
          <a:spLocks noChangeArrowheads="1"/>
        </xdr:cNvSpPr>
      </xdr:nvSpPr>
      <xdr:spPr bwMode="auto">
        <a:xfrm>
          <a:off x="0" y="19667220"/>
          <a:ext cx="770105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89</xdr:row>
      <xdr:rowOff>538294</xdr:rowOff>
    </xdr:from>
    <xdr:to>
      <xdr:col>4</xdr:col>
      <xdr:colOff>413479</xdr:colOff>
      <xdr:row>91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8BA7BCCB-25D7-4C74-B8F2-9D6B331C750F}"/>
            </a:ext>
          </a:extLst>
        </xdr:cNvPr>
        <xdr:cNvSpPr txBox="1">
          <a:spLocks noChangeArrowheads="1"/>
        </xdr:cNvSpPr>
      </xdr:nvSpPr>
      <xdr:spPr bwMode="auto">
        <a:xfrm>
          <a:off x="11906" y="1987023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86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4C77BAEF-2122-4577-B272-6177FEB8B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0853" y="19194922"/>
          <a:ext cx="1189061" cy="1182651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433389</xdr:rowOff>
    </xdr:from>
    <xdr:to>
      <xdr:col>11</xdr:col>
      <xdr:colOff>331931</xdr:colOff>
      <xdr:row>1</xdr:row>
      <xdr:rowOff>39791</xdr:rowOff>
    </xdr:to>
    <xdr:pic>
      <xdr:nvPicPr>
        <xdr:cNvPr id="2" name="Picture 6" descr="line_9inch">
          <a:extLst>
            <a:ext uri="{FF2B5EF4-FFF2-40B4-BE49-F238E27FC236}">
              <a16:creationId xmlns:a16="http://schemas.microsoft.com/office/drawing/2014/main" id="{7210B9B8-245D-417F-B2FE-93EEAD7D5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433389"/>
          <a:ext cx="9662622" cy="2693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8</xdr:col>
      <xdr:colOff>65818</xdr:colOff>
      <xdr:row>0</xdr:row>
      <xdr:rowOff>559594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859FD353-5B9F-4274-BAF1-4900FEC549EF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7701058" cy="55959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0</xdr:row>
      <xdr:rowOff>538294</xdr:rowOff>
    </xdr:from>
    <xdr:to>
      <xdr:col>4</xdr:col>
      <xdr:colOff>413479</xdr:colOff>
      <xdr:row>2</xdr:row>
      <xdr:rowOff>23811</xdr:rowOff>
    </xdr:to>
    <xdr:sp macro="" textlink="">
      <xdr:nvSpPr>
        <xdr:cNvPr id="4" name="Text Box 255">
          <a:extLst>
            <a:ext uri="{FF2B5EF4-FFF2-40B4-BE49-F238E27FC236}">
              <a16:creationId xmlns:a16="http://schemas.microsoft.com/office/drawing/2014/main" id="{CF7BEE9E-35EA-4F3A-A321-89CD37132B6B}"/>
            </a:ext>
          </a:extLst>
        </xdr:cNvPr>
        <xdr:cNvSpPr txBox="1">
          <a:spLocks noChangeArrowheads="1"/>
        </xdr:cNvSpPr>
      </xdr:nvSpPr>
      <xdr:spPr bwMode="auto">
        <a:xfrm>
          <a:off x="11906" y="538294"/>
          <a:ext cx="3876293" cy="32371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758431</xdr:colOff>
      <xdr:row>0</xdr:row>
      <xdr:rowOff>47940</xdr:rowOff>
    </xdr:from>
    <xdr:to>
      <xdr:col>12</xdr:col>
      <xdr:colOff>785441</xdr:colOff>
      <xdr:row>3</xdr:row>
      <xdr:rowOff>182841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117D40-ABB0-4FF9-9895-C1B2522A8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6271" y="47940"/>
          <a:ext cx="1192870" cy="1178841"/>
        </a:xfrm>
        <a:prstGeom prst="rect">
          <a:avLst/>
        </a:prstGeom>
      </xdr:spPr>
    </xdr:pic>
    <xdr:clientData/>
  </xdr:twoCellAnchor>
  <xdr:twoCellAnchor>
    <xdr:from>
      <xdr:col>0</xdr:col>
      <xdr:colOff>57149</xdr:colOff>
      <xdr:row>83</xdr:row>
      <xdr:rowOff>433389</xdr:rowOff>
    </xdr:from>
    <xdr:to>
      <xdr:col>11</xdr:col>
      <xdr:colOff>331931</xdr:colOff>
      <xdr:row>84</xdr:row>
      <xdr:rowOff>39791</xdr:rowOff>
    </xdr:to>
    <xdr:pic>
      <xdr:nvPicPr>
        <xdr:cNvPr id="6" name="Picture 6" descr="line_9inch">
          <a:extLst>
            <a:ext uri="{FF2B5EF4-FFF2-40B4-BE49-F238E27FC236}">
              <a16:creationId xmlns:a16="http://schemas.microsoft.com/office/drawing/2014/main" id="{9F207ADE-002E-4CFD-BE1F-0EA07DA38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49" y="19872009"/>
          <a:ext cx="9662622" cy="407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8</xdr:col>
      <xdr:colOff>65818</xdr:colOff>
      <xdr:row>83</xdr:row>
      <xdr:rowOff>559594</xdr:rowOff>
    </xdr:to>
    <xdr:sp macro="" textlink="">
      <xdr:nvSpPr>
        <xdr:cNvPr id="7" name="Text Box 255">
          <a:extLst>
            <a:ext uri="{FF2B5EF4-FFF2-40B4-BE49-F238E27FC236}">
              <a16:creationId xmlns:a16="http://schemas.microsoft.com/office/drawing/2014/main" id="{F116E142-EFD4-481E-AC5E-6428F8A6C069}"/>
            </a:ext>
          </a:extLst>
        </xdr:cNvPr>
        <xdr:cNvSpPr txBox="1">
          <a:spLocks noChangeArrowheads="1"/>
        </xdr:cNvSpPr>
      </xdr:nvSpPr>
      <xdr:spPr bwMode="auto">
        <a:xfrm>
          <a:off x="0" y="19667220"/>
          <a:ext cx="7701058" cy="20907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2000" b="1" u="none">
              <a:latin typeface="Times New Roman" pitchFamily="18" charset="0"/>
              <a:ea typeface="+mn-ea"/>
              <a:cs typeface="Times New Roman" pitchFamily="18" charset="0"/>
            </a:rPr>
            <a:t>INSPECTION ACCOMPLISHMENT</a:t>
          </a:r>
          <a:r>
            <a:rPr lang="en-US" sz="2000" b="1" u="none" baseline="0">
              <a:latin typeface="Times New Roman" pitchFamily="18" charset="0"/>
              <a:ea typeface="+mn-ea"/>
              <a:cs typeface="Times New Roman" pitchFamily="18" charset="0"/>
            </a:rPr>
            <a:t> REPORT</a:t>
          </a:r>
          <a:r>
            <a:rPr lang="en-US" sz="3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 </a:t>
          </a:r>
          <a:endParaRPr lang="en-US" sz="2400" b="0" i="0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 </a:t>
          </a:r>
        </a:p>
      </xdr:txBody>
    </xdr:sp>
    <xdr:clientData/>
  </xdr:twoCellAnchor>
  <xdr:twoCellAnchor>
    <xdr:from>
      <xdr:col>0</xdr:col>
      <xdr:colOff>11906</xdr:colOff>
      <xdr:row>83</xdr:row>
      <xdr:rowOff>538294</xdr:rowOff>
    </xdr:from>
    <xdr:to>
      <xdr:col>4</xdr:col>
      <xdr:colOff>413479</xdr:colOff>
      <xdr:row>85</xdr:row>
      <xdr:rowOff>23811</xdr:rowOff>
    </xdr:to>
    <xdr:sp macro="" textlink="">
      <xdr:nvSpPr>
        <xdr:cNvPr id="8" name="Text Box 255">
          <a:extLst>
            <a:ext uri="{FF2B5EF4-FFF2-40B4-BE49-F238E27FC236}">
              <a16:creationId xmlns:a16="http://schemas.microsoft.com/office/drawing/2014/main" id="{5D278164-CC7D-48B2-AD06-190C0A897344}"/>
            </a:ext>
          </a:extLst>
        </xdr:cNvPr>
        <xdr:cNvSpPr txBox="1">
          <a:spLocks noChangeArrowheads="1"/>
        </xdr:cNvSpPr>
      </xdr:nvSpPr>
      <xdr:spPr bwMode="auto">
        <a:xfrm>
          <a:off x="11906" y="19870234"/>
          <a:ext cx="3876293" cy="232277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400" b="1" i="0" strike="noStrike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PROVINCIAL</a:t>
          </a:r>
          <a:r>
            <a:rPr lang="en-US" sz="1400" b="1" i="0" strike="noStrike" baseline="0">
              <a:solidFill>
                <a:srgbClr val="333333"/>
              </a:solidFill>
              <a:latin typeface="Times New Roman" pitchFamily="18" charset="0"/>
              <a:ea typeface="Calibri"/>
              <a:cs typeface="Times New Roman" pitchFamily="18" charset="0"/>
            </a:rPr>
            <a:t> ENGINEER'S OFFICE</a:t>
          </a:r>
          <a:endParaRPr lang="en-US" sz="1400" b="0" i="0" strike="noStrike">
            <a:solidFill>
              <a:srgbClr val="000000"/>
            </a:solidFill>
            <a:latin typeface="Times New Roman" pitchFamily="18" charset="0"/>
            <a:ea typeface="Calibri"/>
            <a:cs typeface="Times New Roman" pitchFamily="18" charset="0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Times New Roman" pitchFamily="18" charset="0"/>
              <a:ea typeface="Arial"/>
              <a:cs typeface="Times New Roman" pitchFamily="18" charset="0"/>
            </a:rPr>
            <a:t> </a:t>
          </a:r>
        </a:p>
      </xdr:txBody>
    </xdr:sp>
    <xdr:clientData/>
  </xdr:twoCellAnchor>
  <xdr:oneCellAnchor>
    <xdr:from>
      <xdr:col>11</xdr:col>
      <xdr:colOff>703013</xdr:colOff>
      <xdr:row>80</xdr:row>
      <xdr:rowOff>144922</xdr:rowOff>
    </xdr:from>
    <xdr:ext cx="1189061" cy="1182651"/>
    <xdr:pic>
      <xdr:nvPicPr>
        <xdr:cNvPr id="9" name="Picture 8">
          <a:extLst>
            <a:ext uri="{FF2B5EF4-FFF2-40B4-BE49-F238E27FC236}">
              <a16:creationId xmlns:a16="http://schemas.microsoft.com/office/drawing/2014/main" id="{2FB9634F-FAB3-4508-8BCD-8F55A6D0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0853" y="19194922"/>
          <a:ext cx="1189061" cy="11826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niladshared\DOCUME~1\LEA~1.VIC\LOCALS~1\Temp\Temporary%20Directory%201%20for%20Final%20HIRAC,%20MWSI%20NCBA.zip\HIRAC\admin%20hirac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niladshared\WN%20Final%20Documents%20locked\3-%20ESH%20Procedures%20&amp;%20Guidelines\WN-SP-ESH-01,%20ESH%20HIRAC\WN-SP-ESH-01F1,%20HIRAC%20Worksheets%20Templ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O%20DOCS\SWA\2022%20AIP%20SWA\Improvement%20of%20Road%20Net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ES"/>
      <sheetName val="HIRAC"/>
      <sheetName val="DATABASE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PROCESSES"/>
      <sheetName val="WN-SP-IMS-01F1"/>
      <sheetName val="WN-SP-IMS-01F2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WA 9-14-2023"/>
      <sheetName val="STEWA 9-14-2023"/>
      <sheetName val="SWA 12-5-2023"/>
      <sheetName val="STEWA 12-5-2023"/>
      <sheetName val="swa 1-1-15-2024"/>
      <sheetName val="stewa 1-16-31-2023"/>
      <sheetName val="swa 1-1-15-2024 (2)"/>
      <sheetName val="stewa 1-16-31-2023 (2)"/>
    </sheetNames>
    <sheetDataSet>
      <sheetData sheetId="0">
        <row r="12">
          <cell r="P12">
            <v>10686.285</v>
          </cell>
        </row>
        <row r="17">
          <cell r="N17">
            <v>2137.2570000000001</v>
          </cell>
        </row>
        <row r="18">
          <cell r="N18">
            <v>26753.489999999998</v>
          </cell>
        </row>
        <row r="26">
          <cell r="E26">
            <v>270.9255</v>
          </cell>
        </row>
        <row r="33">
          <cell r="E33">
            <v>235</v>
          </cell>
          <cell r="L33">
            <v>18273.601200000005</v>
          </cell>
        </row>
      </sheetData>
      <sheetData sheetId="1">
        <row r="5">
          <cell r="E5" t="str">
            <v>IMPROVEMENT OF ROAD NETWORK</v>
          </cell>
        </row>
        <row r="6">
          <cell r="E6" t="str">
            <v>A. PADUL SOLANA TO TUAO ROAD SOLANA, CAGAYAN</v>
          </cell>
        </row>
        <row r="7">
          <cell r="E7" t="str">
            <v>B. BUGNAY TUAO TO SOLANA ROAD TUAO, CAGAYAN</v>
          </cell>
        </row>
        <row r="9">
          <cell r="E9" t="str">
            <v>SOLANA-TUAO, CAGAYAN</v>
          </cell>
        </row>
      </sheetData>
      <sheetData sheetId="2" refreshError="1"/>
      <sheetData sheetId="3">
        <row r="15">
          <cell r="L15">
            <v>27233.904015056465</v>
          </cell>
        </row>
        <row r="17">
          <cell r="L17">
            <v>19824</v>
          </cell>
        </row>
        <row r="18">
          <cell r="L18">
            <v>5900.6792032622334</v>
          </cell>
        </row>
        <row r="19">
          <cell r="L19">
            <v>102217.5</v>
          </cell>
        </row>
        <row r="21">
          <cell r="L21">
            <v>221988.00855</v>
          </cell>
        </row>
        <row r="22">
          <cell r="L22">
            <v>1689485.33748</v>
          </cell>
        </row>
        <row r="23">
          <cell r="L23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31">
          <cell r="L31">
            <v>24964.412013801753</v>
          </cell>
        </row>
        <row r="33">
          <cell r="L33">
            <v>19824</v>
          </cell>
        </row>
        <row r="34">
          <cell r="L34">
            <v>17248.139209535759</v>
          </cell>
        </row>
        <row r="35">
          <cell r="L35">
            <v>125758.5</v>
          </cell>
        </row>
        <row r="37">
          <cell r="L37">
            <v>5565.2</v>
          </cell>
        </row>
        <row r="38">
          <cell r="L38">
            <v>8347.84</v>
          </cell>
        </row>
        <row r="39">
          <cell r="L39">
            <v>474257.78245499998</v>
          </cell>
        </row>
        <row r="40">
          <cell r="L40">
            <v>24602.687999999998</v>
          </cell>
        </row>
        <row r="41">
          <cell r="L41">
            <v>13527.936000000002</v>
          </cell>
        </row>
        <row r="42">
          <cell r="L42">
            <v>1292091.8945199999</v>
          </cell>
        </row>
        <row r="43">
          <cell r="L43">
            <v>501092.86769999994</v>
          </cell>
        </row>
        <row r="44">
          <cell r="L44">
            <v>0</v>
          </cell>
        </row>
        <row r="45">
          <cell r="L45">
            <v>1249461.8147700001</v>
          </cell>
        </row>
        <row r="46">
          <cell r="L46">
            <v>0</v>
          </cell>
        </row>
        <row r="47">
          <cell r="L47">
            <v>12842991.038699999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0</v>
          </cell>
        </row>
        <row r="53">
          <cell r="L53">
            <v>949366.42657516128</v>
          </cell>
        </row>
        <row r="54">
          <cell r="L54">
            <v>1493503</v>
          </cell>
        </row>
        <row r="55">
          <cell r="L55">
            <v>0</v>
          </cell>
        </row>
        <row r="56">
          <cell r="L56">
            <v>74297.017999999996</v>
          </cell>
        </row>
        <row r="57">
          <cell r="L57">
            <v>85284</v>
          </cell>
        </row>
        <row r="58">
          <cell r="L58">
            <v>32915.25</v>
          </cell>
        </row>
        <row r="59">
          <cell r="L59">
            <v>0</v>
          </cell>
        </row>
        <row r="60">
          <cell r="L60">
            <v>25579.081200000001</v>
          </cell>
        </row>
        <row r="61">
          <cell r="L61">
            <v>30169.960999999999</v>
          </cell>
        </row>
        <row r="62">
          <cell r="L62">
            <v>38456.730000000003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0</v>
          </cell>
        </row>
        <row r="66">
          <cell r="L66">
            <v>0</v>
          </cell>
        </row>
        <row r="68">
          <cell r="I68">
            <v>52448474.573600009</v>
          </cell>
        </row>
      </sheetData>
      <sheetData sheetId="4" refreshError="1"/>
      <sheetData sheetId="5" refreshError="1"/>
      <sheetData sheetId="6">
        <row r="9">
          <cell r="B9">
            <v>45308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620"/>
  <sheetViews>
    <sheetView view="pageBreakPreview" zoomScaleNormal="100" zoomScaleSheetLayoutView="100" workbookViewId="0">
      <selection activeCell="B25" activeCellId="3" sqref="J69:K70 B27:F27 B25:F25 B25:F2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 t="s">
        <v>1</v>
      </c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3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4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6</v>
      </c>
      <c r="L5" s="557"/>
    </row>
    <row r="6" spans="1:15" s="16" customFormat="1" ht="16.5" customHeight="1">
      <c r="A6" s="69"/>
      <c r="B6" s="78" t="s">
        <v>7</v>
      </c>
      <c r="C6" s="78"/>
      <c r="D6" s="78"/>
      <c r="E6" s="78"/>
      <c r="F6" s="78"/>
      <c r="G6" s="78"/>
      <c r="H6" s="78"/>
      <c r="I6" s="21" t="s">
        <v>8</v>
      </c>
      <c r="J6" s="21"/>
      <c r="K6" s="560" t="s">
        <v>9</v>
      </c>
      <c r="L6" s="561"/>
    </row>
    <row r="7" spans="1:15" s="16" customFormat="1" ht="16.5" customHeight="1">
      <c r="A7" s="22" t="s">
        <v>10</v>
      </c>
      <c r="B7" s="556" t="s">
        <v>11</v>
      </c>
      <c r="C7" s="556"/>
      <c r="D7" s="556"/>
      <c r="E7" s="556"/>
      <c r="F7" s="556"/>
      <c r="G7" s="556"/>
      <c r="H7" s="556"/>
    </row>
    <row r="8" spans="1:15" s="16" customFormat="1" ht="16.5" customHeight="1">
      <c r="A8" s="22"/>
      <c r="B8" s="23"/>
      <c r="C8" s="23"/>
      <c r="D8" s="23"/>
      <c r="E8" s="23"/>
      <c r="F8" s="23"/>
      <c r="G8" s="23"/>
      <c r="J8" s="59"/>
      <c r="K8" s="62"/>
      <c r="L8" s="62"/>
    </row>
    <row r="9" spans="1:15" ht="16.5" customHeight="1">
      <c r="A9" s="24" t="s">
        <v>12</v>
      </c>
      <c r="B9" s="3"/>
      <c r="C9" s="3"/>
      <c r="D9" s="3"/>
      <c r="E9" s="3"/>
      <c r="F9" s="3"/>
      <c r="G9" s="3"/>
      <c r="H9" s="3"/>
      <c r="I9" s="3"/>
      <c r="J9" s="3"/>
      <c r="K9" s="555"/>
      <c r="L9" s="555"/>
    </row>
    <row r="10" spans="1:15" s="2" customFormat="1" ht="16.5" customHeight="1">
      <c r="A10" s="552" t="s">
        <v>13</v>
      </c>
      <c r="B10" s="552" t="s">
        <v>14</v>
      </c>
      <c r="C10" s="552"/>
      <c r="D10" s="552"/>
      <c r="E10" s="552"/>
      <c r="F10" s="552"/>
      <c r="G10" s="552" t="s">
        <v>15</v>
      </c>
      <c r="H10" s="552"/>
      <c r="I10" s="552"/>
      <c r="J10" s="553" t="s">
        <v>16</v>
      </c>
      <c r="K10" s="553"/>
      <c r="L10" s="552" t="s">
        <v>17</v>
      </c>
    </row>
    <row r="11" spans="1:15" s="2" customFormat="1" ht="16.5" customHeight="1">
      <c r="A11" s="552"/>
      <c r="B11" s="552"/>
      <c r="C11" s="552"/>
      <c r="D11" s="552"/>
      <c r="E11" s="552"/>
      <c r="F11" s="552"/>
      <c r="G11" s="552"/>
      <c r="H11" s="552"/>
      <c r="I11" s="552"/>
      <c r="J11" s="60" t="s">
        <v>18</v>
      </c>
      <c r="K11" s="20" t="s">
        <v>19</v>
      </c>
      <c r="L11" s="552"/>
    </row>
    <row r="12" spans="1:15" s="18" customFormat="1" ht="16.5" customHeight="1">
      <c r="A12" s="79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 t="str">
        <f>swa!A43</f>
        <v>105(1)</v>
      </c>
      <c r="B13" s="558" t="str">
        <f>swa!B43:E43</f>
        <v>Sub-Grade Preparation(Common Materials)</v>
      </c>
      <c r="C13" s="558"/>
      <c r="D13" s="558"/>
      <c r="E13" s="558"/>
      <c r="F13" s="558"/>
      <c r="G13" s="559" t="s">
        <v>20</v>
      </c>
      <c r="H13" s="559"/>
      <c r="I13" s="559"/>
      <c r="J13" s="216">
        <f>N18</f>
        <v>292.5</v>
      </c>
      <c r="K13" s="53"/>
      <c r="L13" s="55" t="s">
        <v>21</v>
      </c>
    </row>
    <row r="14" spans="1:15" s="18" customFormat="1" ht="16.5" customHeight="1">
      <c r="A14" s="215" t="str">
        <f>swa!A45</f>
        <v>200(1)</v>
      </c>
      <c r="B14" s="558" t="str">
        <f>swa!B45:E45</f>
        <v>Aggregate Subbase Course</v>
      </c>
      <c r="C14" s="558"/>
      <c r="D14" s="558"/>
      <c r="E14" s="558"/>
      <c r="F14" s="558"/>
      <c r="G14" s="559" t="s">
        <v>20</v>
      </c>
      <c r="H14" s="559"/>
      <c r="I14" s="559"/>
      <c r="J14" s="216">
        <f>J13*8.1*0.2</f>
        <v>473.85</v>
      </c>
      <c r="K14" s="53"/>
      <c r="L14" s="55" t="s">
        <v>22</v>
      </c>
    </row>
    <row r="15" spans="1:15" s="18" customFormat="1" ht="16.5" customHeight="1">
      <c r="A15" s="215" t="str">
        <f>swa!A47</f>
        <v>311(1)c</v>
      </c>
      <c r="B15" s="558" t="str">
        <f>swa!B47:E47</f>
        <v>Portland Cement Concrete Pavement, 230mm</v>
      </c>
      <c r="C15" s="558"/>
      <c r="D15" s="558"/>
      <c r="E15" s="558"/>
      <c r="F15" s="558"/>
      <c r="G15" s="559" t="s">
        <v>20</v>
      </c>
      <c r="H15" s="559"/>
      <c r="I15" s="559"/>
      <c r="J15" s="216">
        <f>N18</f>
        <v>292.5</v>
      </c>
      <c r="K15" s="53"/>
      <c r="L15" s="55" t="s">
        <v>21</v>
      </c>
      <c r="N15" s="18">
        <f>8*9</f>
        <v>72</v>
      </c>
    </row>
    <row r="16" spans="1:15" s="18" customFormat="1" ht="16.5" customHeight="1">
      <c r="A16" s="215"/>
      <c r="B16" s="558"/>
      <c r="C16" s="558"/>
      <c r="D16" s="558"/>
      <c r="E16" s="558"/>
      <c r="F16" s="558"/>
      <c r="G16" s="559"/>
      <c r="H16" s="559"/>
      <c r="I16" s="559"/>
      <c r="J16" s="216"/>
      <c r="K16" s="53"/>
      <c r="L16" s="55"/>
      <c r="N16" s="18">
        <f>65*1.5</f>
        <v>97.5</v>
      </c>
      <c r="O16" s="18">
        <f>102/1.5</f>
        <v>68</v>
      </c>
    </row>
    <row r="17" spans="1:14" s="18" customFormat="1" ht="16.5" customHeight="1">
      <c r="A17" s="215"/>
      <c r="B17" s="558"/>
      <c r="C17" s="558"/>
      <c r="D17" s="558"/>
      <c r="E17" s="558"/>
      <c r="F17" s="558"/>
      <c r="G17" s="559"/>
      <c r="H17" s="559"/>
      <c r="I17" s="559"/>
      <c r="J17" s="53"/>
      <c r="K17" s="53"/>
      <c r="L17" s="55"/>
      <c r="N17" s="18">
        <v>3</v>
      </c>
    </row>
    <row r="18" spans="1:14" s="18" customFormat="1" ht="16.5" customHeight="1">
      <c r="A18" s="54"/>
      <c r="B18" s="558"/>
      <c r="C18" s="558"/>
      <c r="D18" s="558"/>
      <c r="E18" s="558"/>
      <c r="F18" s="558"/>
      <c r="G18" s="559"/>
      <c r="H18" s="559"/>
      <c r="I18" s="559"/>
      <c r="J18" s="53"/>
      <c r="K18" s="53"/>
      <c r="L18" s="55"/>
      <c r="N18" s="18">
        <f>N16*3</f>
        <v>292.5</v>
      </c>
    </row>
    <row r="19" spans="1:14" s="18" customFormat="1" ht="16.5" customHeight="1">
      <c r="A19" s="54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4" s="18" customFormat="1" ht="16.5" customHeight="1">
      <c r="A20" s="54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4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4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4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4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4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4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4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4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4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4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4" s="18" customFormat="1" ht="16.5" customHeight="1">
      <c r="A31" s="61"/>
      <c r="B31" s="562"/>
      <c r="C31" s="562"/>
      <c r="D31" s="562"/>
      <c r="E31" s="562"/>
      <c r="F31" s="562"/>
      <c r="G31" s="559"/>
      <c r="H31" s="559"/>
      <c r="I31" s="559"/>
      <c r="J31" s="53"/>
      <c r="K31" s="53"/>
      <c r="L31" s="55"/>
    </row>
    <row r="32" spans="1:14" s="18" customFormat="1" ht="16.5" customHeight="1">
      <c r="A32" s="61"/>
      <c r="B32" s="562"/>
      <c r="C32" s="562"/>
      <c r="D32" s="562"/>
      <c r="E32" s="562"/>
      <c r="F32" s="562"/>
      <c r="G32" s="559"/>
      <c r="H32" s="559"/>
      <c r="I32" s="559"/>
      <c r="J32" s="53"/>
      <c r="K32" s="53"/>
      <c r="L32" s="55"/>
    </row>
    <row r="33" spans="1:12" s="18" customFormat="1" ht="16.5" customHeight="1">
      <c r="A33" s="66"/>
      <c r="B33" s="566"/>
      <c r="C33" s="566"/>
      <c r="D33" s="566"/>
      <c r="E33" s="566"/>
      <c r="F33" s="566"/>
      <c r="G33" s="66"/>
      <c r="H33" s="41"/>
      <c r="I33" s="41"/>
      <c r="J33" s="42"/>
      <c r="K33" s="43"/>
      <c r="L33" s="3"/>
    </row>
    <row r="34" spans="1:12" s="18" customFormat="1" ht="16.5" customHeight="1">
      <c r="A34" s="26" t="s">
        <v>23</v>
      </c>
      <c r="B34" s="67"/>
      <c r="C34" s="67"/>
      <c r="D34" s="67"/>
      <c r="E34" s="67"/>
      <c r="F34" s="17"/>
      <c r="G34" s="17"/>
      <c r="H34" s="17"/>
      <c r="I34" s="17"/>
      <c r="J34" s="17"/>
      <c r="K34" s="3"/>
      <c r="L34" s="3"/>
    </row>
    <row r="35" spans="1:12" s="25" customFormat="1" ht="16.5" customHeight="1">
      <c r="A35" s="19" t="s">
        <v>13</v>
      </c>
      <c r="B35" s="567" t="s">
        <v>14</v>
      </c>
      <c r="C35" s="567"/>
      <c r="D35" s="567"/>
      <c r="E35" s="567"/>
      <c r="F35" s="567"/>
      <c r="G35" s="568" t="s">
        <v>24</v>
      </c>
      <c r="H35" s="568"/>
      <c r="I35" s="63" t="s">
        <v>17</v>
      </c>
      <c r="J35" s="60" t="s">
        <v>25</v>
      </c>
      <c r="K35" s="60" t="s">
        <v>26</v>
      </c>
      <c r="L35" s="60" t="s">
        <v>27</v>
      </c>
    </row>
    <row r="36" spans="1:12" s="18" customFormat="1" ht="16.5" customHeight="1">
      <c r="A36" s="75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65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65"/>
      <c r="B38" s="563"/>
      <c r="C38" s="563"/>
      <c r="D38" s="563"/>
      <c r="E38" s="563"/>
      <c r="F38" s="563"/>
      <c r="G38" s="564"/>
      <c r="H38" s="564"/>
      <c r="I38" s="64"/>
      <c r="J38" s="64"/>
      <c r="K38" s="55"/>
      <c r="L38" s="55"/>
    </row>
    <row r="39" spans="1:12" s="52" customFormat="1" ht="16.5" customHeight="1">
      <c r="A39" s="65"/>
      <c r="B39" s="563"/>
      <c r="C39" s="563"/>
      <c r="D39" s="563"/>
      <c r="E39" s="563"/>
      <c r="F39" s="563"/>
      <c r="G39" s="564"/>
      <c r="H39" s="564"/>
      <c r="I39" s="64"/>
      <c r="J39" s="64"/>
      <c r="K39" s="55"/>
      <c r="L39" s="55"/>
    </row>
    <row r="40" spans="1:12" s="52" customFormat="1" ht="16.5" customHeight="1">
      <c r="A40" s="32"/>
      <c r="B40" s="565"/>
      <c r="C40" s="565"/>
      <c r="D40" s="565"/>
      <c r="E40" s="565"/>
      <c r="F40" s="565"/>
      <c r="G40" s="565"/>
      <c r="H40" s="565"/>
      <c r="I40" s="565"/>
      <c r="J40" s="17"/>
      <c r="K40" s="3"/>
      <c r="L40" s="3"/>
    </row>
    <row r="41" spans="1:12" s="51" customFormat="1" ht="16.5" customHeight="1">
      <c r="A41" s="34" t="s">
        <v>28</v>
      </c>
      <c r="B41" s="34"/>
      <c r="C41" s="34"/>
      <c r="D41" s="34"/>
      <c r="E41" s="34"/>
      <c r="F41" s="17"/>
      <c r="G41" s="38"/>
      <c r="H41" s="36" t="s">
        <v>29</v>
      </c>
      <c r="I41" s="34"/>
      <c r="J41" s="34"/>
      <c r="K41" s="34"/>
      <c r="L41" s="34"/>
    </row>
    <row r="42" spans="1:12" s="51" customFormat="1" ht="16.5" customHeight="1">
      <c r="A42" s="569" t="s">
        <v>30</v>
      </c>
      <c r="B42" s="569"/>
      <c r="C42" s="569"/>
      <c r="D42" s="569"/>
      <c r="E42" s="569"/>
      <c r="F42" s="569"/>
      <c r="G42" s="56"/>
      <c r="H42" s="569"/>
      <c r="I42" s="569"/>
      <c r="J42" s="569"/>
      <c r="K42" s="569"/>
      <c r="L42" s="569"/>
    </row>
    <row r="43" spans="1:12" s="51" customFormat="1" ht="16.5" customHeight="1">
      <c r="A43" s="571" t="s">
        <v>31</v>
      </c>
      <c r="B43" s="571"/>
      <c r="C43" s="571"/>
      <c r="D43" s="571"/>
      <c r="E43" s="571"/>
      <c r="F43" s="571"/>
      <c r="G43" s="56"/>
      <c r="H43" s="569"/>
      <c r="I43" s="569"/>
      <c r="J43" s="569"/>
      <c r="K43" s="569"/>
      <c r="L43" s="569"/>
    </row>
    <row r="44" spans="1:12" s="51" customFormat="1" ht="16.5" customHeight="1">
      <c r="A44" s="571" t="s">
        <v>32</v>
      </c>
      <c r="B44" s="571"/>
      <c r="C44" s="571"/>
      <c r="D44" s="571"/>
      <c r="E44" s="571"/>
      <c r="F44" s="571"/>
      <c r="G44" s="57"/>
      <c r="H44" s="569"/>
      <c r="I44" s="569"/>
      <c r="J44" s="569"/>
      <c r="K44" s="569"/>
      <c r="L44" s="569"/>
    </row>
    <row r="45" spans="1:12" s="51" customFormat="1" ht="16.5" customHeight="1">
      <c r="A45" s="569" t="s">
        <v>33</v>
      </c>
      <c r="B45" s="569"/>
      <c r="C45" s="569"/>
      <c r="D45" s="569"/>
      <c r="E45" s="569"/>
      <c r="F45" s="569"/>
      <c r="G45" s="57"/>
      <c r="H45" s="569"/>
      <c r="I45" s="569"/>
      <c r="J45" s="569"/>
      <c r="K45" s="569"/>
      <c r="L45" s="569"/>
    </row>
    <row r="46" spans="1:12" s="51" customFormat="1" ht="16.5" customHeight="1">
      <c r="A46" s="570"/>
      <c r="B46" s="570"/>
      <c r="C46" s="570"/>
      <c r="D46" s="570"/>
      <c r="E46" s="570"/>
      <c r="F46" s="570"/>
      <c r="G46" s="39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7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6"/>
      <c r="H49" s="569"/>
      <c r="I49" s="569"/>
      <c r="J49" s="569"/>
      <c r="K49" s="569"/>
      <c r="L49" s="569"/>
    </row>
    <row r="50" spans="1:12" s="3" customFormat="1" ht="16.5" customHeight="1">
      <c r="A50" s="571"/>
      <c r="B50" s="571"/>
      <c r="C50" s="571"/>
      <c r="D50" s="571"/>
      <c r="E50" s="571"/>
      <c r="F50" s="571"/>
      <c r="G50" s="56"/>
      <c r="H50" s="569"/>
      <c r="I50" s="569"/>
      <c r="J50" s="569"/>
      <c r="K50" s="569"/>
      <c r="L50" s="569"/>
    </row>
    <row r="51" spans="1:12" s="3" customFormat="1" ht="16.5" customHeight="1">
      <c r="A51" s="571"/>
      <c r="B51" s="571"/>
      <c r="C51" s="571"/>
      <c r="D51" s="571"/>
      <c r="E51" s="571"/>
      <c r="F51" s="571"/>
      <c r="G51" s="57"/>
      <c r="H51" s="569"/>
      <c r="I51" s="569"/>
      <c r="J51" s="569"/>
      <c r="K51" s="569"/>
      <c r="L51" s="569"/>
    </row>
    <row r="52" spans="1:12" s="3" customFormat="1" ht="16.5" customHeight="1">
      <c r="A52" s="572"/>
      <c r="B52" s="572"/>
      <c r="C52" s="572"/>
      <c r="D52" s="572"/>
      <c r="E52" s="572"/>
      <c r="F52" s="572"/>
      <c r="G52" s="57"/>
      <c r="H52" s="572"/>
      <c r="I52" s="572"/>
      <c r="J52" s="572"/>
      <c r="K52" s="572"/>
      <c r="L52" s="572"/>
    </row>
    <row r="53" spans="1:12" s="3" customFormat="1" ht="16.5" customHeight="1">
      <c r="A53" s="70" t="s">
        <v>34</v>
      </c>
      <c r="B53" s="5"/>
      <c r="C53" s="4"/>
      <c r="H53" s="573" t="s">
        <v>35</v>
      </c>
      <c r="I53" s="573"/>
      <c r="J53" s="573"/>
      <c r="K53" s="573" t="s">
        <v>36</v>
      </c>
      <c r="L53" s="573"/>
    </row>
    <row r="54" spans="1:12" s="3" customFormat="1" ht="16.5" customHeight="1">
      <c r="A54" s="576"/>
      <c r="B54" s="576"/>
      <c r="C54" s="576"/>
      <c r="D54" s="576"/>
      <c r="E54" s="576"/>
      <c r="F54" s="576"/>
      <c r="G54" s="71"/>
      <c r="H54" s="577" t="s">
        <v>14</v>
      </c>
      <c r="I54" s="577"/>
      <c r="J54" s="74" t="s">
        <v>24</v>
      </c>
      <c r="K54" s="74" t="s">
        <v>14</v>
      </c>
      <c r="L54" s="74" t="s">
        <v>24</v>
      </c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 t="s">
        <v>37</v>
      </c>
      <c r="I55" s="575"/>
      <c r="J55" s="55">
        <v>1</v>
      </c>
      <c r="K55" s="76" t="s">
        <v>38</v>
      </c>
      <c r="L55" s="55">
        <v>2</v>
      </c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 t="s">
        <v>39</v>
      </c>
      <c r="I56" s="575"/>
      <c r="J56" s="55">
        <v>1</v>
      </c>
      <c r="K56" s="76" t="s">
        <v>40</v>
      </c>
      <c r="L56" s="55">
        <v>2</v>
      </c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 t="s">
        <v>41</v>
      </c>
      <c r="I57" s="575"/>
      <c r="J57" s="55">
        <v>4</v>
      </c>
      <c r="K57" s="76" t="s">
        <v>42</v>
      </c>
      <c r="L57" s="55">
        <v>1</v>
      </c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 t="s">
        <v>43</v>
      </c>
      <c r="I58" s="575"/>
      <c r="J58" s="55">
        <v>8</v>
      </c>
      <c r="K58" s="76" t="s">
        <v>44</v>
      </c>
      <c r="L58" s="55">
        <v>1</v>
      </c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55"/>
      <c r="K59" s="77"/>
      <c r="L59" s="55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574"/>
      <c r="B63" s="574"/>
      <c r="C63" s="574"/>
      <c r="D63" s="574"/>
      <c r="E63" s="574"/>
      <c r="F63" s="574"/>
      <c r="G63" s="72"/>
      <c r="H63" s="575"/>
      <c r="I63" s="575"/>
      <c r="J63" s="73"/>
      <c r="K63" s="77"/>
      <c r="L63" s="73"/>
    </row>
    <row r="64" spans="1:12" s="3" customFormat="1" ht="16.5" customHeight="1">
      <c r="A64" s="574"/>
      <c r="B64" s="574"/>
      <c r="C64" s="574"/>
      <c r="D64" s="574"/>
      <c r="E64" s="574"/>
      <c r="F64" s="574"/>
      <c r="G64" s="72"/>
      <c r="H64" s="575"/>
      <c r="I64" s="575"/>
      <c r="J64" s="73"/>
      <c r="K64" s="77"/>
      <c r="L64" s="73"/>
    </row>
    <row r="65" spans="1:12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6"/>
      <c r="J65" s="46"/>
      <c r="K65" s="47"/>
      <c r="L65" s="46"/>
    </row>
    <row r="66" spans="1:12" s="3" customFormat="1" ht="16.5" customHeight="1">
      <c r="A66" s="45" t="s">
        <v>45</v>
      </c>
      <c r="B66" s="46"/>
      <c r="C66" s="46"/>
      <c r="D66" s="46"/>
      <c r="E66" s="44"/>
      <c r="F66" s="46"/>
      <c r="G66" s="46"/>
      <c r="H66" s="46"/>
      <c r="I66" s="46"/>
      <c r="J66" s="46"/>
      <c r="K66" s="47"/>
      <c r="L66" s="46"/>
    </row>
    <row r="67" spans="1:12" s="3" customFormat="1" ht="16.5" customHeight="1">
      <c r="A67" s="45"/>
      <c r="B67" s="46"/>
      <c r="C67" s="46"/>
      <c r="D67" s="46"/>
      <c r="E67" s="44"/>
      <c r="F67" s="46"/>
      <c r="G67" s="46"/>
      <c r="H67" s="46"/>
      <c r="I67" s="48"/>
      <c r="J67" s="48"/>
      <c r="K67" s="47"/>
      <c r="L67" s="46"/>
    </row>
    <row r="68" spans="1:12" s="3" customFormat="1" ht="31.5" customHeight="1">
      <c r="A68" s="46" t="s">
        <v>46</v>
      </c>
      <c r="B68" s="578" t="s">
        <v>47</v>
      </c>
      <c r="C68" s="579"/>
      <c r="D68" s="578" t="s">
        <v>48</v>
      </c>
      <c r="E68" s="579"/>
      <c r="F68" s="578" t="s">
        <v>49</v>
      </c>
      <c r="G68" s="579"/>
      <c r="H68" s="578" t="s">
        <v>50</v>
      </c>
      <c r="I68" s="579"/>
      <c r="J68" s="578" t="s">
        <v>51</v>
      </c>
      <c r="K68" s="579"/>
      <c r="L68" s="49"/>
    </row>
    <row r="69" spans="1:12" s="3" customFormat="1" ht="16.5" customHeight="1">
      <c r="A69" s="50"/>
      <c r="B69" s="583">
        <v>0.84350000000000003</v>
      </c>
      <c r="C69" s="584"/>
      <c r="D69" s="587"/>
      <c r="E69" s="588"/>
      <c r="F69" s="583">
        <v>0.70550000000000002</v>
      </c>
      <c r="G69" s="584"/>
      <c r="H69" s="583">
        <f>F69-B69</f>
        <v>-0.13800000000000001</v>
      </c>
      <c r="I69" s="584"/>
      <c r="J69" s="587" t="s">
        <v>52</v>
      </c>
      <c r="K69" s="588"/>
      <c r="L69" s="49"/>
    </row>
    <row r="70" spans="1:12" s="22" customFormat="1" ht="16.5" customHeight="1">
      <c r="A70" s="50"/>
      <c r="B70" s="585"/>
      <c r="C70" s="586"/>
      <c r="D70" s="589"/>
      <c r="E70" s="590"/>
      <c r="F70" s="585"/>
      <c r="G70" s="586"/>
      <c r="H70" s="585"/>
      <c r="I70" s="586"/>
      <c r="J70" s="589"/>
      <c r="K70" s="590"/>
      <c r="L70" s="49"/>
    </row>
    <row r="71" spans="1:12" s="22" customFormat="1" ht="16.5" customHeight="1">
      <c r="A71" s="35"/>
      <c r="B71" s="27"/>
      <c r="C71" s="27"/>
      <c r="D71" s="27"/>
      <c r="E71" s="35"/>
      <c r="F71" s="58"/>
      <c r="G71" s="58"/>
      <c r="H71" s="58"/>
      <c r="I71" s="58"/>
      <c r="J71" s="68"/>
      <c r="K71" s="68"/>
      <c r="L71" s="3"/>
    </row>
    <row r="72" spans="1:12" s="22" customFormat="1" ht="16.5" customHeight="1">
      <c r="A72" s="35" t="s">
        <v>53</v>
      </c>
      <c r="B72" s="27"/>
      <c r="C72" s="27"/>
      <c r="D72" s="27"/>
      <c r="E72" s="35" t="s">
        <v>54</v>
      </c>
      <c r="F72" s="58"/>
      <c r="G72" s="58"/>
      <c r="H72" s="58"/>
      <c r="I72" s="58"/>
      <c r="J72" s="68" t="s">
        <v>55</v>
      </c>
      <c r="K72" s="68"/>
      <c r="L72" s="3"/>
    </row>
    <row r="73" spans="1:12" s="22" customFormat="1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3"/>
      <c r="K73" s="3"/>
      <c r="L73" s="3"/>
    </row>
    <row r="74" spans="1:12" s="22" customFormat="1" ht="16.5" customHeight="1">
      <c r="A74" s="580" t="s">
        <v>56</v>
      </c>
      <c r="B74" s="580"/>
      <c r="C74" s="580"/>
      <c r="D74" s="27"/>
      <c r="E74" s="580" t="s">
        <v>57</v>
      </c>
      <c r="F74" s="580"/>
      <c r="G74" s="580"/>
      <c r="H74" s="580"/>
      <c r="I74" s="58"/>
      <c r="J74" s="580" t="s">
        <v>58</v>
      </c>
      <c r="K74" s="580"/>
      <c r="L74" s="580"/>
    </row>
    <row r="75" spans="1:12" s="3" customFormat="1" ht="16.5" customHeight="1">
      <c r="A75" s="581" t="s">
        <v>59</v>
      </c>
      <c r="B75" s="581"/>
      <c r="C75" s="581"/>
      <c r="D75" s="27"/>
      <c r="E75" s="581" t="s">
        <v>60</v>
      </c>
      <c r="F75" s="581"/>
      <c r="G75" s="581"/>
      <c r="H75" s="581"/>
      <c r="I75" s="58"/>
      <c r="J75" s="582" t="s">
        <v>61</v>
      </c>
      <c r="K75" s="582"/>
      <c r="L75" s="582"/>
    </row>
    <row r="76" spans="1:12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</row>
    <row r="77" spans="1:12" s="3" customFormat="1" ht="16.5" customHeight="1">
      <c r="A77" s="37"/>
      <c r="B77" s="27"/>
      <c r="C77" s="27"/>
      <c r="D77" s="27"/>
      <c r="E77" s="27"/>
      <c r="F77" s="29"/>
      <c r="G77" s="29"/>
      <c r="H77" s="29"/>
      <c r="I77" s="29"/>
      <c r="J77" s="29"/>
    </row>
    <row r="78" spans="1:12" s="3" customFormat="1" ht="16.5" customHeight="1">
      <c r="A78" s="37"/>
      <c r="B78" s="27"/>
      <c r="C78" s="27"/>
      <c r="D78" s="27"/>
      <c r="E78" s="27"/>
      <c r="F78" s="29"/>
      <c r="G78" s="29"/>
      <c r="H78" s="29"/>
      <c r="I78" s="29"/>
      <c r="J78" s="29"/>
    </row>
    <row r="79" spans="1:12" s="3" customFormat="1" ht="16.5" customHeight="1">
      <c r="A79" s="37"/>
      <c r="B79" s="27"/>
      <c r="C79" s="27"/>
      <c r="D79" s="27"/>
      <c r="E79" s="27"/>
      <c r="F79" s="30"/>
      <c r="G79" s="30"/>
      <c r="H79" s="30"/>
      <c r="I79" s="30"/>
      <c r="J79" s="30"/>
    </row>
    <row r="80" spans="1:12" s="3" customFormat="1" ht="16.5" customHeight="1">
      <c r="A80" s="37"/>
      <c r="B80" s="27"/>
      <c r="C80" s="27"/>
      <c r="D80" s="27"/>
      <c r="E80" s="27"/>
      <c r="F80" s="30"/>
      <c r="G80" s="30"/>
      <c r="H80" s="30"/>
      <c r="I80" s="30"/>
      <c r="J80" s="30"/>
    </row>
    <row r="81" spans="1:10" s="3" customFormat="1" ht="15" customHeight="1">
      <c r="A81" s="27"/>
      <c r="B81" s="27"/>
      <c r="C81" s="27"/>
      <c r="D81" s="27"/>
      <c r="E81" s="27"/>
      <c r="F81" s="29"/>
      <c r="G81" s="29"/>
      <c r="H81" s="29"/>
      <c r="I81" s="29"/>
      <c r="J81" s="29"/>
    </row>
    <row r="82" spans="1:10" s="3" customFormat="1" ht="15" customHeight="1">
      <c r="A82" s="27"/>
      <c r="B82" s="27"/>
      <c r="C82" s="27"/>
      <c r="D82" s="27"/>
      <c r="E82" s="27"/>
      <c r="F82" s="28"/>
      <c r="G82" s="28"/>
      <c r="H82" s="28"/>
      <c r="I82" s="28"/>
      <c r="J82" s="28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5" customHeight="1">
      <c r="A84" s="27"/>
      <c r="B84" s="27"/>
      <c r="C84" s="27"/>
      <c r="D84" s="27"/>
      <c r="E84" s="27"/>
      <c r="F84" s="29"/>
      <c r="G84" s="29"/>
      <c r="H84" s="29"/>
      <c r="I84" s="29"/>
      <c r="J84" s="29"/>
    </row>
    <row r="85" spans="1:10" s="3" customFormat="1" ht="15" customHeight="1">
      <c r="A85" s="27"/>
      <c r="B85" s="27"/>
      <c r="C85" s="27"/>
      <c r="D85" s="27"/>
      <c r="E85" s="27"/>
      <c r="F85" s="30"/>
      <c r="G85" s="30"/>
      <c r="H85" s="30"/>
      <c r="I85" s="30"/>
      <c r="J85" s="30"/>
    </row>
    <row r="86" spans="1:10" s="3" customFormat="1" ht="17.399999999999999">
      <c r="A86" s="27"/>
      <c r="B86" s="27"/>
      <c r="C86" s="27"/>
      <c r="D86" s="27"/>
      <c r="E86" s="27"/>
      <c r="F86" s="30"/>
      <c r="G86" s="30"/>
      <c r="H86" s="30"/>
      <c r="I86" s="30"/>
      <c r="J86" s="30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29"/>
      <c r="G92" s="29"/>
      <c r="H92" s="29"/>
      <c r="I92" s="29"/>
      <c r="J92" s="29"/>
    </row>
    <row r="93" spans="1:10" s="3" customFormat="1" ht="21.9" customHeight="1">
      <c r="A93" s="27"/>
      <c r="B93" s="27"/>
      <c r="C93" s="27"/>
      <c r="D93" s="27"/>
      <c r="E93" s="27"/>
      <c r="F93" s="29"/>
      <c r="G93" s="29"/>
      <c r="H93" s="29"/>
      <c r="I93" s="29"/>
      <c r="J93" s="29"/>
    </row>
    <row r="94" spans="1:10" s="3" customFormat="1" ht="21.9" customHeight="1">
      <c r="A94" s="27"/>
      <c r="B94" s="27"/>
      <c r="C94" s="27"/>
      <c r="D94" s="27"/>
      <c r="E94" s="27"/>
      <c r="F94" s="30"/>
      <c r="G94" s="30"/>
      <c r="H94" s="30"/>
      <c r="I94" s="30"/>
      <c r="J94" s="30"/>
    </row>
    <row r="95" spans="1:10" s="3" customFormat="1" ht="21.9" customHeight="1">
      <c r="A95" s="27"/>
      <c r="B95" s="27"/>
      <c r="C95" s="27"/>
      <c r="D95" s="27"/>
      <c r="E95" s="27"/>
      <c r="F95" s="30"/>
      <c r="G95" s="30"/>
      <c r="H95" s="30"/>
      <c r="I95" s="30"/>
      <c r="J95" s="30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29"/>
      <c r="G121" s="29"/>
      <c r="H121" s="29"/>
      <c r="I121" s="29"/>
      <c r="J121" s="29"/>
    </row>
    <row r="122" spans="1:10" s="3" customFormat="1" ht="21.9" customHeight="1">
      <c r="A122" s="27"/>
      <c r="B122" s="27"/>
      <c r="C122" s="27"/>
      <c r="D122" s="27"/>
      <c r="E122" s="27"/>
      <c r="F122" s="29"/>
      <c r="G122" s="29"/>
      <c r="H122" s="29"/>
      <c r="I122" s="29"/>
      <c r="J122" s="29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4"/>
      <c r="G124" s="4"/>
      <c r="H124" s="4"/>
      <c r="I124" s="4"/>
      <c r="J124" s="4"/>
    </row>
    <row r="125" spans="1:10" s="3" customFormat="1" ht="21.9" customHeight="1">
      <c r="A125" s="27"/>
      <c r="B125" s="27"/>
      <c r="C125" s="27"/>
      <c r="D125" s="27"/>
      <c r="E125" s="27"/>
      <c r="F125" s="4"/>
      <c r="G125" s="4"/>
      <c r="H125" s="4"/>
      <c r="I125" s="4"/>
      <c r="J125" s="4"/>
    </row>
    <row r="126" spans="1:10" s="3" customFormat="1" ht="21.9" customHeight="1">
      <c r="A126" s="27"/>
      <c r="B126" s="27"/>
      <c r="C126" s="27"/>
      <c r="D126" s="27"/>
      <c r="E126" s="27"/>
      <c r="F126" s="29"/>
      <c r="G126" s="29"/>
      <c r="H126" s="29"/>
      <c r="I126" s="29"/>
      <c r="J126" s="29"/>
    </row>
    <row r="127" spans="1:10" s="3" customFormat="1" ht="21.9" customHeight="1">
      <c r="A127" s="27"/>
      <c r="B127" s="27"/>
      <c r="C127" s="27"/>
      <c r="D127" s="27"/>
      <c r="E127" s="27"/>
      <c r="F127" s="29"/>
      <c r="G127" s="29"/>
      <c r="H127" s="29"/>
      <c r="I127" s="29"/>
      <c r="J127" s="29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4"/>
      <c r="G129" s="4"/>
      <c r="H129" s="4"/>
      <c r="I129" s="4"/>
      <c r="J129" s="4"/>
    </row>
    <row r="130" spans="1:10" s="3" customFormat="1" ht="21.9" customHeight="1">
      <c r="A130" s="27"/>
      <c r="B130" s="27"/>
      <c r="C130" s="27"/>
      <c r="D130" s="27"/>
      <c r="E130" s="27"/>
      <c r="F130" s="4"/>
      <c r="G130" s="4"/>
      <c r="H130" s="4"/>
      <c r="I130" s="4"/>
      <c r="J130" s="4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29"/>
      <c r="G132" s="29"/>
      <c r="H132" s="29"/>
      <c r="I132" s="29"/>
      <c r="J132" s="29"/>
    </row>
    <row r="133" spans="1:10" s="3" customFormat="1" ht="21.9" customHeight="1">
      <c r="A133" s="27"/>
      <c r="B133" s="27"/>
      <c r="C133" s="27"/>
      <c r="D133" s="27"/>
      <c r="E133" s="27"/>
      <c r="F133" s="29"/>
      <c r="G133" s="29"/>
      <c r="H133" s="29"/>
      <c r="I133" s="29"/>
      <c r="J133" s="29"/>
    </row>
    <row r="134" spans="1:10" s="3" customFormat="1" ht="21.9" customHeight="1">
      <c r="A134" s="27"/>
      <c r="B134" s="27"/>
      <c r="C134" s="27"/>
      <c r="D134" s="27"/>
      <c r="E134" s="27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31"/>
      <c r="G141" s="31"/>
      <c r="H141" s="31"/>
      <c r="I141" s="31"/>
      <c r="J141" s="31"/>
    </row>
    <row r="142" spans="1:10" s="3" customFormat="1" ht="21.9" customHeight="1">
      <c r="A142" s="32"/>
      <c r="B142" s="32"/>
      <c r="C142" s="32"/>
      <c r="D142" s="32"/>
      <c r="E142" s="32"/>
      <c r="F142" s="31"/>
      <c r="G142" s="31"/>
      <c r="H142" s="31"/>
      <c r="I142" s="31"/>
      <c r="J142" s="31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28"/>
      <c r="G145" s="28"/>
      <c r="H145" s="28"/>
      <c r="I145" s="28"/>
      <c r="J145" s="28"/>
    </row>
    <row r="146" spans="1:12" s="3" customFormat="1" ht="21.9" customHeight="1">
      <c r="A146" s="32"/>
      <c r="B146" s="32"/>
      <c r="C146" s="32"/>
      <c r="D146" s="32"/>
      <c r="E146" s="32"/>
      <c r="F146" s="28"/>
      <c r="G146" s="28"/>
      <c r="H146" s="28"/>
      <c r="I146" s="28"/>
      <c r="J146" s="28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31"/>
      <c r="G148" s="31"/>
      <c r="H148" s="31"/>
      <c r="I148" s="31"/>
      <c r="J148" s="31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29"/>
      <c r="G150" s="29"/>
      <c r="H150" s="29"/>
      <c r="I150" s="29"/>
      <c r="J150" s="29"/>
    </row>
    <row r="151" spans="1:12" s="3" customFormat="1" ht="21.9" customHeight="1">
      <c r="A151" s="32"/>
      <c r="B151" s="32"/>
      <c r="C151" s="32"/>
      <c r="D151" s="32"/>
      <c r="E151" s="32"/>
      <c r="F151" s="31"/>
      <c r="G151" s="31"/>
      <c r="H151" s="31"/>
      <c r="I151" s="31"/>
      <c r="J151" s="31"/>
    </row>
    <row r="152" spans="1:12" s="3" customFormat="1" ht="21.9" customHeight="1">
      <c r="A152" s="32"/>
      <c r="B152" s="32"/>
      <c r="C152" s="32"/>
      <c r="D152" s="32"/>
      <c r="E152" s="32"/>
      <c r="F152" s="31"/>
      <c r="G152" s="31"/>
      <c r="H152" s="31"/>
      <c r="I152" s="31"/>
      <c r="J152" s="31"/>
    </row>
    <row r="153" spans="1:12" s="3" customFormat="1" ht="21.9" customHeight="1">
      <c r="A153" s="32"/>
      <c r="B153" s="32"/>
      <c r="C153" s="32"/>
      <c r="D153" s="32"/>
      <c r="E153" s="32"/>
      <c r="F153" s="33"/>
      <c r="G153" s="33"/>
      <c r="H153" s="33"/>
      <c r="I153" s="33"/>
      <c r="J153" s="33"/>
    </row>
    <row r="154" spans="1:12" s="3" customFormat="1" ht="21.9" customHeight="1">
      <c r="A154" s="32"/>
      <c r="B154" s="32"/>
      <c r="C154" s="32"/>
      <c r="D154" s="32"/>
      <c r="E154" s="32"/>
      <c r="F154" s="33"/>
      <c r="G154" s="33"/>
      <c r="H154" s="33"/>
      <c r="I154" s="33"/>
      <c r="J154" s="33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4"/>
      <c r="G158" s="14"/>
      <c r="H158" s="14"/>
      <c r="I158" s="14"/>
      <c r="J158" s="14"/>
      <c r="K158" s="9"/>
      <c r="L158" s="9"/>
    </row>
    <row r="159" spans="1:12" s="3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  <c r="K159" s="9"/>
      <c r="L159" s="9"/>
    </row>
    <row r="160" spans="1:12" s="3" customFormat="1" ht="21.9" customHeight="1">
      <c r="A160" s="13"/>
      <c r="B160" s="13"/>
      <c r="C160" s="13"/>
      <c r="D160" s="13"/>
      <c r="E160" s="13"/>
      <c r="F160" s="10"/>
      <c r="G160" s="10"/>
      <c r="H160" s="10"/>
      <c r="I160" s="10"/>
      <c r="J160" s="10"/>
      <c r="K160" s="9"/>
      <c r="L160" s="9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14"/>
      <c r="G162" s="14"/>
      <c r="H162" s="14"/>
      <c r="I162" s="14"/>
      <c r="J162" s="14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8"/>
      <c r="G164" s="8"/>
      <c r="H164" s="8"/>
      <c r="I164" s="8"/>
      <c r="J164" s="8"/>
    </row>
    <row r="165" spans="1:10" s="9" customFormat="1" ht="21.9" customHeight="1">
      <c r="A165" s="13"/>
      <c r="B165" s="13"/>
      <c r="C165" s="13"/>
      <c r="D165" s="13"/>
      <c r="E165" s="13"/>
      <c r="F165" s="14"/>
      <c r="G165" s="14"/>
      <c r="H165" s="14"/>
      <c r="I165" s="14"/>
      <c r="J165" s="14"/>
    </row>
    <row r="166" spans="1:10" s="9" customFormat="1" ht="21.9" customHeight="1">
      <c r="A166" s="13"/>
      <c r="B166" s="13"/>
      <c r="C166" s="13"/>
      <c r="D166" s="13"/>
      <c r="E166" s="13"/>
      <c r="F166" s="10"/>
      <c r="G166" s="10"/>
      <c r="H166" s="10"/>
      <c r="I166" s="10"/>
      <c r="J166" s="10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2"/>
      <c r="G171" s="12"/>
      <c r="H171" s="12"/>
      <c r="I171" s="12"/>
      <c r="J171" s="12"/>
    </row>
    <row r="172" spans="1:10" s="9" customFormat="1" ht="21.9" customHeight="1">
      <c r="A172" s="13"/>
      <c r="B172" s="13"/>
      <c r="C172" s="13"/>
      <c r="D172" s="13"/>
      <c r="E172" s="13"/>
      <c r="F172" s="12"/>
      <c r="G172" s="12"/>
      <c r="H172" s="12"/>
      <c r="I172" s="12"/>
      <c r="J172" s="12"/>
    </row>
    <row r="173" spans="1:10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8"/>
      <c r="G178" s="8"/>
      <c r="H178" s="8"/>
      <c r="I178" s="8"/>
      <c r="J178" s="8"/>
    </row>
    <row r="179" spans="1:10" s="9" customFormat="1" ht="21.9" customHeight="1">
      <c r="A179" s="13"/>
      <c r="B179" s="13"/>
      <c r="C179" s="13"/>
      <c r="D179" s="13"/>
      <c r="E179" s="13"/>
      <c r="F179" s="8"/>
      <c r="G179" s="8"/>
      <c r="H179" s="8"/>
      <c r="I179" s="8"/>
      <c r="J179" s="8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0"/>
      <c r="G182" s="10"/>
      <c r="H182" s="10"/>
      <c r="I182" s="10"/>
      <c r="J182" s="10"/>
    </row>
    <row r="183" spans="1:10" s="9" customFormat="1" ht="21.9" customHeight="1">
      <c r="A183" s="13"/>
      <c r="B183" s="13"/>
      <c r="C183" s="13"/>
      <c r="D183" s="13"/>
      <c r="E183" s="13"/>
      <c r="F183" s="10"/>
      <c r="G183" s="10"/>
      <c r="H183" s="10"/>
      <c r="I183" s="10"/>
      <c r="J183" s="10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</row>
    <row r="186" spans="1:10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</row>
    <row r="187" spans="1:10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</row>
    <row r="188" spans="1:10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</row>
    <row r="189" spans="1:10" s="9" customFormat="1" ht="21.9" customHeight="1">
      <c r="A189" s="13"/>
      <c r="B189" s="13"/>
      <c r="C189" s="13"/>
      <c r="D189" s="13"/>
      <c r="E189" s="13"/>
      <c r="F189" s="12"/>
      <c r="G189" s="12"/>
      <c r="H189" s="12"/>
      <c r="I189" s="12"/>
      <c r="J189" s="12"/>
    </row>
    <row r="190" spans="1:10" s="9" customFormat="1" ht="21.9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8"/>
      <c r="G195" s="8"/>
      <c r="H195" s="8"/>
      <c r="I195" s="8"/>
      <c r="J195" s="8"/>
    </row>
    <row r="196" spans="1:10" s="9" customFormat="1" ht="21.9" customHeight="1">
      <c r="A196" s="13"/>
      <c r="B196" s="13"/>
      <c r="C196" s="13"/>
      <c r="D196" s="13"/>
      <c r="E196" s="13"/>
      <c r="F196" s="8"/>
      <c r="G196" s="8"/>
      <c r="H196" s="8"/>
      <c r="I196" s="8"/>
      <c r="J196" s="8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3"/>
      <c r="B199" s="13"/>
      <c r="C199" s="13"/>
      <c r="D199" s="13"/>
      <c r="E199" s="13"/>
      <c r="F199" s="11"/>
      <c r="G199" s="11"/>
      <c r="H199" s="11"/>
      <c r="I199" s="11"/>
      <c r="J199" s="11"/>
    </row>
    <row r="200" spans="1:10" s="9" customFormat="1" ht="21.9" customHeight="1">
      <c r="A200" s="13"/>
      <c r="B200" s="13"/>
      <c r="C200" s="13"/>
      <c r="D200" s="13"/>
      <c r="E200" s="13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1"/>
      <c r="G202" s="11"/>
      <c r="H202" s="11"/>
      <c r="I202" s="11"/>
      <c r="J202" s="11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12"/>
      <c r="G207" s="12"/>
      <c r="H207" s="12"/>
      <c r="I207" s="12"/>
      <c r="J207" s="12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8"/>
      <c r="G209" s="8"/>
      <c r="H209" s="8"/>
      <c r="I209" s="8"/>
      <c r="J209" s="8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12"/>
      <c r="G211" s="12"/>
      <c r="H211" s="12"/>
      <c r="I211" s="12"/>
      <c r="J211" s="12"/>
    </row>
    <row r="212" spans="1:10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8"/>
      <c r="G217" s="8"/>
      <c r="H217" s="8"/>
      <c r="I217" s="8"/>
      <c r="J217" s="8"/>
    </row>
    <row r="218" spans="1:10" s="9" customFormat="1" ht="21.9" customHeight="1">
      <c r="A218" s="15"/>
      <c r="B218" s="15"/>
      <c r="C218" s="15"/>
      <c r="D218" s="15"/>
      <c r="E218" s="15"/>
      <c r="F218" s="8"/>
      <c r="G218" s="8"/>
      <c r="H218" s="8"/>
      <c r="I218" s="8"/>
      <c r="J218" s="8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11"/>
      <c r="G223" s="11"/>
      <c r="H223" s="11"/>
      <c r="I223" s="11"/>
      <c r="J223" s="11"/>
    </row>
    <row r="224" spans="1:10" s="9" customFormat="1" ht="21.9" customHeight="1">
      <c r="A224" s="15"/>
      <c r="B224" s="15"/>
      <c r="C224" s="15"/>
      <c r="D224" s="15"/>
      <c r="E224" s="15"/>
      <c r="F224" s="11"/>
      <c r="G224" s="11"/>
      <c r="H224" s="11"/>
      <c r="I224" s="11"/>
      <c r="J224" s="11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</row>
    <row r="231" spans="1:10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</row>
    <row r="232" spans="1:10" s="9" customFormat="1" ht="21.9" customHeight="1">
      <c r="A232" s="6"/>
      <c r="B232" s="6"/>
      <c r="C232" s="6"/>
      <c r="D232" s="6"/>
      <c r="E232" s="6"/>
      <c r="F232" s="12"/>
      <c r="G232" s="12"/>
      <c r="H232" s="12"/>
      <c r="I232" s="12"/>
      <c r="J232" s="12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11"/>
      <c r="G234" s="11"/>
      <c r="H234" s="11"/>
      <c r="I234" s="11"/>
      <c r="J234" s="11"/>
    </row>
    <row r="235" spans="1:10" s="9" customFormat="1" ht="21.9" customHeight="1">
      <c r="A235" s="6"/>
      <c r="B235" s="6"/>
      <c r="C235" s="6"/>
      <c r="D235" s="6"/>
      <c r="E235" s="6"/>
      <c r="F235" s="12"/>
      <c r="G235" s="12"/>
      <c r="H235" s="12"/>
      <c r="I235" s="12"/>
      <c r="J235" s="12"/>
    </row>
    <row r="236" spans="1:10" s="9" customFormat="1" ht="21.9" customHeight="1">
      <c r="A236" s="6"/>
      <c r="B236" s="6"/>
      <c r="C236" s="6"/>
      <c r="D236" s="6"/>
      <c r="E236" s="6"/>
      <c r="F236" s="8"/>
      <c r="G236" s="8"/>
      <c r="H236" s="8"/>
      <c r="I236" s="8"/>
      <c r="J236" s="8"/>
    </row>
    <row r="237" spans="1:10" s="9" customFormat="1" ht="21.9" customHeight="1">
      <c r="A237" s="6"/>
      <c r="B237" s="6"/>
      <c r="C237" s="6"/>
      <c r="D237" s="6"/>
      <c r="E237" s="6"/>
      <c r="F237" s="8"/>
      <c r="G237" s="8"/>
      <c r="H237" s="8"/>
      <c r="I237" s="8"/>
      <c r="J237" s="8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2"/>
      <c r="G239" s="12"/>
      <c r="H239" s="12"/>
      <c r="I239" s="12"/>
      <c r="J239" s="12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</row>
    <row r="247" spans="1:10" s="9" customFormat="1" ht="21.9" customHeight="1">
      <c r="A247" s="6"/>
      <c r="B247" s="6"/>
      <c r="C247" s="6"/>
      <c r="D247" s="6"/>
      <c r="E247" s="6"/>
      <c r="F247" s="11"/>
      <c r="G247" s="11"/>
      <c r="H247" s="11"/>
      <c r="I247" s="11"/>
      <c r="J247" s="11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21.9" customHeight="1">
      <c r="A252" s="6"/>
      <c r="B252" s="6"/>
      <c r="C252" s="6"/>
      <c r="D252" s="6"/>
      <c r="E252" s="6"/>
      <c r="F252" s="8"/>
      <c r="G252" s="8"/>
      <c r="H252" s="8"/>
      <c r="I252" s="8"/>
      <c r="J252" s="8"/>
    </row>
    <row r="253" spans="1:10" s="9" customFormat="1" ht="21.9" customHeight="1">
      <c r="A253" s="6"/>
      <c r="B253" s="6"/>
      <c r="C253" s="6"/>
      <c r="D253" s="6"/>
      <c r="E253" s="6"/>
      <c r="F253" s="8"/>
      <c r="G253" s="8"/>
      <c r="H253" s="8"/>
      <c r="I253" s="8"/>
      <c r="J253" s="8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0"/>
      <c r="G255" s="10"/>
      <c r="H255" s="10"/>
      <c r="I255" s="10"/>
      <c r="J255" s="10"/>
    </row>
    <row r="256" spans="1:10" s="9" customFormat="1" ht="13.2">
      <c r="A256" s="6"/>
      <c r="B256" s="6"/>
      <c r="C256" s="6"/>
      <c r="D256" s="6"/>
      <c r="E256" s="6"/>
      <c r="F256" s="12"/>
      <c r="G256" s="12"/>
      <c r="H256" s="12"/>
      <c r="I256" s="12"/>
      <c r="J256" s="12"/>
    </row>
    <row r="257" spans="1:10" s="9" customFormat="1" ht="13.2">
      <c r="A257" s="6"/>
      <c r="B257" s="6"/>
      <c r="C257" s="6"/>
      <c r="D257" s="6"/>
      <c r="E257" s="6"/>
      <c r="F257" s="12"/>
      <c r="G257" s="12"/>
      <c r="H257" s="12"/>
      <c r="I257" s="12"/>
      <c r="J257" s="12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8"/>
      <c r="G260" s="8"/>
      <c r="H260" s="8"/>
      <c r="I260" s="8"/>
      <c r="J260" s="8"/>
    </row>
    <row r="261" spans="1:10" s="9" customFormat="1" ht="13.2">
      <c r="A261" s="6"/>
      <c r="B261" s="6"/>
      <c r="C261" s="6"/>
      <c r="D261" s="6"/>
      <c r="E261" s="6"/>
      <c r="F261" s="8"/>
      <c r="G261" s="8"/>
      <c r="H261" s="8"/>
      <c r="I261" s="8"/>
      <c r="J261" s="8"/>
    </row>
    <row r="262" spans="1:10" s="9" customFormat="1" ht="13.2">
      <c r="A262" s="6"/>
      <c r="B262" s="6"/>
      <c r="C262" s="6"/>
      <c r="D262" s="6"/>
      <c r="E262" s="6"/>
      <c r="F262" s="11"/>
      <c r="G262" s="11"/>
      <c r="H262" s="11"/>
      <c r="I262" s="11"/>
      <c r="J262" s="11"/>
    </row>
    <row r="263" spans="1:10" s="9" customFormat="1" ht="13.2">
      <c r="A263" s="6"/>
      <c r="B263" s="6"/>
      <c r="C263" s="6"/>
      <c r="D263" s="6"/>
      <c r="E263" s="6"/>
      <c r="F263" s="12"/>
      <c r="G263" s="12"/>
      <c r="H263" s="12"/>
      <c r="I263" s="12"/>
      <c r="J263" s="12"/>
    </row>
    <row r="264" spans="1:10" s="9" customFormat="1" ht="13.2">
      <c r="A264" s="6"/>
      <c r="B264" s="6"/>
      <c r="C264" s="6"/>
      <c r="D264" s="6"/>
      <c r="E264" s="6"/>
      <c r="F264" s="10"/>
      <c r="G264" s="10"/>
      <c r="H264" s="10"/>
      <c r="I264" s="10"/>
      <c r="J264" s="10"/>
    </row>
    <row r="265" spans="1:10" s="9" customFormat="1" ht="13.2">
      <c r="A265" s="6"/>
      <c r="B265" s="6"/>
      <c r="C265" s="6"/>
      <c r="D265" s="6"/>
      <c r="E265" s="6"/>
      <c r="F265" s="11"/>
      <c r="G265" s="11"/>
      <c r="H265" s="11"/>
      <c r="I265" s="11"/>
      <c r="J265" s="11"/>
    </row>
    <row r="266" spans="1:10" s="9" customFormat="1" ht="13.2">
      <c r="A266" s="6"/>
      <c r="B266" s="6"/>
      <c r="C266" s="6"/>
      <c r="D266" s="6"/>
      <c r="E266" s="6"/>
      <c r="F266" s="8"/>
      <c r="G266" s="8"/>
      <c r="H266" s="8"/>
      <c r="I266" s="8"/>
      <c r="J266" s="8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7"/>
      <c r="G269" s="7"/>
      <c r="H269" s="7"/>
      <c r="I269" s="7"/>
      <c r="J269" s="7"/>
    </row>
    <row r="270" spans="1:10" s="9" customFormat="1" ht="13.2">
      <c r="A270" s="6"/>
      <c r="B270" s="6"/>
      <c r="C270" s="6"/>
      <c r="D270" s="6"/>
      <c r="E270" s="6"/>
      <c r="F270" s="7"/>
      <c r="G270" s="7"/>
      <c r="H270" s="7"/>
      <c r="I270" s="7"/>
      <c r="J270" s="7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</row>
    <row r="278" spans="1:10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11"/>
      <c r="G280" s="11"/>
      <c r="H280" s="11"/>
      <c r="I280" s="11"/>
      <c r="J280" s="11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12"/>
      <c r="G283" s="12"/>
      <c r="H283" s="12"/>
      <c r="I283" s="12"/>
      <c r="J283" s="12"/>
    </row>
    <row r="284" spans="1:10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12"/>
      <c r="G286" s="12"/>
      <c r="H286" s="12"/>
      <c r="I286" s="12"/>
      <c r="J286" s="12"/>
    </row>
    <row r="287" spans="1:10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11"/>
      <c r="G289" s="11"/>
      <c r="H289" s="11"/>
      <c r="I289" s="11"/>
      <c r="J289" s="11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11"/>
      <c r="G293" s="11"/>
      <c r="H293" s="11"/>
      <c r="I293" s="11"/>
      <c r="J293" s="11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</row>
    <row r="299" spans="1:10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</row>
    <row r="300" spans="1:10" s="9" customFormat="1" ht="13.2">
      <c r="A300" s="6"/>
      <c r="B300" s="6"/>
      <c r="C300" s="6"/>
      <c r="D300" s="6"/>
      <c r="E300" s="6"/>
      <c r="F300" s="10"/>
      <c r="G300" s="10"/>
      <c r="H300" s="10"/>
      <c r="I300" s="10"/>
      <c r="J300" s="10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11"/>
      <c r="G303" s="11"/>
      <c r="H303" s="11"/>
      <c r="I303" s="11"/>
      <c r="J303" s="11"/>
    </row>
    <row r="304" spans="1:10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</row>
    <row r="305" spans="1:10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</row>
    <row r="306" spans="1:10" s="9" customFormat="1" ht="13.2">
      <c r="A306" s="6"/>
      <c r="B306" s="6"/>
      <c r="C306" s="6"/>
      <c r="D306" s="6"/>
      <c r="E306" s="6"/>
      <c r="F306" s="11"/>
      <c r="G306" s="11"/>
      <c r="H306" s="11"/>
      <c r="I306" s="11"/>
      <c r="J306" s="11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 s="9" customFormat="1" ht="13.2">
      <c r="A309" s="6"/>
      <c r="B309" s="6"/>
      <c r="C309" s="6"/>
      <c r="D309" s="6"/>
      <c r="E309" s="6"/>
      <c r="F309" s="11"/>
      <c r="G309" s="11"/>
      <c r="H309" s="11"/>
      <c r="I309" s="11"/>
      <c r="J309" s="11"/>
    </row>
    <row r="310" spans="1:10" s="9" customFormat="1" ht="13.2">
      <c r="A310" s="6"/>
      <c r="B310" s="6"/>
      <c r="C310" s="6"/>
      <c r="D310" s="6"/>
      <c r="E310" s="6"/>
      <c r="F310" s="11"/>
      <c r="G310" s="11"/>
      <c r="H310" s="11"/>
      <c r="I310" s="11"/>
      <c r="J310" s="11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</row>
    <row r="315" spans="1:10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</row>
    <row r="316" spans="1:10" s="9" customFormat="1" ht="13.2">
      <c r="A316" s="6"/>
      <c r="B316" s="6"/>
      <c r="C316" s="6"/>
      <c r="D316" s="6"/>
      <c r="E316" s="6"/>
      <c r="F316" s="7"/>
      <c r="G316" s="7"/>
      <c r="H316" s="7"/>
      <c r="I316" s="7"/>
      <c r="J316" s="7"/>
    </row>
    <row r="317" spans="1:10" s="9" customFormat="1" ht="13.2">
      <c r="A317" s="6"/>
      <c r="B317" s="6"/>
      <c r="C317" s="6"/>
      <c r="D317" s="6"/>
      <c r="E317" s="6"/>
      <c r="F317" s="7"/>
      <c r="G317" s="7"/>
      <c r="H317" s="7"/>
      <c r="I317" s="7"/>
      <c r="J317" s="7"/>
    </row>
    <row r="318" spans="1:10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</row>
    <row r="319" spans="1:10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8"/>
      <c r="G321" s="8"/>
      <c r="H321" s="8"/>
      <c r="I321" s="8"/>
      <c r="J321" s="8"/>
    </row>
    <row r="322" spans="1:10" s="9" customFormat="1" ht="13.2">
      <c r="A322" s="6"/>
      <c r="B322" s="6"/>
      <c r="C322" s="6"/>
      <c r="D322" s="6"/>
      <c r="E322" s="6"/>
      <c r="F322" s="7"/>
      <c r="G322" s="7"/>
      <c r="H322" s="7"/>
      <c r="I322" s="7"/>
      <c r="J322" s="7"/>
    </row>
    <row r="323" spans="1:10" s="9" customFormat="1" ht="13.2">
      <c r="A323" s="6"/>
      <c r="B323" s="6"/>
      <c r="C323" s="6"/>
      <c r="D323" s="6"/>
      <c r="E323" s="6"/>
      <c r="F323" s="7"/>
      <c r="G323" s="7"/>
      <c r="H323" s="7"/>
      <c r="I323" s="7"/>
      <c r="J323" s="7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</row>
    <row r="330" spans="1:10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</row>
    <row r="331" spans="1:10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</row>
    <row r="332" spans="1:10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</row>
    <row r="359" spans="1:10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10"/>
      <c r="G361" s="10"/>
      <c r="H361" s="10"/>
      <c r="I361" s="10"/>
      <c r="J361" s="10"/>
    </row>
    <row r="362" spans="1:10" s="9" customFormat="1" ht="13.2">
      <c r="A362" s="6"/>
      <c r="B362" s="6"/>
      <c r="C362" s="6"/>
      <c r="D362" s="6"/>
      <c r="E362" s="6"/>
      <c r="F362" s="10"/>
      <c r="G362" s="10"/>
      <c r="H362" s="10"/>
      <c r="I362" s="10"/>
      <c r="J362" s="10"/>
    </row>
    <row r="363" spans="1:10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</row>
    <row r="364" spans="1:10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10"/>
      <c r="G366" s="10"/>
      <c r="H366" s="10"/>
      <c r="I366" s="10"/>
      <c r="J366" s="10"/>
    </row>
    <row r="367" spans="1:10" s="9" customFormat="1" ht="13.2">
      <c r="A367" s="6"/>
      <c r="B367" s="6"/>
      <c r="C367" s="6"/>
      <c r="D367" s="6"/>
      <c r="E367" s="6"/>
      <c r="F367" s="10"/>
      <c r="G367" s="10"/>
      <c r="H367" s="10"/>
      <c r="I367" s="10"/>
      <c r="J367" s="10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</row>
    <row r="370" spans="1:10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</row>
    <row r="371" spans="1:10" s="9" customFormat="1" ht="13.2">
      <c r="A371" s="6"/>
      <c r="B371" s="6"/>
      <c r="C371" s="6"/>
      <c r="D371" s="6"/>
      <c r="E371" s="6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2"/>
      <c r="G378" s="12"/>
      <c r="H378" s="12"/>
      <c r="I378" s="12"/>
      <c r="J378" s="12"/>
    </row>
    <row r="379" spans="1:10" s="9" customFormat="1" ht="13.2">
      <c r="A379" s="13"/>
      <c r="B379" s="13"/>
      <c r="C379" s="13"/>
      <c r="D379" s="13"/>
      <c r="E379" s="13"/>
      <c r="F379" s="12"/>
      <c r="G379" s="12"/>
      <c r="H379" s="12"/>
      <c r="I379" s="12"/>
      <c r="J379" s="12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1"/>
      <c r="G382" s="11"/>
      <c r="H382" s="11"/>
      <c r="I382" s="11"/>
      <c r="J382" s="11"/>
    </row>
    <row r="383" spans="1:10" s="9" customFormat="1" ht="13.2">
      <c r="A383" s="13"/>
      <c r="B383" s="13"/>
      <c r="C383" s="13"/>
      <c r="D383" s="13"/>
      <c r="E383" s="13"/>
      <c r="F383" s="11"/>
      <c r="G383" s="11"/>
      <c r="H383" s="11"/>
      <c r="I383" s="11"/>
      <c r="J383" s="11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8"/>
      <c r="G387" s="8"/>
      <c r="H387" s="8"/>
      <c r="I387" s="8"/>
      <c r="J387" s="8"/>
    </row>
    <row r="388" spans="1:10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</row>
    <row r="389" spans="1:10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4"/>
      <c r="G395" s="14"/>
      <c r="H395" s="14"/>
      <c r="I395" s="14"/>
      <c r="J395" s="14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0"/>
      <c r="G397" s="10"/>
      <c r="H397" s="10"/>
      <c r="I397" s="10"/>
      <c r="J397" s="10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14"/>
      <c r="G399" s="14"/>
      <c r="H399" s="14"/>
      <c r="I399" s="14"/>
      <c r="J399" s="14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8"/>
      <c r="G401" s="8"/>
      <c r="H401" s="8"/>
      <c r="I401" s="8"/>
      <c r="J401" s="8"/>
    </row>
    <row r="402" spans="1:10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</row>
    <row r="403" spans="1:10" s="9" customFormat="1" ht="13.2">
      <c r="A403" s="13"/>
      <c r="B403" s="13"/>
      <c r="C403" s="13"/>
      <c r="D403" s="13"/>
      <c r="E403" s="13"/>
      <c r="F403" s="10"/>
      <c r="G403" s="10"/>
      <c r="H403" s="10"/>
      <c r="I403" s="10"/>
      <c r="J403" s="10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2"/>
      <c r="G408" s="12"/>
      <c r="H408" s="12"/>
      <c r="I408" s="12"/>
      <c r="J408" s="12"/>
    </row>
    <row r="409" spans="1:10" s="9" customFormat="1" ht="13.2">
      <c r="A409" s="13"/>
      <c r="B409" s="13"/>
      <c r="C409" s="13"/>
      <c r="D409" s="13"/>
      <c r="E409" s="13"/>
      <c r="F409" s="12"/>
      <c r="G409" s="12"/>
      <c r="H409" s="12"/>
      <c r="I409" s="12"/>
      <c r="J409" s="12"/>
    </row>
    <row r="410" spans="1:10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</row>
    <row r="416" spans="1:10" s="9" customFormat="1" ht="13.2">
      <c r="A416" s="13"/>
      <c r="B416" s="13"/>
      <c r="C416" s="13"/>
      <c r="D416" s="13"/>
      <c r="E416" s="13"/>
      <c r="F416" s="8"/>
      <c r="G416" s="8"/>
      <c r="H416" s="8"/>
      <c r="I416" s="8"/>
      <c r="J416" s="8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0"/>
      <c r="G419" s="10"/>
      <c r="H419" s="10"/>
      <c r="I419" s="10"/>
      <c r="J419" s="10"/>
    </row>
    <row r="420" spans="1:10" s="9" customFormat="1" ht="13.2">
      <c r="A420" s="13"/>
      <c r="B420" s="13"/>
      <c r="C420" s="13"/>
      <c r="D420" s="13"/>
      <c r="E420" s="13"/>
      <c r="F420" s="10"/>
      <c r="G420" s="10"/>
      <c r="H420" s="10"/>
      <c r="I420" s="10"/>
      <c r="J420" s="10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</row>
    <row r="423" spans="1:10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</row>
    <row r="424" spans="1:10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</row>
    <row r="425" spans="1:10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</row>
    <row r="426" spans="1:10" s="9" customFormat="1" ht="13.2">
      <c r="A426" s="13"/>
      <c r="B426" s="13"/>
      <c r="C426" s="13"/>
      <c r="D426" s="13"/>
      <c r="E426" s="13"/>
      <c r="F426" s="12"/>
      <c r="G426" s="12"/>
      <c r="H426" s="12"/>
      <c r="I426" s="12"/>
      <c r="J426" s="12"/>
    </row>
    <row r="427" spans="1:10" s="9" customFormat="1" ht="13.2">
      <c r="A427" s="13"/>
      <c r="B427" s="13"/>
      <c r="C427" s="13"/>
      <c r="D427" s="13"/>
      <c r="E427" s="13"/>
      <c r="F427" s="12"/>
      <c r="G427" s="12"/>
      <c r="H427" s="12"/>
      <c r="I427" s="12"/>
      <c r="J427" s="12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8"/>
      <c r="G432" s="8"/>
      <c r="H432" s="8"/>
      <c r="I432" s="8"/>
      <c r="J432" s="8"/>
    </row>
    <row r="433" spans="1:10" s="9" customFormat="1" ht="13.2">
      <c r="A433" s="13"/>
      <c r="B433" s="13"/>
      <c r="C433" s="13"/>
      <c r="D433" s="13"/>
      <c r="E433" s="13"/>
      <c r="F433" s="8"/>
      <c r="G433" s="8"/>
      <c r="H433" s="8"/>
      <c r="I433" s="8"/>
      <c r="J433" s="8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3"/>
      <c r="B436" s="13"/>
      <c r="C436" s="13"/>
      <c r="D436" s="13"/>
      <c r="E436" s="13"/>
      <c r="F436" s="11"/>
      <c r="G436" s="11"/>
      <c r="H436" s="11"/>
      <c r="I436" s="11"/>
      <c r="J436" s="11"/>
    </row>
    <row r="437" spans="1:10" s="9" customFormat="1" ht="13.2">
      <c r="A437" s="13"/>
      <c r="B437" s="13"/>
      <c r="C437" s="13"/>
      <c r="D437" s="13"/>
      <c r="E437" s="13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1"/>
      <c r="G439" s="11"/>
      <c r="H439" s="11"/>
      <c r="I439" s="11"/>
      <c r="J439" s="11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12"/>
      <c r="G444" s="12"/>
      <c r="H444" s="12"/>
      <c r="I444" s="12"/>
      <c r="J444" s="12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8"/>
      <c r="G446" s="8"/>
      <c r="H446" s="8"/>
      <c r="I446" s="8"/>
      <c r="J446" s="8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12"/>
      <c r="G448" s="12"/>
      <c r="H448" s="12"/>
      <c r="I448" s="12"/>
      <c r="J448" s="12"/>
    </row>
    <row r="449" spans="1:10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8"/>
      <c r="G454" s="8"/>
      <c r="H454" s="8"/>
      <c r="I454" s="8"/>
      <c r="J454" s="8"/>
    </row>
    <row r="455" spans="1:10" s="9" customFormat="1" ht="13.2">
      <c r="A455" s="15"/>
      <c r="B455" s="15"/>
      <c r="C455" s="15"/>
      <c r="D455" s="15"/>
      <c r="E455" s="15"/>
      <c r="F455" s="8"/>
      <c r="G455" s="8"/>
      <c r="H455" s="8"/>
      <c r="I455" s="8"/>
      <c r="J455" s="8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11"/>
      <c r="G460" s="11"/>
      <c r="H460" s="11"/>
      <c r="I460" s="11"/>
      <c r="J460" s="11"/>
    </row>
    <row r="461" spans="1:10" s="9" customFormat="1" ht="13.2">
      <c r="A461" s="15"/>
      <c r="B461" s="15"/>
      <c r="C461" s="15"/>
      <c r="D461" s="15"/>
      <c r="E461" s="15"/>
      <c r="F461" s="11"/>
      <c r="G461" s="11"/>
      <c r="H461" s="11"/>
      <c r="I461" s="11"/>
      <c r="J461" s="11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</row>
    <row r="468" spans="1:10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</row>
    <row r="469" spans="1:10" s="9" customFormat="1" ht="13.2">
      <c r="A469" s="6"/>
      <c r="B469" s="6"/>
      <c r="C469" s="6"/>
      <c r="D469" s="6"/>
      <c r="E469" s="6"/>
      <c r="F469" s="12"/>
      <c r="G469" s="12"/>
      <c r="H469" s="12"/>
      <c r="I469" s="12"/>
      <c r="J469" s="12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11"/>
      <c r="G471" s="11"/>
      <c r="H471" s="11"/>
      <c r="I471" s="11"/>
      <c r="J471" s="11"/>
    </row>
    <row r="472" spans="1:10" s="9" customFormat="1" ht="13.2">
      <c r="A472" s="6"/>
      <c r="B472" s="6"/>
      <c r="C472" s="6"/>
      <c r="D472" s="6"/>
      <c r="E472" s="6"/>
      <c r="F472" s="12"/>
      <c r="G472" s="12"/>
      <c r="H472" s="12"/>
      <c r="I472" s="12"/>
      <c r="J472" s="12"/>
    </row>
    <row r="473" spans="1:10" s="9" customFormat="1" ht="13.2">
      <c r="A473" s="6"/>
      <c r="B473" s="6"/>
      <c r="C473" s="6"/>
      <c r="D473" s="6"/>
      <c r="E473" s="6"/>
      <c r="F473" s="8"/>
      <c r="G473" s="8"/>
      <c r="H473" s="8"/>
      <c r="I473" s="8"/>
      <c r="J473" s="8"/>
    </row>
    <row r="474" spans="1:10" s="9" customFormat="1" ht="13.2">
      <c r="A474" s="6"/>
      <c r="B474" s="6"/>
      <c r="C474" s="6"/>
      <c r="D474" s="6"/>
      <c r="E474" s="6"/>
      <c r="F474" s="8"/>
      <c r="G474" s="8"/>
      <c r="H474" s="8"/>
      <c r="I474" s="8"/>
      <c r="J474" s="8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2"/>
      <c r="G476" s="12"/>
      <c r="H476" s="12"/>
      <c r="I476" s="12"/>
      <c r="J476" s="12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</row>
    <row r="484" spans="1:10" s="9" customFormat="1" ht="13.2">
      <c r="A484" s="6"/>
      <c r="B484" s="6"/>
      <c r="C484" s="6"/>
      <c r="D484" s="6"/>
      <c r="E484" s="6"/>
      <c r="F484" s="11"/>
      <c r="G484" s="11"/>
      <c r="H484" s="11"/>
      <c r="I484" s="11"/>
      <c r="J484" s="11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8"/>
      <c r="G489" s="8"/>
      <c r="H489" s="8"/>
      <c r="I489" s="8"/>
      <c r="J489" s="8"/>
    </row>
    <row r="490" spans="1:10" s="9" customFormat="1" ht="13.2">
      <c r="A490" s="6"/>
      <c r="B490" s="6"/>
      <c r="C490" s="6"/>
      <c r="D490" s="6"/>
      <c r="E490" s="6"/>
      <c r="F490" s="8"/>
      <c r="G490" s="8"/>
      <c r="H490" s="8"/>
      <c r="I490" s="8"/>
      <c r="J490" s="8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0"/>
      <c r="G492" s="10"/>
      <c r="H492" s="10"/>
      <c r="I492" s="10"/>
      <c r="J492" s="10"/>
    </row>
    <row r="493" spans="1:10" s="9" customFormat="1" ht="13.2">
      <c r="A493" s="6"/>
      <c r="B493" s="6"/>
      <c r="C493" s="6"/>
      <c r="D493" s="6"/>
      <c r="E493" s="6"/>
      <c r="F493" s="12"/>
      <c r="G493" s="12"/>
      <c r="H493" s="12"/>
      <c r="I493" s="12"/>
      <c r="J493" s="12"/>
    </row>
    <row r="494" spans="1:10" s="9" customFormat="1" ht="13.2">
      <c r="A494" s="6"/>
      <c r="B494" s="6"/>
      <c r="C494" s="6"/>
      <c r="D494" s="6"/>
      <c r="E494" s="6"/>
      <c r="F494" s="12"/>
      <c r="G494" s="12"/>
      <c r="H494" s="12"/>
      <c r="I494" s="12"/>
      <c r="J494" s="12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</row>
    <row r="498" spans="1:10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</row>
    <row r="499" spans="1:10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</row>
    <row r="500" spans="1:10" s="9" customFormat="1" ht="13.2">
      <c r="A500" s="6"/>
      <c r="B500" s="6"/>
      <c r="C500" s="6"/>
      <c r="D500" s="6"/>
      <c r="E500" s="6"/>
      <c r="F500" s="12"/>
      <c r="G500" s="12"/>
      <c r="H500" s="12"/>
      <c r="I500" s="12"/>
      <c r="J500" s="12"/>
    </row>
    <row r="501" spans="1:10" s="9" customFormat="1" ht="13.2">
      <c r="A501" s="6"/>
      <c r="B501" s="6"/>
      <c r="C501" s="6"/>
      <c r="D501" s="6"/>
      <c r="E501" s="6"/>
      <c r="F501" s="10"/>
      <c r="G501" s="10"/>
      <c r="H501" s="10"/>
      <c r="I501" s="10"/>
      <c r="J501" s="10"/>
    </row>
    <row r="502" spans="1:10" s="9" customFormat="1" ht="13.2">
      <c r="A502" s="6"/>
      <c r="B502" s="6"/>
      <c r="C502" s="6"/>
      <c r="D502" s="6"/>
      <c r="E502" s="6"/>
      <c r="F502" s="11"/>
      <c r="G502" s="11"/>
      <c r="H502" s="11"/>
      <c r="I502" s="11"/>
      <c r="J502" s="11"/>
    </row>
    <row r="503" spans="1:10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7"/>
      <c r="G506" s="7"/>
      <c r="H506" s="7"/>
      <c r="I506" s="7"/>
      <c r="J506" s="7"/>
    </row>
    <row r="507" spans="1:10" s="9" customFormat="1" ht="13.2">
      <c r="A507" s="6"/>
      <c r="B507" s="6"/>
      <c r="C507" s="6"/>
      <c r="D507" s="6"/>
      <c r="E507" s="6"/>
      <c r="F507" s="7"/>
      <c r="G507" s="7"/>
      <c r="H507" s="7"/>
      <c r="I507" s="7"/>
      <c r="J507" s="7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</row>
    <row r="515" spans="1:10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11"/>
      <c r="G517" s="11"/>
      <c r="H517" s="11"/>
      <c r="I517" s="11"/>
      <c r="J517" s="11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12"/>
      <c r="G520" s="12"/>
      <c r="H520" s="12"/>
      <c r="I520" s="12"/>
      <c r="J520" s="12"/>
    </row>
    <row r="521" spans="1:10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12"/>
      <c r="G523" s="12"/>
      <c r="H523" s="12"/>
      <c r="I523" s="12"/>
      <c r="J523" s="12"/>
    </row>
    <row r="524" spans="1:10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11"/>
      <c r="G526" s="11"/>
      <c r="H526" s="11"/>
      <c r="I526" s="11"/>
      <c r="J526" s="11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11"/>
      <c r="G530" s="11"/>
      <c r="H530" s="11"/>
      <c r="I530" s="11"/>
      <c r="J530" s="11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</row>
    <row r="536" spans="1:10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</row>
    <row r="537" spans="1:10" s="9" customFormat="1" ht="13.2">
      <c r="A537" s="6"/>
      <c r="B537" s="6"/>
      <c r="C537" s="6"/>
      <c r="D537" s="6"/>
      <c r="E537" s="6"/>
      <c r="F537" s="10"/>
      <c r="G537" s="10"/>
      <c r="H537" s="10"/>
      <c r="I537" s="10"/>
      <c r="J537" s="10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11"/>
      <c r="G540" s="11"/>
      <c r="H540" s="11"/>
      <c r="I540" s="11"/>
      <c r="J540" s="11"/>
    </row>
    <row r="541" spans="1:10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</row>
    <row r="542" spans="1:10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</row>
    <row r="543" spans="1:10" s="9" customFormat="1" ht="13.2">
      <c r="A543" s="6"/>
      <c r="B543" s="6"/>
      <c r="C543" s="6"/>
      <c r="D543" s="6"/>
      <c r="E543" s="6"/>
      <c r="F543" s="11"/>
      <c r="G543" s="11"/>
      <c r="H543" s="11"/>
      <c r="I543" s="11"/>
      <c r="J543" s="11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spans="1:10" s="9" customFormat="1" ht="13.2">
      <c r="A546" s="6"/>
      <c r="B546" s="6"/>
      <c r="C546" s="6"/>
      <c r="D546" s="6"/>
      <c r="E546" s="6"/>
      <c r="F546" s="11"/>
      <c r="G546" s="11"/>
      <c r="H546" s="11"/>
      <c r="I546" s="11"/>
      <c r="J546" s="11"/>
    </row>
    <row r="547" spans="1:10" s="9" customFormat="1" ht="13.2">
      <c r="A547" s="6"/>
      <c r="B547" s="6"/>
      <c r="C547" s="6"/>
      <c r="D547" s="6"/>
      <c r="E547" s="6"/>
      <c r="F547" s="11"/>
      <c r="G547" s="11"/>
      <c r="H547" s="11"/>
      <c r="I547" s="11"/>
      <c r="J547" s="11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</row>
    <row r="552" spans="1:10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</row>
    <row r="553" spans="1:10" s="9" customFormat="1" ht="13.2">
      <c r="A553" s="6"/>
      <c r="B553" s="6"/>
      <c r="C553" s="6"/>
      <c r="D553" s="6"/>
      <c r="E553" s="6"/>
      <c r="F553" s="7"/>
      <c r="G553" s="7"/>
      <c r="H553" s="7"/>
      <c r="I553" s="7"/>
      <c r="J553" s="7"/>
    </row>
    <row r="554" spans="1:10" s="9" customFormat="1" ht="13.2">
      <c r="A554" s="6"/>
      <c r="B554" s="6"/>
      <c r="C554" s="6"/>
      <c r="D554" s="6"/>
      <c r="E554" s="6"/>
      <c r="F554" s="7"/>
      <c r="G554" s="7"/>
      <c r="H554" s="7"/>
      <c r="I554" s="7"/>
      <c r="J554" s="7"/>
    </row>
    <row r="555" spans="1:10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</row>
    <row r="556" spans="1:10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8"/>
      <c r="G558" s="8"/>
      <c r="H558" s="8"/>
      <c r="I558" s="8"/>
      <c r="J558" s="8"/>
    </row>
    <row r="559" spans="1:10" s="9" customFormat="1" ht="13.2">
      <c r="A559" s="6"/>
      <c r="B559" s="6"/>
      <c r="C559" s="6"/>
      <c r="D559" s="6"/>
      <c r="E559" s="6"/>
      <c r="F559" s="7"/>
      <c r="G559" s="7"/>
      <c r="H559" s="7"/>
      <c r="I559" s="7"/>
      <c r="J559" s="7"/>
    </row>
    <row r="560" spans="1:10" s="9" customFormat="1" ht="13.2">
      <c r="A560" s="6"/>
      <c r="B560" s="6"/>
      <c r="C560" s="6"/>
      <c r="D560" s="6"/>
      <c r="E560" s="6"/>
      <c r="F560" s="7"/>
      <c r="G560" s="7"/>
      <c r="H560" s="7"/>
      <c r="I560" s="7"/>
      <c r="J560" s="7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</row>
    <row r="567" spans="1:10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</row>
    <row r="568" spans="1:10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</row>
    <row r="569" spans="1:10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</row>
    <row r="596" spans="1:10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10"/>
      <c r="G598" s="10"/>
      <c r="H598" s="10"/>
      <c r="I598" s="10"/>
      <c r="J598" s="10"/>
    </row>
    <row r="599" spans="1:10" s="9" customFormat="1" ht="13.2">
      <c r="A599" s="6"/>
      <c r="B599" s="6"/>
      <c r="C599" s="6"/>
      <c r="D599" s="6"/>
      <c r="E599" s="6"/>
      <c r="F599" s="10"/>
      <c r="G599" s="10"/>
      <c r="H599" s="10"/>
      <c r="I599" s="10"/>
      <c r="J599" s="10"/>
    </row>
    <row r="600" spans="1:10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</row>
    <row r="601" spans="1:10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10"/>
      <c r="G603" s="10"/>
      <c r="H603" s="10"/>
      <c r="I603" s="10"/>
      <c r="J603" s="10"/>
    </row>
    <row r="604" spans="1:10" s="9" customFormat="1" ht="13.2">
      <c r="A604" s="6"/>
      <c r="B604" s="6"/>
      <c r="C604" s="6"/>
      <c r="D604" s="6"/>
      <c r="E604" s="6"/>
      <c r="F604" s="10"/>
      <c r="G604" s="10"/>
      <c r="H604" s="10"/>
      <c r="I604" s="10"/>
      <c r="J604" s="10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</row>
    <row r="607" spans="1:10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 ht="13.2">
      <c r="A613" s="6"/>
      <c r="B613" s="6"/>
      <c r="C613" s="6"/>
      <c r="D613" s="6"/>
      <c r="E613" s="6"/>
      <c r="F613" s="12"/>
      <c r="G613" s="12"/>
      <c r="H613" s="12"/>
      <c r="I613" s="12"/>
      <c r="J613" s="12"/>
    </row>
    <row r="614" spans="1:12" s="9" customFormat="1" ht="13.2">
      <c r="A614" s="6"/>
      <c r="B614" s="6"/>
      <c r="C614" s="6"/>
      <c r="D614" s="6"/>
      <c r="E614" s="6"/>
      <c r="F614" s="12"/>
      <c r="G614" s="12"/>
      <c r="H614" s="12"/>
      <c r="I614" s="12"/>
      <c r="J614" s="12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s="9" customForma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s="9" customForma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</sheetData>
  <mergeCells count="131">
    <mergeCell ref="A74:C74"/>
    <mergeCell ref="E74:H74"/>
    <mergeCell ref="J74:L74"/>
    <mergeCell ref="A75:C75"/>
    <mergeCell ref="E75:H75"/>
    <mergeCell ref="J75:L75"/>
    <mergeCell ref="J68:K68"/>
    <mergeCell ref="B69:C70"/>
    <mergeCell ref="D69:E70"/>
    <mergeCell ref="F69:G70"/>
    <mergeCell ref="H69:I70"/>
    <mergeCell ref="J69:K70"/>
    <mergeCell ref="A63:F63"/>
    <mergeCell ref="H63:I63"/>
    <mergeCell ref="A64:F64"/>
    <mergeCell ref="H64:I64"/>
    <mergeCell ref="B68:C68"/>
    <mergeCell ref="D68:E68"/>
    <mergeCell ref="F68:G68"/>
    <mergeCell ref="H68:I68"/>
    <mergeCell ref="A60:F60"/>
    <mergeCell ref="H60:I60"/>
    <mergeCell ref="A61:F61"/>
    <mergeCell ref="H61:I61"/>
    <mergeCell ref="A62:F62"/>
    <mergeCell ref="H62:I62"/>
    <mergeCell ref="A57:F57"/>
    <mergeCell ref="H57:I57"/>
    <mergeCell ref="A58:F58"/>
    <mergeCell ref="H58:I58"/>
    <mergeCell ref="A59:F59"/>
    <mergeCell ref="H59:I59"/>
    <mergeCell ref="A54:F54"/>
    <mergeCell ref="H54:I54"/>
    <mergeCell ref="A55:F55"/>
    <mergeCell ref="H55:I55"/>
    <mergeCell ref="A56:F56"/>
    <mergeCell ref="H56:I56"/>
    <mergeCell ref="A51:F51"/>
    <mergeCell ref="H51:L51"/>
    <mergeCell ref="A52:F52"/>
    <mergeCell ref="H52:L52"/>
    <mergeCell ref="H53:J53"/>
    <mergeCell ref="K53:L53"/>
    <mergeCell ref="A48:F48"/>
    <mergeCell ref="H48:L48"/>
    <mergeCell ref="A49:F49"/>
    <mergeCell ref="H49:L49"/>
    <mergeCell ref="A50:F50"/>
    <mergeCell ref="H50:L50"/>
    <mergeCell ref="A45:F45"/>
    <mergeCell ref="H45:L45"/>
    <mergeCell ref="A46:F46"/>
    <mergeCell ref="H46:L46"/>
    <mergeCell ref="A47:F47"/>
    <mergeCell ref="H47:L47"/>
    <mergeCell ref="A42:F42"/>
    <mergeCell ref="H42:L42"/>
    <mergeCell ref="A43:F43"/>
    <mergeCell ref="H43:L43"/>
    <mergeCell ref="A44:F44"/>
    <mergeCell ref="H44:L44"/>
    <mergeCell ref="B38:F38"/>
    <mergeCell ref="G38:H38"/>
    <mergeCell ref="B39:F39"/>
    <mergeCell ref="G39:H39"/>
    <mergeCell ref="B40:F40"/>
    <mergeCell ref="G40:I40"/>
    <mergeCell ref="B33:F33"/>
    <mergeCell ref="B35:F35"/>
    <mergeCell ref="G35:H35"/>
    <mergeCell ref="B36:F36"/>
    <mergeCell ref="G36:H36"/>
    <mergeCell ref="B37:F37"/>
    <mergeCell ref="G37:H37"/>
    <mergeCell ref="B30:F30"/>
    <mergeCell ref="G30:I30"/>
    <mergeCell ref="B31:F31"/>
    <mergeCell ref="G31:I31"/>
    <mergeCell ref="B32:F32"/>
    <mergeCell ref="G32:I32"/>
    <mergeCell ref="B27:F27"/>
    <mergeCell ref="G27:I27"/>
    <mergeCell ref="B28:F28"/>
    <mergeCell ref="G28:I28"/>
    <mergeCell ref="B29:F29"/>
    <mergeCell ref="G29:I29"/>
    <mergeCell ref="B24:F24"/>
    <mergeCell ref="G24:I24"/>
    <mergeCell ref="B25:F25"/>
    <mergeCell ref="G25:I25"/>
    <mergeCell ref="B26:F26"/>
    <mergeCell ref="G26:I26"/>
    <mergeCell ref="B21:F21"/>
    <mergeCell ref="G21:I21"/>
    <mergeCell ref="B22:F22"/>
    <mergeCell ref="G22:I22"/>
    <mergeCell ref="B23:F23"/>
    <mergeCell ref="G23:I23"/>
    <mergeCell ref="B18:F18"/>
    <mergeCell ref="G18:I18"/>
    <mergeCell ref="B19:F19"/>
    <mergeCell ref="G19:I19"/>
    <mergeCell ref="B20:F20"/>
    <mergeCell ref="G20:I20"/>
    <mergeCell ref="B15:F15"/>
    <mergeCell ref="G15:I15"/>
    <mergeCell ref="B16:F16"/>
    <mergeCell ref="G16:I16"/>
    <mergeCell ref="B17:F17"/>
    <mergeCell ref="G17:I17"/>
    <mergeCell ref="B12:F12"/>
    <mergeCell ref="G12:I12"/>
    <mergeCell ref="B13:F13"/>
    <mergeCell ref="G13:I13"/>
    <mergeCell ref="B14:F14"/>
    <mergeCell ref="G14:I14"/>
    <mergeCell ref="K6:L6"/>
    <mergeCell ref="B7:H7"/>
    <mergeCell ref="K9:L9"/>
    <mergeCell ref="A10:A11"/>
    <mergeCell ref="B10:F11"/>
    <mergeCell ref="G10:I11"/>
    <mergeCell ref="J10:K10"/>
    <mergeCell ref="L10:L11"/>
    <mergeCell ref="B3:H3"/>
    <mergeCell ref="K3:L3"/>
    <mergeCell ref="B4:H4"/>
    <mergeCell ref="K4:L4"/>
    <mergeCell ref="B5:H5"/>
    <mergeCell ref="K5:L5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O620"/>
  <sheetViews>
    <sheetView view="pageBreakPreview" topLeftCell="A55" zoomScaleNormal="100" zoomScaleSheetLayoutView="100" workbookViewId="0">
      <selection activeCell="B25" activeCellId="3" sqref="J69:K70 B27:F27 B25:F25 B25:F2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 t="s">
        <v>1</v>
      </c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3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4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6</v>
      </c>
      <c r="L5" s="557"/>
    </row>
    <row r="6" spans="1:15" s="16" customFormat="1" ht="16.5" customHeight="1">
      <c r="A6" s="69"/>
      <c r="B6" s="78" t="s">
        <v>7</v>
      </c>
      <c r="C6" s="78"/>
      <c r="D6" s="78"/>
      <c r="E6" s="78"/>
      <c r="F6" s="78"/>
      <c r="G6" s="78"/>
      <c r="H6" s="78"/>
      <c r="I6" s="21" t="s">
        <v>8</v>
      </c>
      <c r="J6" s="21"/>
      <c r="K6" s="560" t="s">
        <v>62</v>
      </c>
      <c r="L6" s="561"/>
    </row>
    <row r="7" spans="1:15" s="16" customFormat="1" ht="16.5" customHeight="1">
      <c r="A7" s="22" t="s">
        <v>10</v>
      </c>
      <c r="B7" s="556" t="s">
        <v>11</v>
      </c>
      <c r="C7" s="556"/>
      <c r="D7" s="556"/>
      <c r="E7" s="556"/>
      <c r="F7" s="556"/>
      <c r="G7" s="556"/>
      <c r="H7" s="556"/>
    </row>
    <row r="8" spans="1:15" s="16" customFormat="1" ht="16.5" customHeight="1">
      <c r="A8" s="22"/>
      <c r="B8" s="23"/>
      <c r="C8" s="23"/>
      <c r="D8" s="23"/>
      <c r="E8" s="23"/>
      <c r="F8" s="23"/>
      <c r="G8" s="23"/>
      <c r="J8" s="59"/>
      <c r="K8" s="62"/>
      <c r="L8" s="62"/>
    </row>
    <row r="9" spans="1:15" ht="16.5" customHeight="1">
      <c r="A9" s="24" t="s">
        <v>12</v>
      </c>
      <c r="B9" s="3"/>
      <c r="C9" s="3"/>
      <c r="D9" s="3"/>
      <c r="E9" s="3"/>
      <c r="F9" s="3"/>
      <c r="G9" s="3"/>
      <c r="H9" s="3"/>
      <c r="I9" s="3"/>
      <c r="J9" s="3"/>
      <c r="K9" s="555"/>
      <c r="L9" s="555"/>
    </row>
    <row r="10" spans="1:15" s="2" customFormat="1" ht="16.5" customHeight="1">
      <c r="A10" s="552" t="s">
        <v>13</v>
      </c>
      <c r="B10" s="552" t="s">
        <v>14</v>
      </c>
      <c r="C10" s="552"/>
      <c r="D10" s="552"/>
      <c r="E10" s="552"/>
      <c r="F10" s="552"/>
      <c r="G10" s="552" t="s">
        <v>15</v>
      </c>
      <c r="H10" s="552"/>
      <c r="I10" s="552"/>
      <c r="J10" s="553" t="s">
        <v>16</v>
      </c>
      <c r="K10" s="553"/>
      <c r="L10" s="552" t="s">
        <v>17</v>
      </c>
    </row>
    <row r="11" spans="1:15" s="2" customFormat="1" ht="16.5" customHeight="1">
      <c r="A11" s="552"/>
      <c r="B11" s="552"/>
      <c r="C11" s="552"/>
      <c r="D11" s="552"/>
      <c r="E11" s="552"/>
      <c r="F11" s="552"/>
      <c r="G11" s="552"/>
      <c r="H11" s="552"/>
      <c r="I11" s="552"/>
      <c r="J11" s="60" t="s">
        <v>18</v>
      </c>
      <c r="K11" s="20" t="s">
        <v>19</v>
      </c>
      <c r="L11" s="552"/>
    </row>
    <row r="12" spans="1:15" s="18" customFormat="1" ht="16.5" customHeight="1">
      <c r="A12" s="79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 t="str">
        <f>swa!A43</f>
        <v>105(1)</v>
      </c>
      <c r="B13" s="558" t="str">
        <f>swa!B43:E43</f>
        <v>Sub-Grade Preparation(Common Materials)</v>
      </c>
      <c r="C13" s="558"/>
      <c r="D13" s="558"/>
      <c r="E13" s="558"/>
      <c r="F13" s="558"/>
      <c r="G13" s="559" t="s">
        <v>20</v>
      </c>
      <c r="H13" s="559"/>
      <c r="I13" s="559"/>
      <c r="J13" s="216">
        <f>N18</f>
        <v>306</v>
      </c>
      <c r="K13" s="53"/>
      <c r="L13" s="55" t="s">
        <v>21</v>
      </c>
    </row>
    <row r="14" spans="1:15" s="18" customFormat="1" ht="16.5" customHeight="1">
      <c r="A14" s="215" t="str">
        <f>swa!A45</f>
        <v>200(1)</v>
      </c>
      <c r="B14" s="558" t="str">
        <f>swa!B45:E45</f>
        <v>Aggregate Subbase Course</v>
      </c>
      <c r="C14" s="558"/>
      <c r="D14" s="558"/>
      <c r="E14" s="558"/>
      <c r="F14" s="558"/>
      <c r="G14" s="559" t="s">
        <v>20</v>
      </c>
      <c r="H14" s="559"/>
      <c r="I14" s="559"/>
      <c r="J14" s="216">
        <f>J13*8.1*0.2</f>
        <v>495.72</v>
      </c>
      <c r="K14" s="53"/>
      <c r="L14" s="55" t="s">
        <v>22</v>
      </c>
    </row>
    <row r="15" spans="1:15" s="18" customFormat="1" ht="16.5" customHeight="1">
      <c r="A15" s="215" t="str">
        <f>swa!A47</f>
        <v>311(1)c</v>
      </c>
      <c r="B15" s="558" t="str">
        <f>swa!B47:E47</f>
        <v>Portland Cement Concrete Pavement, 230mm</v>
      </c>
      <c r="C15" s="558"/>
      <c r="D15" s="558"/>
      <c r="E15" s="558"/>
      <c r="F15" s="558"/>
      <c r="G15" s="559" t="s">
        <v>20</v>
      </c>
      <c r="H15" s="559"/>
      <c r="I15" s="559"/>
      <c r="J15" s="216">
        <f>N18</f>
        <v>306</v>
      </c>
      <c r="K15" s="53"/>
      <c r="L15" s="55" t="s">
        <v>21</v>
      </c>
      <c r="N15" s="18">
        <f>8*9</f>
        <v>72</v>
      </c>
    </row>
    <row r="16" spans="1:15" s="18" customFormat="1" ht="16.5" customHeight="1">
      <c r="A16" s="215"/>
      <c r="B16" s="558"/>
      <c r="C16" s="558"/>
      <c r="D16" s="558"/>
      <c r="E16" s="558"/>
      <c r="F16" s="558"/>
      <c r="G16" s="559"/>
      <c r="H16" s="559"/>
      <c r="I16" s="559"/>
      <c r="J16" s="216"/>
      <c r="K16" s="53"/>
      <c r="L16" s="55"/>
      <c r="N16" s="18">
        <f>68*1.5</f>
        <v>102</v>
      </c>
      <c r="O16" s="18">
        <f>102/1.5</f>
        <v>68</v>
      </c>
    </row>
    <row r="17" spans="1:14" s="18" customFormat="1" ht="16.5" customHeight="1">
      <c r="A17" s="215"/>
      <c r="B17" s="558"/>
      <c r="C17" s="558"/>
      <c r="D17" s="558"/>
      <c r="E17" s="558"/>
      <c r="F17" s="558"/>
      <c r="G17" s="559"/>
      <c r="H17" s="559"/>
      <c r="I17" s="559"/>
      <c r="J17" s="53"/>
      <c r="K17" s="53"/>
      <c r="L17" s="55"/>
      <c r="N17" s="18">
        <v>3</v>
      </c>
    </row>
    <row r="18" spans="1:14" s="18" customFormat="1" ht="16.5" customHeight="1">
      <c r="A18" s="54"/>
      <c r="B18" s="558"/>
      <c r="C18" s="558"/>
      <c r="D18" s="558"/>
      <c r="E18" s="558"/>
      <c r="F18" s="558"/>
      <c r="G18" s="559"/>
      <c r="H18" s="559"/>
      <c r="I18" s="559"/>
      <c r="J18" s="53"/>
      <c r="K18" s="53"/>
      <c r="L18" s="55"/>
      <c r="N18" s="18">
        <f>N16*3</f>
        <v>306</v>
      </c>
    </row>
    <row r="19" spans="1:14" s="18" customFormat="1" ht="16.5" customHeight="1">
      <c r="A19" s="54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4" s="18" customFormat="1" ht="16.5" customHeight="1">
      <c r="A20" s="54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4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4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4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4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4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4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4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4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4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4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4" s="18" customFormat="1" ht="16.5" customHeight="1">
      <c r="A31" s="61"/>
      <c r="B31" s="562"/>
      <c r="C31" s="562"/>
      <c r="D31" s="562"/>
      <c r="E31" s="562"/>
      <c r="F31" s="562"/>
      <c r="G31" s="559"/>
      <c r="H31" s="559"/>
      <c r="I31" s="559"/>
      <c r="J31" s="53"/>
      <c r="K31" s="53"/>
      <c r="L31" s="55"/>
    </row>
    <row r="32" spans="1:14" s="18" customFormat="1" ht="16.5" customHeight="1">
      <c r="A32" s="61"/>
      <c r="B32" s="562"/>
      <c r="C32" s="562"/>
      <c r="D32" s="562"/>
      <c r="E32" s="562"/>
      <c r="F32" s="562"/>
      <c r="G32" s="559"/>
      <c r="H32" s="559"/>
      <c r="I32" s="559"/>
      <c r="J32" s="53"/>
      <c r="K32" s="53"/>
      <c r="L32" s="55"/>
    </row>
    <row r="33" spans="1:12" s="18" customFormat="1" ht="16.5" customHeight="1">
      <c r="A33" s="66"/>
      <c r="B33" s="566"/>
      <c r="C33" s="566"/>
      <c r="D33" s="566"/>
      <c r="E33" s="566"/>
      <c r="F33" s="566"/>
      <c r="G33" s="66"/>
      <c r="H33" s="41"/>
      <c r="I33" s="41"/>
      <c r="J33" s="42"/>
      <c r="K33" s="43"/>
      <c r="L33" s="3"/>
    </row>
    <row r="34" spans="1:12" s="18" customFormat="1" ht="16.5" customHeight="1">
      <c r="A34" s="26" t="s">
        <v>23</v>
      </c>
      <c r="B34" s="67"/>
      <c r="C34" s="67"/>
      <c r="D34" s="67"/>
      <c r="E34" s="67"/>
      <c r="F34" s="17"/>
      <c r="G34" s="17"/>
      <c r="H34" s="17"/>
      <c r="I34" s="17"/>
      <c r="J34" s="17"/>
      <c r="K34" s="3"/>
      <c r="L34" s="3"/>
    </row>
    <row r="35" spans="1:12" s="25" customFormat="1" ht="16.5" customHeight="1">
      <c r="A35" s="19" t="s">
        <v>13</v>
      </c>
      <c r="B35" s="567" t="s">
        <v>14</v>
      </c>
      <c r="C35" s="567"/>
      <c r="D35" s="567"/>
      <c r="E35" s="567"/>
      <c r="F35" s="567"/>
      <c r="G35" s="568" t="s">
        <v>24</v>
      </c>
      <c r="H35" s="568"/>
      <c r="I35" s="63" t="s">
        <v>17</v>
      </c>
      <c r="J35" s="60" t="s">
        <v>25</v>
      </c>
      <c r="K35" s="60" t="s">
        <v>26</v>
      </c>
      <c r="L35" s="60" t="s">
        <v>27</v>
      </c>
    </row>
    <row r="36" spans="1:12" s="18" customFormat="1" ht="16.5" customHeight="1">
      <c r="A36" s="75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65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65"/>
      <c r="B38" s="563"/>
      <c r="C38" s="563"/>
      <c r="D38" s="563"/>
      <c r="E38" s="563"/>
      <c r="F38" s="563"/>
      <c r="G38" s="564"/>
      <c r="H38" s="564"/>
      <c r="I38" s="64"/>
      <c r="J38" s="64"/>
      <c r="K38" s="55"/>
      <c r="L38" s="55"/>
    </row>
    <row r="39" spans="1:12" s="52" customFormat="1" ht="16.5" customHeight="1">
      <c r="A39" s="65"/>
      <c r="B39" s="563"/>
      <c r="C39" s="563"/>
      <c r="D39" s="563"/>
      <c r="E39" s="563"/>
      <c r="F39" s="563"/>
      <c r="G39" s="564"/>
      <c r="H39" s="564"/>
      <c r="I39" s="64"/>
      <c r="J39" s="64"/>
      <c r="K39" s="55"/>
      <c r="L39" s="55"/>
    </row>
    <row r="40" spans="1:12" s="52" customFormat="1" ht="16.5" customHeight="1">
      <c r="A40" s="32"/>
      <c r="B40" s="565"/>
      <c r="C40" s="565"/>
      <c r="D40" s="565"/>
      <c r="E40" s="565"/>
      <c r="F40" s="565"/>
      <c r="G40" s="565"/>
      <c r="H40" s="565"/>
      <c r="I40" s="565"/>
      <c r="J40" s="17"/>
      <c r="K40" s="3"/>
      <c r="L40" s="3"/>
    </row>
    <row r="41" spans="1:12" s="51" customFormat="1" ht="16.5" customHeight="1">
      <c r="A41" s="34" t="s">
        <v>28</v>
      </c>
      <c r="B41" s="34"/>
      <c r="C41" s="34"/>
      <c r="D41" s="34"/>
      <c r="E41" s="34"/>
      <c r="F41" s="17"/>
      <c r="G41" s="38"/>
      <c r="H41" s="36" t="s">
        <v>29</v>
      </c>
      <c r="I41" s="34"/>
      <c r="J41" s="34"/>
      <c r="K41" s="34"/>
      <c r="L41" s="34"/>
    </row>
    <row r="42" spans="1:12" s="51" customFormat="1" ht="16.5" customHeight="1">
      <c r="A42" s="569" t="s">
        <v>30</v>
      </c>
      <c r="B42" s="569"/>
      <c r="C42" s="569"/>
      <c r="D42" s="569"/>
      <c r="E42" s="569"/>
      <c r="F42" s="569"/>
      <c r="G42" s="56"/>
      <c r="H42" s="569"/>
      <c r="I42" s="569"/>
      <c r="J42" s="569"/>
      <c r="K42" s="569"/>
      <c r="L42" s="569"/>
    </row>
    <row r="43" spans="1:12" s="51" customFormat="1" ht="16.5" customHeight="1">
      <c r="A43" s="571" t="s">
        <v>31</v>
      </c>
      <c r="B43" s="571"/>
      <c r="C43" s="571"/>
      <c r="D43" s="571"/>
      <c r="E43" s="571"/>
      <c r="F43" s="571"/>
      <c r="G43" s="56"/>
      <c r="H43" s="569"/>
      <c r="I43" s="569"/>
      <c r="J43" s="569"/>
      <c r="K43" s="569"/>
      <c r="L43" s="569"/>
    </row>
    <row r="44" spans="1:12" s="51" customFormat="1" ht="16.5" customHeight="1">
      <c r="A44" s="571" t="s">
        <v>32</v>
      </c>
      <c r="B44" s="571"/>
      <c r="C44" s="571"/>
      <c r="D44" s="571"/>
      <c r="E44" s="571"/>
      <c r="F44" s="571"/>
      <c r="G44" s="57"/>
      <c r="H44" s="569"/>
      <c r="I44" s="569"/>
      <c r="J44" s="569"/>
      <c r="K44" s="569"/>
      <c r="L44" s="569"/>
    </row>
    <row r="45" spans="1:12" s="51" customFormat="1" ht="16.5" customHeight="1">
      <c r="A45" s="569" t="s">
        <v>33</v>
      </c>
      <c r="B45" s="569"/>
      <c r="C45" s="569"/>
      <c r="D45" s="569"/>
      <c r="E45" s="569"/>
      <c r="F45" s="569"/>
      <c r="G45" s="57"/>
      <c r="H45" s="569"/>
      <c r="I45" s="569"/>
      <c r="J45" s="569"/>
      <c r="K45" s="569"/>
      <c r="L45" s="569"/>
    </row>
    <row r="46" spans="1:12" s="51" customFormat="1" ht="16.5" customHeight="1">
      <c r="A46" s="570"/>
      <c r="B46" s="570"/>
      <c r="C46" s="570"/>
      <c r="D46" s="570"/>
      <c r="E46" s="570"/>
      <c r="F46" s="570"/>
      <c r="G46" s="39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7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6"/>
      <c r="H49" s="569"/>
      <c r="I49" s="569"/>
      <c r="J49" s="569"/>
      <c r="K49" s="569"/>
      <c r="L49" s="569"/>
    </row>
    <row r="50" spans="1:12" s="3" customFormat="1" ht="16.5" customHeight="1">
      <c r="A50" s="571"/>
      <c r="B50" s="571"/>
      <c r="C50" s="571"/>
      <c r="D50" s="571"/>
      <c r="E50" s="571"/>
      <c r="F50" s="571"/>
      <c r="G50" s="56"/>
      <c r="H50" s="569"/>
      <c r="I50" s="569"/>
      <c r="J50" s="569"/>
      <c r="K50" s="569"/>
      <c r="L50" s="569"/>
    </row>
    <row r="51" spans="1:12" s="3" customFormat="1" ht="16.5" customHeight="1">
      <c r="A51" s="571"/>
      <c r="B51" s="571"/>
      <c r="C51" s="571"/>
      <c r="D51" s="571"/>
      <c r="E51" s="571"/>
      <c r="F51" s="571"/>
      <c r="G51" s="57"/>
      <c r="H51" s="569"/>
      <c r="I51" s="569"/>
      <c r="J51" s="569"/>
      <c r="K51" s="569"/>
      <c r="L51" s="569"/>
    </row>
    <row r="52" spans="1:12" s="3" customFormat="1" ht="16.5" customHeight="1">
      <c r="A52" s="572"/>
      <c r="B52" s="572"/>
      <c r="C52" s="572"/>
      <c r="D52" s="572"/>
      <c r="E52" s="572"/>
      <c r="F52" s="572"/>
      <c r="G52" s="57"/>
      <c r="H52" s="572"/>
      <c r="I52" s="572"/>
      <c r="J52" s="572"/>
      <c r="K52" s="572"/>
      <c r="L52" s="572"/>
    </row>
    <row r="53" spans="1:12" s="3" customFormat="1" ht="16.5" customHeight="1">
      <c r="A53" s="70" t="s">
        <v>34</v>
      </c>
      <c r="B53" s="5"/>
      <c r="C53" s="4"/>
      <c r="H53" s="573" t="s">
        <v>35</v>
      </c>
      <c r="I53" s="573"/>
      <c r="J53" s="573"/>
      <c r="K53" s="573" t="s">
        <v>36</v>
      </c>
      <c r="L53" s="573"/>
    </row>
    <row r="54" spans="1:12" s="3" customFormat="1" ht="16.5" customHeight="1">
      <c r="A54" s="576"/>
      <c r="B54" s="576"/>
      <c r="C54" s="576"/>
      <c r="D54" s="576"/>
      <c r="E54" s="576"/>
      <c r="F54" s="576"/>
      <c r="G54" s="71"/>
      <c r="H54" s="577" t="s">
        <v>14</v>
      </c>
      <c r="I54" s="577"/>
      <c r="J54" s="74" t="s">
        <v>24</v>
      </c>
      <c r="K54" s="74" t="s">
        <v>14</v>
      </c>
      <c r="L54" s="74" t="s">
        <v>24</v>
      </c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 t="s">
        <v>37</v>
      </c>
      <c r="I55" s="575"/>
      <c r="J55" s="55">
        <v>1</v>
      </c>
      <c r="K55" s="76" t="s">
        <v>38</v>
      </c>
      <c r="L55" s="55">
        <v>2</v>
      </c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 t="s">
        <v>39</v>
      </c>
      <c r="I56" s="575"/>
      <c r="J56" s="55">
        <v>1</v>
      </c>
      <c r="K56" s="76" t="s">
        <v>40</v>
      </c>
      <c r="L56" s="55">
        <v>2</v>
      </c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 t="s">
        <v>41</v>
      </c>
      <c r="I57" s="575"/>
      <c r="J57" s="55">
        <v>4</v>
      </c>
      <c r="K57" s="76" t="s">
        <v>42</v>
      </c>
      <c r="L57" s="55">
        <v>1</v>
      </c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 t="s">
        <v>43</v>
      </c>
      <c r="I58" s="575"/>
      <c r="J58" s="55">
        <v>8</v>
      </c>
      <c r="K58" s="76" t="s">
        <v>44</v>
      </c>
      <c r="L58" s="55">
        <v>1</v>
      </c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55"/>
      <c r="K59" s="77"/>
      <c r="L59" s="55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574"/>
      <c r="B63" s="574"/>
      <c r="C63" s="574"/>
      <c r="D63" s="574"/>
      <c r="E63" s="574"/>
      <c r="F63" s="574"/>
      <c r="G63" s="72"/>
      <c r="H63" s="575"/>
      <c r="I63" s="575"/>
      <c r="J63" s="73"/>
      <c r="K63" s="77"/>
      <c r="L63" s="73"/>
    </row>
    <row r="64" spans="1:12" s="3" customFormat="1" ht="16.5" customHeight="1">
      <c r="A64" s="574"/>
      <c r="B64" s="574"/>
      <c r="C64" s="574"/>
      <c r="D64" s="574"/>
      <c r="E64" s="574"/>
      <c r="F64" s="574"/>
      <c r="G64" s="72"/>
      <c r="H64" s="575"/>
      <c r="I64" s="575"/>
      <c r="J64" s="73"/>
      <c r="K64" s="77"/>
      <c r="L64" s="73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6"/>
      <c r="J65" s="46"/>
      <c r="K65" s="47"/>
      <c r="L65" s="46"/>
    </row>
    <row r="66" spans="1:14" s="3" customFormat="1" ht="16.5" customHeight="1">
      <c r="A66" s="45" t="s">
        <v>45</v>
      </c>
      <c r="B66" s="46"/>
      <c r="C66" s="46"/>
      <c r="D66" s="46"/>
      <c r="E66" s="44"/>
      <c r="F66" s="46"/>
      <c r="G66" s="46"/>
      <c r="H66" s="46"/>
      <c r="I66" s="46"/>
      <c r="J66" s="46"/>
      <c r="K66" s="47"/>
      <c r="L66" s="46"/>
    </row>
    <row r="67" spans="1:14" s="3" customFormat="1" ht="16.5" customHeight="1">
      <c r="A67" s="45"/>
      <c r="B67" s="46"/>
      <c r="C67" s="46"/>
      <c r="D67" s="46"/>
      <c r="E67" s="44"/>
      <c r="F67" s="46"/>
      <c r="G67" s="46"/>
      <c r="H67" s="46"/>
      <c r="I67" s="48"/>
      <c r="J67" s="48"/>
      <c r="K67" s="47"/>
      <c r="L67" s="46"/>
    </row>
    <row r="68" spans="1:14" s="3" customFormat="1" ht="31.5" customHeight="1">
      <c r="A68" s="46" t="s">
        <v>46</v>
      </c>
      <c r="B68" s="578" t="s">
        <v>47</v>
      </c>
      <c r="C68" s="579"/>
      <c r="D68" s="578" t="s">
        <v>48</v>
      </c>
      <c r="E68" s="579"/>
      <c r="F68" s="578" t="s">
        <v>49</v>
      </c>
      <c r="G68" s="579"/>
      <c r="H68" s="578" t="s">
        <v>50</v>
      </c>
      <c r="I68" s="579"/>
      <c r="J68" s="578" t="s">
        <v>51</v>
      </c>
      <c r="K68" s="579"/>
      <c r="L68" s="49"/>
    </row>
    <row r="69" spans="1:14" s="3" customFormat="1" ht="16.5" customHeight="1">
      <c r="A69" s="50"/>
      <c r="B69" s="583">
        <v>0.85619999999999996</v>
      </c>
      <c r="C69" s="584"/>
      <c r="D69" s="587"/>
      <c r="E69" s="588"/>
      <c r="F69" s="583">
        <v>0.71889999999999998</v>
      </c>
      <c r="G69" s="584"/>
      <c r="H69" s="583">
        <f>F69-B69</f>
        <v>-0.13729999999999998</v>
      </c>
      <c r="I69" s="584"/>
      <c r="J69" s="587" t="s">
        <v>52</v>
      </c>
      <c r="K69" s="588"/>
      <c r="L69" s="49"/>
    </row>
    <row r="70" spans="1:14" s="22" customFormat="1" ht="16.5" customHeight="1">
      <c r="A70" s="50"/>
      <c r="B70" s="585"/>
      <c r="C70" s="586"/>
      <c r="D70" s="589"/>
      <c r="E70" s="590"/>
      <c r="F70" s="585"/>
      <c r="G70" s="586"/>
      <c r="H70" s="585"/>
      <c r="I70" s="586"/>
      <c r="J70" s="589"/>
      <c r="K70" s="590"/>
      <c r="L70" s="49"/>
    </row>
    <row r="71" spans="1:14" s="22" customFormat="1" ht="16.5" customHeight="1">
      <c r="A71" s="35"/>
      <c r="B71" s="27"/>
      <c r="C71" s="27"/>
      <c r="D71" s="27"/>
      <c r="E71" s="35"/>
      <c r="F71" s="58"/>
      <c r="G71" s="58"/>
      <c r="H71" s="58"/>
      <c r="I71" s="58"/>
      <c r="J71" s="68"/>
      <c r="K71" s="68"/>
      <c r="L71" s="3"/>
    </row>
    <row r="72" spans="1:14" s="22" customFormat="1" ht="16.5" customHeight="1">
      <c r="A72" s="35" t="s">
        <v>53</v>
      </c>
      <c r="B72" s="27"/>
      <c r="C72" s="27"/>
      <c r="D72" s="27"/>
      <c r="E72" s="35" t="s">
        <v>54</v>
      </c>
      <c r="F72" s="58"/>
      <c r="G72" s="58"/>
      <c r="H72" s="58"/>
      <c r="I72" s="58"/>
      <c r="J72" s="68" t="s">
        <v>55</v>
      </c>
      <c r="K72" s="68"/>
      <c r="L72" s="3"/>
    </row>
    <row r="73" spans="1:14" s="22" customFormat="1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3"/>
      <c r="K73" s="3"/>
      <c r="L73" s="3"/>
    </row>
    <row r="74" spans="1:14" s="22" customFormat="1" ht="16.5" customHeight="1">
      <c r="A74" s="580" t="s">
        <v>63</v>
      </c>
      <c r="B74" s="580"/>
      <c r="C74" s="580"/>
      <c r="D74" s="27"/>
      <c r="E74" s="580" t="s">
        <v>57</v>
      </c>
      <c r="F74" s="580"/>
      <c r="G74" s="580"/>
      <c r="H74" s="580"/>
      <c r="I74" s="58"/>
      <c r="J74" s="580" t="s">
        <v>58</v>
      </c>
      <c r="K74" s="580"/>
      <c r="L74" s="580"/>
      <c r="N74" s="218">
        <f>'2-5-8-2024'!B69+1.27</f>
        <v>2.1135000000000002</v>
      </c>
    </row>
    <row r="75" spans="1:14" s="3" customFormat="1" ht="16.5" customHeight="1">
      <c r="A75" s="581" t="s">
        <v>59</v>
      </c>
      <c r="B75" s="581"/>
      <c r="C75" s="581"/>
      <c r="D75" s="27"/>
      <c r="E75" s="581" t="s">
        <v>60</v>
      </c>
      <c r="F75" s="581"/>
      <c r="G75" s="581"/>
      <c r="H75" s="581"/>
      <c r="I75" s="58"/>
      <c r="J75" s="582" t="s">
        <v>61</v>
      </c>
      <c r="K75" s="582"/>
      <c r="L75" s="582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</row>
    <row r="77" spans="1:14" s="3" customFormat="1" ht="16.5" customHeight="1">
      <c r="A77" s="37"/>
      <c r="B77" s="27"/>
      <c r="C77" s="27"/>
      <c r="D77" s="27"/>
      <c r="E77" s="27"/>
      <c r="F77" s="29"/>
      <c r="G77" s="29"/>
      <c r="H77" s="29"/>
      <c r="I77" s="29"/>
      <c r="J77" s="29"/>
    </row>
    <row r="78" spans="1:14" s="3" customFormat="1" ht="16.5" customHeight="1">
      <c r="A78" s="37"/>
      <c r="B78" s="27"/>
      <c r="C78" s="27"/>
      <c r="D78" s="27"/>
      <c r="E78" s="27"/>
      <c r="F78" s="29"/>
      <c r="G78" s="29"/>
      <c r="H78" s="29"/>
      <c r="I78" s="29"/>
      <c r="J78" s="29"/>
      <c r="N78" s="3">
        <f>84.35+1.27</f>
        <v>85.61999999999999</v>
      </c>
    </row>
    <row r="79" spans="1:14" s="3" customFormat="1" ht="16.5" customHeight="1">
      <c r="A79" s="37"/>
      <c r="B79" s="27"/>
      <c r="C79" s="27"/>
      <c r="D79" s="27"/>
      <c r="E79" s="27"/>
      <c r="F79" s="30"/>
      <c r="G79" s="30"/>
      <c r="H79" s="30"/>
      <c r="I79" s="30"/>
      <c r="J79" s="30"/>
    </row>
    <row r="80" spans="1:14" s="3" customFormat="1" ht="16.5" customHeight="1">
      <c r="A80" s="37"/>
      <c r="B80" s="27"/>
      <c r="C80" s="27"/>
      <c r="D80" s="27"/>
      <c r="E80" s="27"/>
      <c r="F80" s="30"/>
      <c r="G80" s="30"/>
      <c r="H80" s="30"/>
      <c r="I80" s="30"/>
      <c r="J80" s="30"/>
    </row>
    <row r="81" spans="1:10" s="3" customFormat="1" ht="15" customHeight="1">
      <c r="A81" s="27"/>
      <c r="B81" s="27"/>
      <c r="C81" s="27"/>
      <c r="D81" s="27"/>
      <c r="E81" s="27"/>
      <c r="F81" s="29"/>
      <c r="G81" s="29"/>
      <c r="H81" s="29"/>
      <c r="I81" s="29"/>
      <c r="J81" s="29"/>
    </row>
    <row r="82" spans="1:10" s="3" customFormat="1" ht="15" customHeight="1">
      <c r="A82" s="27"/>
      <c r="B82" s="27"/>
      <c r="C82" s="27"/>
      <c r="D82" s="27"/>
      <c r="E82" s="27"/>
      <c r="F82" s="28"/>
      <c r="G82" s="28"/>
      <c r="H82" s="28"/>
      <c r="I82" s="28"/>
      <c r="J82" s="28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5" customHeight="1">
      <c r="A84" s="27"/>
      <c r="B84" s="27"/>
      <c r="C84" s="27"/>
      <c r="D84" s="27"/>
      <c r="E84" s="27"/>
      <c r="F84" s="29"/>
      <c r="G84" s="29"/>
      <c r="H84" s="29"/>
      <c r="I84" s="29"/>
      <c r="J84" s="29"/>
    </row>
    <row r="85" spans="1:10" s="3" customFormat="1" ht="15" customHeight="1">
      <c r="A85" s="27"/>
      <c r="B85" s="27"/>
      <c r="C85" s="27"/>
      <c r="D85" s="27"/>
      <c r="E85" s="27"/>
      <c r="F85" s="30"/>
      <c r="G85" s="30"/>
      <c r="H85" s="30"/>
      <c r="I85" s="30"/>
      <c r="J85" s="30"/>
    </row>
    <row r="86" spans="1:10" s="3" customFormat="1" ht="17.399999999999999">
      <c r="A86" s="27"/>
      <c r="B86" s="27"/>
      <c r="C86" s="27"/>
      <c r="D86" s="27"/>
      <c r="E86" s="27"/>
      <c r="F86" s="30"/>
      <c r="G86" s="30"/>
      <c r="H86" s="30"/>
      <c r="I86" s="30"/>
      <c r="J86" s="30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29"/>
      <c r="G92" s="29"/>
      <c r="H92" s="29"/>
      <c r="I92" s="29"/>
      <c r="J92" s="29"/>
    </row>
    <row r="93" spans="1:10" s="3" customFormat="1" ht="21.9" customHeight="1">
      <c r="A93" s="27"/>
      <c r="B93" s="27"/>
      <c r="C93" s="27"/>
      <c r="D93" s="27"/>
      <c r="E93" s="27"/>
      <c r="F93" s="29"/>
      <c r="G93" s="29"/>
      <c r="H93" s="29"/>
      <c r="I93" s="29"/>
      <c r="J93" s="29"/>
    </row>
    <row r="94" spans="1:10" s="3" customFormat="1" ht="21.9" customHeight="1">
      <c r="A94" s="27"/>
      <c r="B94" s="27"/>
      <c r="C94" s="27"/>
      <c r="D94" s="27"/>
      <c r="E94" s="27"/>
      <c r="F94" s="30"/>
      <c r="G94" s="30"/>
      <c r="H94" s="30"/>
      <c r="I94" s="30"/>
      <c r="J94" s="30"/>
    </row>
    <row r="95" spans="1:10" s="3" customFormat="1" ht="21.9" customHeight="1">
      <c r="A95" s="27"/>
      <c r="B95" s="27"/>
      <c r="C95" s="27"/>
      <c r="D95" s="27"/>
      <c r="E95" s="27"/>
      <c r="F95" s="30"/>
      <c r="G95" s="30"/>
      <c r="H95" s="30"/>
      <c r="I95" s="30"/>
      <c r="J95" s="30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29"/>
      <c r="G121" s="29"/>
      <c r="H121" s="29"/>
      <c r="I121" s="29"/>
      <c r="J121" s="29"/>
    </row>
    <row r="122" spans="1:10" s="3" customFormat="1" ht="21.9" customHeight="1">
      <c r="A122" s="27"/>
      <c r="B122" s="27"/>
      <c r="C122" s="27"/>
      <c r="D122" s="27"/>
      <c r="E122" s="27"/>
      <c r="F122" s="29"/>
      <c r="G122" s="29"/>
      <c r="H122" s="29"/>
      <c r="I122" s="29"/>
      <c r="J122" s="29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4"/>
      <c r="G124" s="4"/>
      <c r="H124" s="4"/>
      <c r="I124" s="4"/>
      <c r="J124" s="4"/>
    </row>
    <row r="125" spans="1:10" s="3" customFormat="1" ht="21.9" customHeight="1">
      <c r="A125" s="27"/>
      <c r="B125" s="27"/>
      <c r="C125" s="27"/>
      <c r="D125" s="27"/>
      <c r="E125" s="27"/>
      <c r="F125" s="4"/>
      <c r="G125" s="4"/>
      <c r="H125" s="4"/>
      <c r="I125" s="4"/>
      <c r="J125" s="4"/>
    </row>
    <row r="126" spans="1:10" s="3" customFormat="1" ht="21.9" customHeight="1">
      <c r="A126" s="27"/>
      <c r="B126" s="27"/>
      <c r="C126" s="27"/>
      <c r="D126" s="27"/>
      <c r="E126" s="27"/>
      <c r="F126" s="29"/>
      <c r="G126" s="29"/>
      <c r="H126" s="29"/>
      <c r="I126" s="29"/>
      <c r="J126" s="29"/>
    </row>
    <row r="127" spans="1:10" s="3" customFormat="1" ht="21.9" customHeight="1">
      <c r="A127" s="27"/>
      <c r="B127" s="27"/>
      <c r="C127" s="27"/>
      <c r="D127" s="27"/>
      <c r="E127" s="27"/>
      <c r="F127" s="29"/>
      <c r="G127" s="29"/>
      <c r="H127" s="29"/>
      <c r="I127" s="29"/>
      <c r="J127" s="29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4"/>
      <c r="G129" s="4"/>
      <c r="H129" s="4"/>
      <c r="I129" s="4"/>
      <c r="J129" s="4"/>
    </row>
    <row r="130" spans="1:10" s="3" customFormat="1" ht="21.9" customHeight="1">
      <c r="A130" s="27"/>
      <c r="B130" s="27"/>
      <c r="C130" s="27"/>
      <c r="D130" s="27"/>
      <c r="E130" s="27"/>
      <c r="F130" s="4"/>
      <c r="G130" s="4"/>
      <c r="H130" s="4"/>
      <c r="I130" s="4"/>
      <c r="J130" s="4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29"/>
      <c r="G132" s="29"/>
      <c r="H132" s="29"/>
      <c r="I132" s="29"/>
      <c r="J132" s="29"/>
    </row>
    <row r="133" spans="1:10" s="3" customFormat="1" ht="21.9" customHeight="1">
      <c r="A133" s="27"/>
      <c r="B133" s="27"/>
      <c r="C133" s="27"/>
      <c r="D133" s="27"/>
      <c r="E133" s="27"/>
      <c r="F133" s="29"/>
      <c r="G133" s="29"/>
      <c r="H133" s="29"/>
      <c r="I133" s="29"/>
      <c r="J133" s="29"/>
    </row>
    <row r="134" spans="1:10" s="3" customFormat="1" ht="21.9" customHeight="1">
      <c r="A134" s="27"/>
      <c r="B134" s="27"/>
      <c r="C134" s="27"/>
      <c r="D134" s="27"/>
      <c r="E134" s="27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31"/>
      <c r="G141" s="31"/>
      <c r="H141" s="31"/>
      <c r="I141" s="31"/>
      <c r="J141" s="31"/>
    </row>
    <row r="142" spans="1:10" s="3" customFormat="1" ht="21.9" customHeight="1">
      <c r="A142" s="32"/>
      <c r="B142" s="32"/>
      <c r="C142" s="32"/>
      <c r="D142" s="32"/>
      <c r="E142" s="32"/>
      <c r="F142" s="31"/>
      <c r="G142" s="31"/>
      <c r="H142" s="31"/>
      <c r="I142" s="31"/>
      <c r="J142" s="31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28"/>
      <c r="G145" s="28"/>
      <c r="H145" s="28"/>
      <c r="I145" s="28"/>
      <c r="J145" s="28"/>
    </row>
    <row r="146" spans="1:12" s="3" customFormat="1" ht="21.9" customHeight="1">
      <c r="A146" s="32"/>
      <c r="B146" s="32"/>
      <c r="C146" s="32"/>
      <c r="D146" s="32"/>
      <c r="E146" s="32"/>
      <c r="F146" s="28"/>
      <c r="G146" s="28"/>
      <c r="H146" s="28"/>
      <c r="I146" s="28"/>
      <c r="J146" s="28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31"/>
      <c r="G148" s="31"/>
      <c r="H148" s="31"/>
      <c r="I148" s="31"/>
      <c r="J148" s="31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29"/>
      <c r="G150" s="29"/>
      <c r="H150" s="29"/>
      <c r="I150" s="29"/>
      <c r="J150" s="29"/>
    </row>
    <row r="151" spans="1:12" s="3" customFormat="1" ht="21.9" customHeight="1">
      <c r="A151" s="32"/>
      <c r="B151" s="32"/>
      <c r="C151" s="32"/>
      <c r="D151" s="32"/>
      <c r="E151" s="32"/>
      <c r="F151" s="31"/>
      <c r="G151" s="31"/>
      <c r="H151" s="31"/>
      <c r="I151" s="31"/>
      <c r="J151" s="31"/>
    </row>
    <row r="152" spans="1:12" s="3" customFormat="1" ht="21.9" customHeight="1">
      <c r="A152" s="32"/>
      <c r="B152" s="32"/>
      <c r="C152" s="32"/>
      <c r="D152" s="32"/>
      <c r="E152" s="32"/>
      <c r="F152" s="31"/>
      <c r="G152" s="31"/>
      <c r="H152" s="31"/>
      <c r="I152" s="31"/>
      <c r="J152" s="31"/>
    </row>
    <row r="153" spans="1:12" s="3" customFormat="1" ht="21.9" customHeight="1">
      <c r="A153" s="32"/>
      <c r="B153" s="32"/>
      <c r="C153" s="32"/>
      <c r="D153" s="32"/>
      <c r="E153" s="32"/>
      <c r="F153" s="33"/>
      <c r="G153" s="33"/>
      <c r="H153" s="33"/>
      <c r="I153" s="33"/>
      <c r="J153" s="33"/>
    </row>
    <row r="154" spans="1:12" s="3" customFormat="1" ht="21.9" customHeight="1">
      <c r="A154" s="32"/>
      <c r="B154" s="32"/>
      <c r="C154" s="32"/>
      <c r="D154" s="32"/>
      <c r="E154" s="32"/>
      <c r="F154" s="33"/>
      <c r="G154" s="33"/>
      <c r="H154" s="33"/>
      <c r="I154" s="33"/>
      <c r="J154" s="33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4"/>
      <c r="G158" s="14"/>
      <c r="H158" s="14"/>
      <c r="I158" s="14"/>
      <c r="J158" s="14"/>
      <c r="K158" s="9"/>
      <c r="L158" s="9"/>
    </row>
    <row r="159" spans="1:12" s="3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  <c r="K159" s="9"/>
      <c r="L159" s="9"/>
    </row>
    <row r="160" spans="1:12" s="3" customFormat="1" ht="21.9" customHeight="1">
      <c r="A160" s="13"/>
      <c r="B160" s="13"/>
      <c r="C160" s="13"/>
      <c r="D160" s="13"/>
      <c r="E160" s="13"/>
      <c r="F160" s="10"/>
      <c r="G160" s="10"/>
      <c r="H160" s="10"/>
      <c r="I160" s="10"/>
      <c r="J160" s="10"/>
      <c r="K160" s="9"/>
      <c r="L160" s="9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14"/>
      <c r="G162" s="14"/>
      <c r="H162" s="14"/>
      <c r="I162" s="14"/>
      <c r="J162" s="14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8"/>
      <c r="G164" s="8"/>
      <c r="H164" s="8"/>
      <c r="I164" s="8"/>
      <c r="J164" s="8"/>
    </row>
    <row r="165" spans="1:10" s="9" customFormat="1" ht="21.9" customHeight="1">
      <c r="A165" s="13"/>
      <c r="B165" s="13"/>
      <c r="C165" s="13"/>
      <c r="D165" s="13"/>
      <c r="E165" s="13"/>
      <c r="F165" s="14"/>
      <c r="G165" s="14"/>
      <c r="H165" s="14"/>
      <c r="I165" s="14"/>
      <c r="J165" s="14"/>
    </row>
    <row r="166" spans="1:10" s="9" customFormat="1" ht="21.9" customHeight="1">
      <c r="A166" s="13"/>
      <c r="B166" s="13"/>
      <c r="C166" s="13"/>
      <c r="D166" s="13"/>
      <c r="E166" s="13"/>
      <c r="F166" s="10"/>
      <c r="G166" s="10"/>
      <c r="H166" s="10"/>
      <c r="I166" s="10"/>
      <c r="J166" s="10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2"/>
      <c r="G171" s="12"/>
      <c r="H171" s="12"/>
      <c r="I171" s="12"/>
      <c r="J171" s="12"/>
    </row>
    <row r="172" spans="1:10" s="9" customFormat="1" ht="21.9" customHeight="1">
      <c r="A172" s="13"/>
      <c r="B172" s="13"/>
      <c r="C172" s="13"/>
      <c r="D172" s="13"/>
      <c r="E172" s="13"/>
      <c r="F172" s="12"/>
      <c r="G172" s="12"/>
      <c r="H172" s="12"/>
      <c r="I172" s="12"/>
      <c r="J172" s="12"/>
    </row>
    <row r="173" spans="1:10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8"/>
      <c r="G178" s="8"/>
      <c r="H178" s="8"/>
      <c r="I178" s="8"/>
      <c r="J178" s="8"/>
    </row>
    <row r="179" spans="1:10" s="9" customFormat="1" ht="21.9" customHeight="1">
      <c r="A179" s="13"/>
      <c r="B179" s="13"/>
      <c r="C179" s="13"/>
      <c r="D179" s="13"/>
      <c r="E179" s="13"/>
      <c r="F179" s="8"/>
      <c r="G179" s="8"/>
      <c r="H179" s="8"/>
      <c r="I179" s="8"/>
      <c r="J179" s="8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0"/>
      <c r="G182" s="10"/>
      <c r="H182" s="10"/>
      <c r="I182" s="10"/>
      <c r="J182" s="10"/>
    </row>
    <row r="183" spans="1:10" s="9" customFormat="1" ht="21.9" customHeight="1">
      <c r="A183" s="13"/>
      <c r="B183" s="13"/>
      <c r="C183" s="13"/>
      <c r="D183" s="13"/>
      <c r="E183" s="13"/>
      <c r="F183" s="10"/>
      <c r="G183" s="10"/>
      <c r="H183" s="10"/>
      <c r="I183" s="10"/>
      <c r="J183" s="10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</row>
    <row r="186" spans="1:10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</row>
    <row r="187" spans="1:10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</row>
    <row r="188" spans="1:10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</row>
    <row r="189" spans="1:10" s="9" customFormat="1" ht="21.9" customHeight="1">
      <c r="A189" s="13"/>
      <c r="B189" s="13"/>
      <c r="C189" s="13"/>
      <c r="D189" s="13"/>
      <c r="E189" s="13"/>
      <c r="F189" s="12"/>
      <c r="G189" s="12"/>
      <c r="H189" s="12"/>
      <c r="I189" s="12"/>
      <c r="J189" s="12"/>
    </row>
    <row r="190" spans="1:10" s="9" customFormat="1" ht="21.9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8"/>
      <c r="G195" s="8"/>
      <c r="H195" s="8"/>
      <c r="I195" s="8"/>
      <c r="J195" s="8"/>
    </row>
    <row r="196" spans="1:10" s="9" customFormat="1" ht="21.9" customHeight="1">
      <c r="A196" s="13"/>
      <c r="B196" s="13"/>
      <c r="C196" s="13"/>
      <c r="D196" s="13"/>
      <c r="E196" s="13"/>
      <c r="F196" s="8"/>
      <c r="G196" s="8"/>
      <c r="H196" s="8"/>
      <c r="I196" s="8"/>
      <c r="J196" s="8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3"/>
      <c r="B199" s="13"/>
      <c r="C199" s="13"/>
      <c r="D199" s="13"/>
      <c r="E199" s="13"/>
      <c r="F199" s="11"/>
      <c r="G199" s="11"/>
      <c r="H199" s="11"/>
      <c r="I199" s="11"/>
      <c r="J199" s="11"/>
    </row>
    <row r="200" spans="1:10" s="9" customFormat="1" ht="21.9" customHeight="1">
      <c r="A200" s="13"/>
      <c r="B200" s="13"/>
      <c r="C200" s="13"/>
      <c r="D200" s="13"/>
      <c r="E200" s="13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1"/>
      <c r="G202" s="11"/>
      <c r="H202" s="11"/>
      <c r="I202" s="11"/>
      <c r="J202" s="11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12"/>
      <c r="G207" s="12"/>
      <c r="H207" s="12"/>
      <c r="I207" s="12"/>
      <c r="J207" s="12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8"/>
      <c r="G209" s="8"/>
      <c r="H209" s="8"/>
      <c r="I209" s="8"/>
      <c r="J209" s="8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12"/>
      <c r="G211" s="12"/>
      <c r="H211" s="12"/>
      <c r="I211" s="12"/>
      <c r="J211" s="12"/>
    </row>
    <row r="212" spans="1:10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8"/>
      <c r="G217" s="8"/>
      <c r="H217" s="8"/>
      <c r="I217" s="8"/>
      <c r="J217" s="8"/>
    </row>
    <row r="218" spans="1:10" s="9" customFormat="1" ht="21.9" customHeight="1">
      <c r="A218" s="15"/>
      <c r="B218" s="15"/>
      <c r="C218" s="15"/>
      <c r="D218" s="15"/>
      <c r="E218" s="15"/>
      <c r="F218" s="8"/>
      <c r="G218" s="8"/>
      <c r="H218" s="8"/>
      <c r="I218" s="8"/>
      <c r="J218" s="8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11"/>
      <c r="G223" s="11"/>
      <c r="H223" s="11"/>
      <c r="I223" s="11"/>
      <c r="J223" s="11"/>
    </row>
    <row r="224" spans="1:10" s="9" customFormat="1" ht="21.9" customHeight="1">
      <c r="A224" s="15"/>
      <c r="B224" s="15"/>
      <c r="C224" s="15"/>
      <c r="D224" s="15"/>
      <c r="E224" s="15"/>
      <c r="F224" s="11"/>
      <c r="G224" s="11"/>
      <c r="H224" s="11"/>
      <c r="I224" s="11"/>
      <c r="J224" s="11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</row>
    <row r="231" spans="1:10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</row>
    <row r="232" spans="1:10" s="9" customFormat="1" ht="21.9" customHeight="1">
      <c r="A232" s="6"/>
      <c r="B232" s="6"/>
      <c r="C232" s="6"/>
      <c r="D232" s="6"/>
      <c r="E232" s="6"/>
      <c r="F232" s="12"/>
      <c r="G232" s="12"/>
      <c r="H232" s="12"/>
      <c r="I232" s="12"/>
      <c r="J232" s="12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11"/>
      <c r="G234" s="11"/>
      <c r="H234" s="11"/>
      <c r="I234" s="11"/>
      <c r="J234" s="11"/>
    </row>
    <row r="235" spans="1:10" s="9" customFormat="1" ht="21.9" customHeight="1">
      <c r="A235" s="6"/>
      <c r="B235" s="6"/>
      <c r="C235" s="6"/>
      <c r="D235" s="6"/>
      <c r="E235" s="6"/>
      <c r="F235" s="12"/>
      <c r="G235" s="12"/>
      <c r="H235" s="12"/>
      <c r="I235" s="12"/>
      <c r="J235" s="12"/>
    </row>
    <row r="236" spans="1:10" s="9" customFormat="1" ht="21.9" customHeight="1">
      <c r="A236" s="6"/>
      <c r="B236" s="6"/>
      <c r="C236" s="6"/>
      <c r="D236" s="6"/>
      <c r="E236" s="6"/>
      <c r="F236" s="8"/>
      <c r="G236" s="8"/>
      <c r="H236" s="8"/>
      <c r="I236" s="8"/>
      <c r="J236" s="8"/>
    </row>
    <row r="237" spans="1:10" s="9" customFormat="1" ht="21.9" customHeight="1">
      <c r="A237" s="6"/>
      <c r="B237" s="6"/>
      <c r="C237" s="6"/>
      <c r="D237" s="6"/>
      <c r="E237" s="6"/>
      <c r="F237" s="8"/>
      <c r="G237" s="8"/>
      <c r="H237" s="8"/>
      <c r="I237" s="8"/>
      <c r="J237" s="8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2"/>
      <c r="G239" s="12"/>
      <c r="H239" s="12"/>
      <c r="I239" s="12"/>
      <c r="J239" s="12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</row>
    <row r="247" spans="1:10" s="9" customFormat="1" ht="21.9" customHeight="1">
      <c r="A247" s="6"/>
      <c r="B247" s="6"/>
      <c r="C247" s="6"/>
      <c r="D247" s="6"/>
      <c r="E247" s="6"/>
      <c r="F247" s="11"/>
      <c r="G247" s="11"/>
      <c r="H247" s="11"/>
      <c r="I247" s="11"/>
      <c r="J247" s="11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21.9" customHeight="1">
      <c r="A252" s="6"/>
      <c r="B252" s="6"/>
      <c r="C252" s="6"/>
      <c r="D252" s="6"/>
      <c r="E252" s="6"/>
      <c r="F252" s="8"/>
      <c r="G252" s="8"/>
      <c r="H252" s="8"/>
      <c r="I252" s="8"/>
      <c r="J252" s="8"/>
    </row>
    <row r="253" spans="1:10" s="9" customFormat="1" ht="21.9" customHeight="1">
      <c r="A253" s="6"/>
      <c r="B253" s="6"/>
      <c r="C253" s="6"/>
      <c r="D253" s="6"/>
      <c r="E253" s="6"/>
      <c r="F253" s="8"/>
      <c r="G253" s="8"/>
      <c r="H253" s="8"/>
      <c r="I253" s="8"/>
      <c r="J253" s="8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0"/>
      <c r="G255" s="10"/>
      <c r="H255" s="10"/>
      <c r="I255" s="10"/>
      <c r="J255" s="10"/>
    </row>
    <row r="256" spans="1:10" s="9" customFormat="1" ht="13.2">
      <c r="A256" s="6"/>
      <c r="B256" s="6"/>
      <c r="C256" s="6"/>
      <c r="D256" s="6"/>
      <c r="E256" s="6"/>
      <c r="F256" s="12"/>
      <c r="G256" s="12"/>
      <c r="H256" s="12"/>
      <c r="I256" s="12"/>
      <c r="J256" s="12"/>
    </row>
    <row r="257" spans="1:10" s="9" customFormat="1" ht="13.2">
      <c r="A257" s="6"/>
      <c r="B257" s="6"/>
      <c r="C257" s="6"/>
      <c r="D257" s="6"/>
      <c r="E257" s="6"/>
      <c r="F257" s="12"/>
      <c r="G257" s="12"/>
      <c r="H257" s="12"/>
      <c r="I257" s="12"/>
      <c r="J257" s="12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8"/>
      <c r="G260" s="8"/>
      <c r="H260" s="8"/>
      <c r="I260" s="8"/>
      <c r="J260" s="8"/>
    </row>
    <row r="261" spans="1:10" s="9" customFormat="1" ht="13.2">
      <c r="A261" s="6"/>
      <c r="B261" s="6"/>
      <c r="C261" s="6"/>
      <c r="D261" s="6"/>
      <c r="E261" s="6"/>
      <c r="F261" s="8"/>
      <c r="G261" s="8"/>
      <c r="H261" s="8"/>
      <c r="I261" s="8"/>
      <c r="J261" s="8"/>
    </row>
    <row r="262" spans="1:10" s="9" customFormat="1" ht="13.2">
      <c r="A262" s="6"/>
      <c r="B262" s="6"/>
      <c r="C262" s="6"/>
      <c r="D262" s="6"/>
      <c r="E262" s="6"/>
      <c r="F262" s="11"/>
      <c r="G262" s="11"/>
      <c r="H262" s="11"/>
      <c r="I262" s="11"/>
      <c r="J262" s="11"/>
    </row>
    <row r="263" spans="1:10" s="9" customFormat="1" ht="13.2">
      <c r="A263" s="6"/>
      <c r="B263" s="6"/>
      <c r="C263" s="6"/>
      <c r="D263" s="6"/>
      <c r="E263" s="6"/>
      <c r="F263" s="12"/>
      <c r="G263" s="12"/>
      <c r="H263" s="12"/>
      <c r="I263" s="12"/>
      <c r="J263" s="12"/>
    </row>
    <row r="264" spans="1:10" s="9" customFormat="1" ht="13.2">
      <c r="A264" s="6"/>
      <c r="B264" s="6"/>
      <c r="C264" s="6"/>
      <c r="D264" s="6"/>
      <c r="E264" s="6"/>
      <c r="F264" s="10"/>
      <c r="G264" s="10"/>
      <c r="H264" s="10"/>
      <c r="I264" s="10"/>
      <c r="J264" s="10"/>
    </row>
    <row r="265" spans="1:10" s="9" customFormat="1" ht="13.2">
      <c r="A265" s="6"/>
      <c r="B265" s="6"/>
      <c r="C265" s="6"/>
      <c r="D265" s="6"/>
      <c r="E265" s="6"/>
      <c r="F265" s="11"/>
      <c r="G265" s="11"/>
      <c r="H265" s="11"/>
      <c r="I265" s="11"/>
      <c r="J265" s="11"/>
    </row>
    <row r="266" spans="1:10" s="9" customFormat="1" ht="13.2">
      <c r="A266" s="6"/>
      <c r="B266" s="6"/>
      <c r="C266" s="6"/>
      <c r="D266" s="6"/>
      <c r="E266" s="6"/>
      <c r="F266" s="8"/>
      <c r="G266" s="8"/>
      <c r="H266" s="8"/>
      <c r="I266" s="8"/>
      <c r="J266" s="8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7"/>
      <c r="G269" s="7"/>
      <c r="H269" s="7"/>
      <c r="I269" s="7"/>
      <c r="J269" s="7"/>
    </row>
    <row r="270" spans="1:10" s="9" customFormat="1" ht="13.2">
      <c r="A270" s="6"/>
      <c r="B270" s="6"/>
      <c r="C270" s="6"/>
      <c r="D270" s="6"/>
      <c r="E270" s="6"/>
      <c r="F270" s="7"/>
      <c r="G270" s="7"/>
      <c r="H270" s="7"/>
      <c r="I270" s="7"/>
      <c r="J270" s="7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</row>
    <row r="278" spans="1:10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11"/>
      <c r="G280" s="11"/>
      <c r="H280" s="11"/>
      <c r="I280" s="11"/>
      <c r="J280" s="11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12"/>
      <c r="G283" s="12"/>
      <c r="H283" s="12"/>
      <c r="I283" s="12"/>
      <c r="J283" s="12"/>
    </row>
    <row r="284" spans="1:10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12"/>
      <c r="G286" s="12"/>
      <c r="H286" s="12"/>
      <c r="I286" s="12"/>
      <c r="J286" s="12"/>
    </row>
    <row r="287" spans="1:10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11"/>
      <c r="G289" s="11"/>
      <c r="H289" s="11"/>
      <c r="I289" s="11"/>
      <c r="J289" s="11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11"/>
      <c r="G293" s="11"/>
      <c r="H293" s="11"/>
      <c r="I293" s="11"/>
      <c r="J293" s="11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</row>
    <row r="299" spans="1:10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</row>
    <row r="300" spans="1:10" s="9" customFormat="1" ht="13.2">
      <c r="A300" s="6"/>
      <c r="B300" s="6"/>
      <c r="C300" s="6"/>
      <c r="D300" s="6"/>
      <c r="E300" s="6"/>
      <c r="F300" s="10"/>
      <c r="G300" s="10"/>
      <c r="H300" s="10"/>
      <c r="I300" s="10"/>
      <c r="J300" s="10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11"/>
      <c r="G303" s="11"/>
      <c r="H303" s="11"/>
      <c r="I303" s="11"/>
      <c r="J303" s="11"/>
    </row>
    <row r="304" spans="1:10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</row>
    <row r="305" spans="1:10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</row>
    <row r="306" spans="1:10" s="9" customFormat="1" ht="13.2">
      <c r="A306" s="6"/>
      <c r="B306" s="6"/>
      <c r="C306" s="6"/>
      <c r="D306" s="6"/>
      <c r="E306" s="6"/>
      <c r="F306" s="11"/>
      <c r="G306" s="11"/>
      <c r="H306" s="11"/>
      <c r="I306" s="11"/>
      <c r="J306" s="11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 s="9" customFormat="1" ht="13.2">
      <c r="A309" s="6"/>
      <c r="B309" s="6"/>
      <c r="C309" s="6"/>
      <c r="D309" s="6"/>
      <c r="E309" s="6"/>
      <c r="F309" s="11"/>
      <c r="G309" s="11"/>
      <c r="H309" s="11"/>
      <c r="I309" s="11"/>
      <c r="J309" s="11"/>
    </row>
    <row r="310" spans="1:10" s="9" customFormat="1" ht="13.2">
      <c r="A310" s="6"/>
      <c r="B310" s="6"/>
      <c r="C310" s="6"/>
      <c r="D310" s="6"/>
      <c r="E310" s="6"/>
      <c r="F310" s="11"/>
      <c r="G310" s="11"/>
      <c r="H310" s="11"/>
      <c r="I310" s="11"/>
      <c r="J310" s="11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</row>
    <row r="315" spans="1:10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</row>
    <row r="316" spans="1:10" s="9" customFormat="1" ht="13.2">
      <c r="A316" s="6"/>
      <c r="B316" s="6"/>
      <c r="C316" s="6"/>
      <c r="D316" s="6"/>
      <c r="E316" s="6"/>
      <c r="F316" s="7"/>
      <c r="G316" s="7"/>
      <c r="H316" s="7"/>
      <c r="I316" s="7"/>
      <c r="J316" s="7"/>
    </row>
    <row r="317" spans="1:10" s="9" customFormat="1" ht="13.2">
      <c r="A317" s="6"/>
      <c r="B317" s="6"/>
      <c r="C317" s="6"/>
      <c r="D317" s="6"/>
      <c r="E317" s="6"/>
      <c r="F317" s="7"/>
      <c r="G317" s="7"/>
      <c r="H317" s="7"/>
      <c r="I317" s="7"/>
      <c r="J317" s="7"/>
    </row>
    <row r="318" spans="1:10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</row>
    <row r="319" spans="1:10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8"/>
      <c r="G321" s="8"/>
      <c r="H321" s="8"/>
      <c r="I321" s="8"/>
      <c r="J321" s="8"/>
    </row>
    <row r="322" spans="1:10" s="9" customFormat="1" ht="13.2">
      <c r="A322" s="6"/>
      <c r="B322" s="6"/>
      <c r="C322" s="6"/>
      <c r="D322" s="6"/>
      <c r="E322" s="6"/>
      <c r="F322" s="7"/>
      <c r="G322" s="7"/>
      <c r="H322" s="7"/>
      <c r="I322" s="7"/>
      <c r="J322" s="7"/>
    </row>
    <row r="323" spans="1:10" s="9" customFormat="1" ht="13.2">
      <c r="A323" s="6"/>
      <c r="B323" s="6"/>
      <c r="C323" s="6"/>
      <c r="D323" s="6"/>
      <c r="E323" s="6"/>
      <c r="F323" s="7"/>
      <c r="G323" s="7"/>
      <c r="H323" s="7"/>
      <c r="I323" s="7"/>
      <c r="J323" s="7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</row>
    <row r="330" spans="1:10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</row>
    <row r="331" spans="1:10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</row>
    <row r="332" spans="1:10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</row>
    <row r="359" spans="1:10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10"/>
      <c r="G361" s="10"/>
      <c r="H361" s="10"/>
      <c r="I361" s="10"/>
      <c r="J361" s="10"/>
    </row>
    <row r="362" spans="1:10" s="9" customFormat="1" ht="13.2">
      <c r="A362" s="6"/>
      <c r="B362" s="6"/>
      <c r="C362" s="6"/>
      <c r="D362" s="6"/>
      <c r="E362" s="6"/>
      <c r="F362" s="10"/>
      <c r="G362" s="10"/>
      <c r="H362" s="10"/>
      <c r="I362" s="10"/>
      <c r="J362" s="10"/>
    </row>
    <row r="363" spans="1:10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</row>
    <row r="364" spans="1:10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10"/>
      <c r="G366" s="10"/>
      <c r="H366" s="10"/>
      <c r="I366" s="10"/>
      <c r="J366" s="10"/>
    </row>
    <row r="367" spans="1:10" s="9" customFormat="1" ht="13.2">
      <c r="A367" s="6"/>
      <c r="B367" s="6"/>
      <c r="C367" s="6"/>
      <c r="D367" s="6"/>
      <c r="E367" s="6"/>
      <c r="F367" s="10"/>
      <c r="G367" s="10"/>
      <c r="H367" s="10"/>
      <c r="I367" s="10"/>
      <c r="J367" s="10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</row>
    <row r="370" spans="1:10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</row>
    <row r="371" spans="1:10" s="9" customFormat="1" ht="13.2">
      <c r="A371" s="6"/>
      <c r="B371" s="6"/>
      <c r="C371" s="6"/>
      <c r="D371" s="6"/>
      <c r="E371" s="6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2"/>
      <c r="G378" s="12"/>
      <c r="H378" s="12"/>
      <c r="I378" s="12"/>
      <c r="J378" s="12"/>
    </row>
    <row r="379" spans="1:10" s="9" customFormat="1" ht="13.2">
      <c r="A379" s="13"/>
      <c r="B379" s="13"/>
      <c r="C379" s="13"/>
      <c r="D379" s="13"/>
      <c r="E379" s="13"/>
      <c r="F379" s="12"/>
      <c r="G379" s="12"/>
      <c r="H379" s="12"/>
      <c r="I379" s="12"/>
      <c r="J379" s="12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1"/>
      <c r="G382" s="11"/>
      <c r="H382" s="11"/>
      <c r="I382" s="11"/>
      <c r="J382" s="11"/>
    </row>
    <row r="383" spans="1:10" s="9" customFormat="1" ht="13.2">
      <c r="A383" s="13"/>
      <c r="B383" s="13"/>
      <c r="C383" s="13"/>
      <c r="D383" s="13"/>
      <c r="E383" s="13"/>
      <c r="F383" s="11"/>
      <c r="G383" s="11"/>
      <c r="H383" s="11"/>
      <c r="I383" s="11"/>
      <c r="J383" s="11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8"/>
      <c r="G387" s="8"/>
      <c r="H387" s="8"/>
      <c r="I387" s="8"/>
      <c r="J387" s="8"/>
    </row>
    <row r="388" spans="1:10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</row>
    <row r="389" spans="1:10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4"/>
      <c r="G395" s="14"/>
      <c r="H395" s="14"/>
      <c r="I395" s="14"/>
      <c r="J395" s="14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0"/>
      <c r="G397" s="10"/>
      <c r="H397" s="10"/>
      <c r="I397" s="10"/>
      <c r="J397" s="10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14"/>
      <c r="G399" s="14"/>
      <c r="H399" s="14"/>
      <c r="I399" s="14"/>
      <c r="J399" s="14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8"/>
      <c r="G401" s="8"/>
      <c r="H401" s="8"/>
      <c r="I401" s="8"/>
      <c r="J401" s="8"/>
    </row>
    <row r="402" spans="1:10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</row>
    <row r="403" spans="1:10" s="9" customFormat="1" ht="13.2">
      <c r="A403" s="13"/>
      <c r="B403" s="13"/>
      <c r="C403" s="13"/>
      <c r="D403" s="13"/>
      <c r="E403" s="13"/>
      <c r="F403" s="10"/>
      <c r="G403" s="10"/>
      <c r="H403" s="10"/>
      <c r="I403" s="10"/>
      <c r="J403" s="10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2"/>
      <c r="G408" s="12"/>
      <c r="H408" s="12"/>
      <c r="I408" s="12"/>
      <c r="J408" s="12"/>
    </row>
    <row r="409" spans="1:10" s="9" customFormat="1" ht="13.2">
      <c r="A409" s="13"/>
      <c r="B409" s="13"/>
      <c r="C409" s="13"/>
      <c r="D409" s="13"/>
      <c r="E409" s="13"/>
      <c r="F409" s="12"/>
      <c r="G409" s="12"/>
      <c r="H409" s="12"/>
      <c r="I409" s="12"/>
      <c r="J409" s="12"/>
    </row>
    <row r="410" spans="1:10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</row>
    <row r="416" spans="1:10" s="9" customFormat="1" ht="13.2">
      <c r="A416" s="13"/>
      <c r="B416" s="13"/>
      <c r="C416" s="13"/>
      <c r="D416" s="13"/>
      <c r="E416" s="13"/>
      <c r="F416" s="8"/>
      <c r="G416" s="8"/>
      <c r="H416" s="8"/>
      <c r="I416" s="8"/>
      <c r="J416" s="8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0"/>
      <c r="G419" s="10"/>
      <c r="H419" s="10"/>
      <c r="I419" s="10"/>
      <c r="J419" s="10"/>
    </row>
    <row r="420" spans="1:10" s="9" customFormat="1" ht="13.2">
      <c r="A420" s="13"/>
      <c r="B420" s="13"/>
      <c r="C420" s="13"/>
      <c r="D420" s="13"/>
      <c r="E420" s="13"/>
      <c r="F420" s="10"/>
      <c r="G420" s="10"/>
      <c r="H420" s="10"/>
      <c r="I420" s="10"/>
      <c r="J420" s="10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</row>
    <row r="423" spans="1:10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</row>
    <row r="424" spans="1:10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</row>
    <row r="425" spans="1:10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</row>
    <row r="426" spans="1:10" s="9" customFormat="1" ht="13.2">
      <c r="A426" s="13"/>
      <c r="B426" s="13"/>
      <c r="C426" s="13"/>
      <c r="D426" s="13"/>
      <c r="E426" s="13"/>
      <c r="F426" s="12"/>
      <c r="G426" s="12"/>
      <c r="H426" s="12"/>
      <c r="I426" s="12"/>
      <c r="J426" s="12"/>
    </row>
    <row r="427" spans="1:10" s="9" customFormat="1" ht="13.2">
      <c r="A427" s="13"/>
      <c r="B427" s="13"/>
      <c r="C427" s="13"/>
      <c r="D427" s="13"/>
      <c r="E427" s="13"/>
      <c r="F427" s="12"/>
      <c r="G427" s="12"/>
      <c r="H427" s="12"/>
      <c r="I427" s="12"/>
      <c r="J427" s="12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8"/>
      <c r="G432" s="8"/>
      <c r="H432" s="8"/>
      <c r="I432" s="8"/>
      <c r="J432" s="8"/>
    </row>
    <row r="433" spans="1:10" s="9" customFormat="1" ht="13.2">
      <c r="A433" s="13"/>
      <c r="B433" s="13"/>
      <c r="C433" s="13"/>
      <c r="D433" s="13"/>
      <c r="E433" s="13"/>
      <c r="F433" s="8"/>
      <c r="G433" s="8"/>
      <c r="H433" s="8"/>
      <c r="I433" s="8"/>
      <c r="J433" s="8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3"/>
      <c r="B436" s="13"/>
      <c r="C436" s="13"/>
      <c r="D436" s="13"/>
      <c r="E436" s="13"/>
      <c r="F436" s="11"/>
      <c r="G436" s="11"/>
      <c r="H436" s="11"/>
      <c r="I436" s="11"/>
      <c r="J436" s="11"/>
    </row>
    <row r="437" spans="1:10" s="9" customFormat="1" ht="13.2">
      <c r="A437" s="13"/>
      <c r="B437" s="13"/>
      <c r="C437" s="13"/>
      <c r="D437" s="13"/>
      <c r="E437" s="13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1"/>
      <c r="G439" s="11"/>
      <c r="H439" s="11"/>
      <c r="I439" s="11"/>
      <c r="J439" s="11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12"/>
      <c r="G444" s="12"/>
      <c r="H444" s="12"/>
      <c r="I444" s="12"/>
      <c r="J444" s="12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8"/>
      <c r="G446" s="8"/>
      <c r="H446" s="8"/>
      <c r="I446" s="8"/>
      <c r="J446" s="8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12"/>
      <c r="G448" s="12"/>
      <c r="H448" s="12"/>
      <c r="I448" s="12"/>
      <c r="J448" s="12"/>
    </row>
    <row r="449" spans="1:10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8"/>
      <c r="G454" s="8"/>
      <c r="H454" s="8"/>
      <c r="I454" s="8"/>
      <c r="J454" s="8"/>
    </row>
    <row r="455" spans="1:10" s="9" customFormat="1" ht="13.2">
      <c r="A455" s="15"/>
      <c r="B455" s="15"/>
      <c r="C455" s="15"/>
      <c r="D455" s="15"/>
      <c r="E455" s="15"/>
      <c r="F455" s="8"/>
      <c r="G455" s="8"/>
      <c r="H455" s="8"/>
      <c r="I455" s="8"/>
      <c r="J455" s="8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11"/>
      <c r="G460" s="11"/>
      <c r="H460" s="11"/>
      <c r="I460" s="11"/>
      <c r="J460" s="11"/>
    </row>
    <row r="461" spans="1:10" s="9" customFormat="1" ht="13.2">
      <c r="A461" s="15"/>
      <c r="B461" s="15"/>
      <c r="C461" s="15"/>
      <c r="D461" s="15"/>
      <c r="E461" s="15"/>
      <c r="F461" s="11"/>
      <c r="G461" s="11"/>
      <c r="H461" s="11"/>
      <c r="I461" s="11"/>
      <c r="J461" s="11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</row>
    <row r="468" spans="1:10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</row>
    <row r="469" spans="1:10" s="9" customFormat="1" ht="13.2">
      <c r="A469" s="6"/>
      <c r="B469" s="6"/>
      <c r="C469" s="6"/>
      <c r="D469" s="6"/>
      <c r="E469" s="6"/>
      <c r="F469" s="12"/>
      <c r="G469" s="12"/>
      <c r="H469" s="12"/>
      <c r="I469" s="12"/>
      <c r="J469" s="12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11"/>
      <c r="G471" s="11"/>
      <c r="H471" s="11"/>
      <c r="I471" s="11"/>
      <c r="J471" s="11"/>
    </row>
    <row r="472" spans="1:10" s="9" customFormat="1" ht="13.2">
      <c r="A472" s="6"/>
      <c r="B472" s="6"/>
      <c r="C472" s="6"/>
      <c r="D472" s="6"/>
      <c r="E472" s="6"/>
      <c r="F472" s="12"/>
      <c r="G472" s="12"/>
      <c r="H472" s="12"/>
      <c r="I472" s="12"/>
      <c r="J472" s="12"/>
    </row>
    <row r="473" spans="1:10" s="9" customFormat="1" ht="13.2">
      <c r="A473" s="6"/>
      <c r="B473" s="6"/>
      <c r="C473" s="6"/>
      <c r="D473" s="6"/>
      <c r="E473" s="6"/>
      <c r="F473" s="8"/>
      <c r="G473" s="8"/>
      <c r="H473" s="8"/>
      <c r="I473" s="8"/>
      <c r="J473" s="8"/>
    </row>
    <row r="474" spans="1:10" s="9" customFormat="1" ht="13.2">
      <c r="A474" s="6"/>
      <c r="B474" s="6"/>
      <c r="C474" s="6"/>
      <c r="D474" s="6"/>
      <c r="E474" s="6"/>
      <c r="F474" s="8"/>
      <c r="G474" s="8"/>
      <c r="H474" s="8"/>
      <c r="I474" s="8"/>
      <c r="J474" s="8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2"/>
      <c r="G476" s="12"/>
      <c r="H476" s="12"/>
      <c r="I476" s="12"/>
      <c r="J476" s="12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</row>
    <row r="484" spans="1:10" s="9" customFormat="1" ht="13.2">
      <c r="A484" s="6"/>
      <c r="B484" s="6"/>
      <c r="C484" s="6"/>
      <c r="D484" s="6"/>
      <c r="E484" s="6"/>
      <c r="F484" s="11"/>
      <c r="G484" s="11"/>
      <c r="H484" s="11"/>
      <c r="I484" s="11"/>
      <c r="J484" s="11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8"/>
      <c r="G489" s="8"/>
      <c r="H489" s="8"/>
      <c r="I489" s="8"/>
      <c r="J489" s="8"/>
    </row>
    <row r="490" spans="1:10" s="9" customFormat="1" ht="13.2">
      <c r="A490" s="6"/>
      <c r="B490" s="6"/>
      <c r="C490" s="6"/>
      <c r="D490" s="6"/>
      <c r="E490" s="6"/>
      <c r="F490" s="8"/>
      <c r="G490" s="8"/>
      <c r="H490" s="8"/>
      <c r="I490" s="8"/>
      <c r="J490" s="8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0"/>
      <c r="G492" s="10"/>
      <c r="H492" s="10"/>
      <c r="I492" s="10"/>
      <c r="J492" s="10"/>
    </row>
    <row r="493" spans="1:10" s="9" customFormat="1" ht="13.2">
      <c r="A493" s="6"/>
      <c r="B493" s="6"/>
      <c r="C493" s="6"/>
      <c r="D493" s="6"/>
      <c r="E493" s="6"/>
      <c r="F493" s="12"/>
      <c r="G493" s="12"/>
      <c r="H493" s="12"/>
      <c r="I493" s="12"/>
      <c r="J493" s="12"/>
    </row>
    <row r="494" spans="1:10" s="9" customFormat="1" ht="13.2">
      <c r="A494" s="6"/>
      <c r="B494" s="6"/>
      <c r="C494" s="6"/>
      <c r="D494" s="6"/>
      <c r="E494" s="6"/>
      <c r="F494" s="12"/>
      <c r="G494" s="12"/>
      <c r="H494" s="12"/>
      <c r="I494" s="12"/>
      <c r="J494" s="12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</row>
    <row r="498" spans="1:10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</row>
    <row r="499" spans="1:10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</row>
    <row r="500" spans="1:10" s="9" customFormat="1" ht="13.2">
      <c r="A500" s="6"/>
      <c r="B500" s="6"/>
      <c r="C500" s="6"/>
      <c r="D500" s="6"/>
      <c r="E500" s="6"/>
      <c r="F500" s="12"/>
      <c r="G500" s="12"/>
      <c r="H500" s="12"/>
      <c r="I500" s="12"/>
      <c r="J500" s="12"/>
    </row>
    <row r="501" spans="1:10" s="9" customFormat="1" ht="13.2">
      <c r="A501" s="6"/>
      <c r="B501" s="6"/>
      <c r="C501" s="6"/>
      <c r="D501" s="6"/>
      <c r="E501" s="6"/>
      <c r="F501" s="10"/>
      <c r="G501" s="10"/>
      <c r="H501" s="10"/>
      <c r="I501" s="10"/>
      <c r="J501" s="10"/>
    </row>
    <row r="502" spans="1:10" s="9" customFormat="1" ht="13.2">
      <c r="A502" s="6"/>
      <c r="B502" s="6"/>
      <c r="C502" s="6"/>
      <c r="D502" s="6"/>
      <c r="E502" s="6"/>
      <c r="F502" s="11"/>
      <c r="G502" s="11"/>
      <c r="H502" s="11"/>
      <c r="I502" s="11"/>
      <c r="J502" s="11"/>
    </row>
    <row r="503" spans="1:10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7"/>
      <c r="G506" s="7"/>
      <c r="H506" s="7"/>
      <c r="I506" s="7"/>
      <c r="J506" s="7"/>
    </row>
    <row r="507" spans="1:10" s="9" customFormat="1" ht="13.2">
      <c r="A507" s="6"/>
      <c r="B507" s="6"/>
      <c r="C507" s="6"/>
      <c r="D507" s="6"/>
      <c r="E507" s="6"/>
      <c r="F507" s="7"/>
      <c r="G507" s="7"/>
      <c r="H507" s="7"/>
      <c r="I507" s="7"/>
      <c r="J507" s="7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</row>
    <row r="515" spans="1:10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11"/>
      <c r="G517" s="11"/>
      <c r="H517" s="11"/>
      <c r="I517" s="11"/>
      <c r="J517" s="11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12"/>
      <c r="G520" s="12"/>
      <c r="H520" s="12"/>
      <c r="I520" s="12"/>
      <c r="J520" s="12"/>
    </row>
    <row r="521" spans="1:10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12"/>
      <c r="G523" s="12"/>
      <c r="H523" s="12"/>
      <c r="I523" s="12"/>
      <c r="J523" s="12"/>
    </row>
    <row r="524" spans="1:10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11"/>
      <c r="G526" s="11"/>
      <c r="H526" s="11"/>
      <c r="I526" s="11"/>
      <c r="J526" s="11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11"/>
      <c r="G530" s="11"/>
      <c r="H530" s="11"/>
      <c r="I530" s="11"/>
      <c r="J530" s="11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</row>
    <row r="536" spans="1:10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</row>
    <row r="537" spans="1:10" s="9" customFormat="1" ht="13.2">
      <c r="A537" s="6"/>
      <c r="B537" s="6"/>
      <c r="C537" s="6"/>
      <c r="D537" s="6"/>
      <c r="E537" s="6"/>
      <c r="F537" s="10"/>
      <c r="G537" s="10"/>
      <c r="H537" s="10"/>
      <c r="I537" s="10"/>
      <c r="J537" s="10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11"/>
      <c r="G540" s="11"/>
      <c r="H540" s="11"/>
      <c r="I540" s="11"/>
      <c r="J540" s="11"/>
    </row>
    <row r="541" spans="1:10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</row>
    <row r="542" spans="1:10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</row>
    <row r="543" spans="1:10" s="9" customFormat="1" ht="13.2">
      <c r="A543" s="6"/>
      <c r="B543" s="6"/>
      <c r="C543" s="6"/>
      <c r="D543" s="6"/>
      <c r="E543" s="6"/>
      <c r="F543" s="11"/>
      <c r="G543" s="11"/>
      <c r="H543" s="11"/>
      <c r="I543" s="11"/>
      <c r="J543" s="11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spans="1:10" s="9" customFormat="1" ht="13.2">
      <c r="A546" s="6"/>
      <c r="B546" s="6"/>
      <c r="C546" s="6"/>
      <c r="D546" s="6"/>
      <c r="E546" s="6"/>
      <c r="F546" s="11"/>
      <c r="G546" s="11"/>
      <c r="H546" s="11"/>
      <c r="I546" s="11"/>
      <c r="J546" s="11"/>
    </row>
    <row r="547" spans="1:10" s="9" customFormat="1" ht="13.2">
      <c r="A547" s="6"/>
      <c r="B547" s="6"/>
      <c r="C547" s="6"/>
      <c r="D547" s="6"/>
      <c r="E547" s="6"/>
      <c r="F547" s="11"/>
      <c r="G547" s="11"/>
      <c r="H547" s="11"/>
      <c r="I547" s="11"/>
      <c r="J547" s="11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</row>
    <row r="552" spans="1:10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</row>
    <row r="553" spans="1:10" s="9" customFormat="1" ht="13.2">
      <c r="A553" s="6"/>
      <c r="B553" s="6"/>
      <c r="C553" s="6"/>
      <c r="D553" s="6"/>
      <c r="E553" s="6"/>
      <c r="F553" s="7"/>
      <c r="G553" s="7"/>
      <c r="H553" s="7"/>
      <c r="I553" s="7"/>
      <c r="J553" s="7"/>
    </row>
    <row r="554" spans="1:10" s="9" customFormat="1" ht="13.2">
      <c r="A554" s="6"/>
      <c r="B554" s="6"/>
      <c r="C554" s="6"/>
      <c r="D554" s="6"/>
      <c r="E554" s="6"/>
      <c r="F554" s="7"/>
      <c r="G554" s="7"/>
      <c r="H554" s="7"/>
      <c r="I554" s="7"/>
      <c r="J554" s="7"/>
    </row>
    <row r="555" spans="1:10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</row>
    <row r="556" spans="1:10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8"/>
      <c r="G558" s="8"/>
      <c r="H558" s="8"/>
      <c r="I558" s="8"/>
      <c r="J558" s="8"/>
    </row>
    <row r="559" spans="1:10" s="9" customFormat="1" ht="13.2">
      <c r="A559" s="6"/>
      <c r="B559" s="6"/>
      <c r="C559" s="6"/>
      <c r="D559" s="6"/>
      <c r="E559" s="6"/>
      <c r="F559" s="7"/>
      <c r="G559" s="7"/>
      <c r="H559" s="7"/>
      <c r="I559" s="7"/>
      <c r="J559" s="7"/>
    </row>
    <row r="560" spans="1:10" s="9" customFormat="1" ht="13.2">
      <c r="A560" s="6"/>
      <c r="B560" s="6"/>
      <c r="C560" s="6"/>
      <c r="D560" s="6"/>
      <c r="E560" s="6"/>
      <c r="F560" s="7"/>
      <c r="G560" s="7"/>
      <c r="H560" s="7"/>
      <c r="I560" s="7"/>
      <c r="J560" s="7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</row>
    <row r="567" spans="1:10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</row>
    <row r="568" spans="1:10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</row>
    <row r="569" spans="1:10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</row>
    <row r="596" spans="1:10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10"/>
      <c r="G598" s="10"/>
      <c r="H598" s="10"/>
      <c r="I598" s="10"/>
      <c r="J598" s="10"/>
    </row>
    <row r="599" spans="1:10" s="9" customFormat="1" ht="13.2">
      <c r="A599" s="6"/>
      <c r="B599" s="6"/>
      <c r="C599" s="6"/>
      <c r="D599" s="6"/>
      <c r="E599" s="6"/>
      <c r="F599" s="10"/>
      <c r="G599" s="10"/>
      <c r="H599" s="10"/>
      <c r="I599" s="10"/>
      <c r="J599" s="10"/>
    </row>
    <row r="600" spans="1:10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</row>
    <row r="601" spans="1:10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10"/>
      <c r="G603" s="10"/>
      <c r="H603" s="10"/>
      <c r="I603" s="10"/>
      <c r="J603" s="10"/>
    </row>
    <row r="604" spans="1:10" s="9" customFormat="1" ht="13.2">
      <c r="A604" s="6"/>
      <c r="B604" s="6"/>
      <c r="C604" s="6"/>
      <c r="D604" s="6"/>
      <c r="E604" s="6"/>
      <c r="F604" s="10"/>
      <c r="G604" s="10"/>
      <c r="H604" s="10"/>
      <c r="I604" s="10"/>
      <c r="J604" s="10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</row>
    <row r="607" spans="1:10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 ht="13.2">
      <c r="A613" s="6"/>
      <c r="B613" s="6"/>
      <c r="C613" s="6"/>
      <c r="D613" s="6"/>
      <c r="E613" s="6"/>
      <c r="F613" s="12"/>
      <c r="G613" s="12"/>
      <c r="H613" s="12"/>
      <c r="I613" s="12"/>
      <c r="J613" s="12"/>
    </row>
    <row r="614" spans="1:12" s="9" customFormat="1" ht="13.2">
      <c r="A614" s="6"/>
      <c r="B614" s="6"/>
      <c r="C614" s="6"/>
      <c r="D614" s="6"/>
      <c r="E614" s="6"/>
      <c r="F614" s="12"/>
      <c r="G614" s="12"/>
      <c r="H614" s="12"/>
      <c r="I614" s="12"/>
      <c r="J614" s="12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s="9" customForma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s="9" customForma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</sheetData>
  <mergeCells count="131">
    <mergeCell ref="D68:E68"/>
    <mergeCell ref="F68:G68"/>
    <mergeCell ref="H68:I68"/>
    <mergeCell ref="J75:L75"/>
    <mergeCell ref="B69:C70"/>
    <mergeCell ref="D69:E70"/>
    <mergeCell ref="F69:G70"/>
    <mergeCell ref="H69:I70"/>
    <mergeCell ref="J69:K70"/>
    <mergeCell ref="A74:C74"/>
    <mergeCell ref="E74:H74"/>
    <mergeCell ref="J74:L74"/>
    <mergeCell ref="A75:C75"/>
    <mergeCell ref="E75:H75"/>
    <mergeCell ref="J68:K68"/>
    <mergeCell ref="B68:C68"/>
    <mergeCell ref="H63:I63"/>
    <mergeCell ref="H64:I64"/>
    <mergeCell ref="A63:F63"/>
    <mergeCell ref="A64:F64"/>
    <mergeCell ref="H54:I54"/>
    <mergeCell ref="H55:I55"/>
    <mergeCell ref="H56:I56"/>
    <mergeCell ref="H58:I58"/>
    <mergeCell ref="H59:I59"/>
    <mergeCell ref="A54:F54"/>
    <mergeCell ref="A55:F55"/>
    <mergeCell ref="A56:F56"/>
    <mergeCell ref="A58:F58"/>
    <mergeCell ref="A59:F59"/>
    <mergeCell ref="A57:F57"/>
    <mergeCell ref="H57:I57"/>
    <mergeCell ref="A60:F60"/>
    <mergeCell ref="H60:I60"/>
    <mergeCell ref="A61:F61"/>
    <mergeCell ref="H61:I61"/>
    <mergeCell ref="A62:F62"/>
    <mergeCell ref="H62:I62"/>
    <mergeCell ref="A50:F50"/>
    <mergeCell ref="H50:L50"/>
    <mergeCell ref="A51:F51"/>
    <mergeCell ref="H51:L51"/>
    <mergeCell ref="A52:F52"/>
    <mergeCell ref="H52:L52"/>
    <mergeCell ref="H53:J53"/>
    <mergeCell ref="K53:L53"/>
    <mergeCell ref="A46:F46"/>
    <mergeCell ref="A47:F47"/>
    <mergeCell ref="H47:L47"/>
    <mergeCell ref="A48:F48"/>
    <mergeCell ref="H48:L48"/>
    <mergeCell ref="A49:F49"/>
    <mergeCell ref="H49:L49"/>
    <mergeCell ref="H46:L46"/>
    <mergeCell ref="A44:F44"/>
    <mergeCell ref="H44:L44"/>
    <mergeCell ref="A45:F45"/>
    <mergeCell ref="H45:L45"/>
    <mergeCell ref="A42:F42"/>
    <mergeCell ref="H42:L42"/>
    <mergeCell ref="A43:F43"/>
    <mergeCell ref="H43:L43"/>
    <mergeCell ref="B40:F40"/>
    <mergeCell ref="G40:I40"/>
    <mergeCell ref="B38:F38"/>
    <mergeCell ref="G38:H38"/>
    <mergeCell ref="B39:F39"/>
    <mergeCell ref="G39:H39"/>
    <mergeCell ref="B36:F36"/>
    <mergeCell ref="G36:H36"/>
    <mergeCell ref="B37:F37"/>
    <mergeCell ref="G37:H37"/>
    <mergeCell ref="B33:F33"/>
    <mergeCell ref="B35:F35"/>
    <mergeCell ref="G35:H35"/>
    <mergeCell ref="B31:F31"/>
    <mergeCell ref="G31:I31"/>
    <mergeCell ref="B32:F32"/>
    <mergeCell ref="G32:I32"/>
    <mergeCell ref="B29:F29"/>
    <mergeCell ref="G29:I29"/>
    <mergeCell ref="B30:F30"/>
    <mergeCell ref="G30:I30"/>
    <mergeCell ref="B27:F27"/>
    <mergeCell ref="G27:I27"/>
    <mergeCell ref="B28:F28"/>
    <mergeCell ref="G28:I28"/>
    <mergeCell ref="B25:F25"/>
    <mergeCell ref="G25:I25"/>
    <mergeCell ref="B26:F26"/>
    <mergeCell ref="G26:I26"/>
    <mergeCell ref="B23:F23"/>
    <mergeCell ref="G23:I23"/>
    <mergeCell ref="B24:F24"/>
    <mergeCell ref="G24:I24"/>
    <mergeCell ref="B21:F21"/>
    <mergeCell ref="G21:I21"/>
    <mergeCell ref="B22:F22"/>
    <mergeCell ref="G22:I22"/>
    <mergeCell ref="B19:F19"/>
    <mergeCell ref="G19:I19"/>
    <mergeCell ref="B20:F20"/>
    <mergeCell ref="G20:I20"/>
    <mergeCell ref="B17:F17"/>
    <mergeCell ref="G17:I17"/>
    <mergeCell ref="B18:F18"/>
    <mergeCell ref="G18:I18"/>
    <mergeCell ref="B15:F15"/>
    <mergeCell ref="G15:I15"/>
    <mergeCell ref="B16:F16"/>
    <mergeCell ref="G16:I16"/>
    <mergeCell ref="B14:F14"/>
    <mergeCell ref="G14:I14"/>
    <mergeCell ref="B12:F12"/>
    <mergeCell ref="G12:I12"/>
    <mergeCell ref="K9:L9"/>
    <mergeCell ref="A10:A11"/>
    <mergeCell ref="B10:F11"/>
    <mergeCell ref="G10:I11"/>
    <mergeCell ref="J10:K10"/>
    <mergeCell ref="L10:L11"/>
    <mergeCell ref="B5:H5"/>
    <mergeCell ref="K5:L5"/>
    <mergeCell ref="B7:H7"/>
    <mergeCell ref="K6:L6"/>
    <mergeCell ref="B3:H3"/>
    <mergeCell ref="K3:L3"/>
    <mergeCell ref="B4:H4"/>
    <mergeCell ref="K4:L4"/>
    <mergeCell ref="B13:F13"/>
    <mergeCell ref="G13:I13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O620"/>
  <sheetViews>
    <sheetView view="pageBreakPreview" zoomScaleNormal="100" zoomScaleSheetLayoutView="100" workbookViewId="0">
      <selection activeCell="B25" activeCellId="3" sqref="J69:K70 B27:F27 B25:F25 B25:F2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 t="s">
        <v>1</v>
      </c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3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4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6</v>
      </c>
      <c r="L5" s="557"/>
    </row>
    <row r="6" spans="1:15" s="16" customFormat="1" ht="16.5" customHeight="1">
      <c r="A6" s="69"/>
      <c r="B6" s="78" t="s">
        <v>7</v>
      </c>
      <c r="C6" s="78"/>
      <c r="D6" s="78"/>
      <c r="E6" s="78"/>
      <c r="F6" s="78"/>
      <c r="G6" s="78"/>
      <c r="H6" s="78"/>
      <c r="I6" s="21" t="s">
        <v>8</v>
      </c>
      <c r="J6" s="21"/>
      <c r="K6" s="560" t="s">
        <v>64</v>
      </c>
      <c r="L6" s="561"/>
    </row>
    <row r="7" spans="1:15" s="16" customFormat="1" ht="16.5" customHeight="1">
      <c r="A7" s="22" t="s">
        <v>10</v>
      </c>
      <c r="B7" s="556" t="s">
        <v>11</v>
      </c>
      <c r="C7" s="556"/>
      <c r="D7" s="556"/>
      <c r="E7" s="556"/>
      <c r="F7" s="556"/>
      <c r="G7" s="556"/>
      <c r="H7" s="556"/>
    </row>
    <row r="8" spans="1:15" s="16" customFormat="1" ht="16.5" customHeight="1">
      <c r="A8" s="22"/>
      <c r="B8" s="23"/>
      <c r="C8" s="23"/>
      <c r="D8" s="23"/>
      <c r="E8" s="23"/>
      <c r="F8" s="23"/>
      <c r="G8" s="23"/>
      <c r="J8" s="59"/>
      <c r="K8" s="62"/>
      <c r="L8" s="62"/>
    </row>
    <row r="9" spans="1:15" ht="16.5" customHeight="1">
      <c r="A9" s="24" t="s">
        <v>12</v>
      </c>
      <c r="B9" s="3"/>
      <c r="C9" s="3"/>
      <c r="D9" s="3"/>
      <c r="E9" s="3"/>
      <c r="F9" s="3"/>
      <c r="G9" s="3"/>
      <c r="H9" s="3"/>
      <c r="I9" s="3"/>
      <c r="J9" s="3"/>
      <c r="K9" s="555"/>
      <c r="L9" s="555"/>
    </row>
    <row r="10" spans="1:15" s="2" customFormat="1" ht="16.5" customHeight="1">
      <c r="A10" s="552" t="s">
        <v>13</v>
      </c>
      <c r="B10" s="552" t="s">
        <v>14</v>
      </c>
      <c r="C10" s="552"/>
      <c r="D10" s="552"/>
      <c r="E10" s="552"/>
      <c r="F10" s="552"/>
      <c r="G10" s="552" t="s">
        <v>15</v>
      </c>
      <c r="H10" s="552"/>
      <c r="I10" s="552"/>
      <c r="J10" s="553" t="s">
        <v>16</v>
      </c>
      <c r="K10" s="553"/>
      <c r="L10" s="552" t="s">
        <v>17</v>
      </c>
    </row>
    <row r="11" spans="1:15" s="2" customFormat="1" ht="16.5" customHeight="1">
      <c r="A11" s="552"/>
      <c r="B11" s="552"/>
      <c r="C11" s="552"/>
      <c r="D11" s="552"/>
      <c r="E11" s="552"/>
      <c r="F11" s="552"/>
      <c r="G11" s="552"/>
      <c r="H11" s="552"/>
      <c r="I11" s="552"/>
      <c r="J11" s="60" t="s">
        <v>18</v>
      </c>
      <c r="K11" s="20" t="s">
        <v>19</v>
      </c>
      <c r="L11" s="552"/>
    </row>
    <row r="12" spans="1:15" s="18" customFormat="1" ht="16.5" customHeight="1">
      <c r="A12" s="79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 t="str">
        <f>swa!A43</f>
        <v>105(1)</v>
      </c>
      <c r="B13" s="558" t="str">
        <f>swa!B43:E43</f>
        <v>Sub-Grade Preparation(Common Materials)</v>
      </c>
      <c r="C13" s="558"/>
      <c r="D13" s="558"/>
      <c r="E13" s="558"/>
      <c r="F13" s="558"/>
      <c r="G13" s="559" t="s">
        <v>20</v>
      </c>
      <c r="H13" s="559"/>
      <c r="I13" s="559"/>
      <c r="J13" s="216">
        <f>N18</f>
        <v>345</v>
      </c>
      <c r="K13" s="53"/>
      <c r="L13" s="55" t="s">
        <v>21</v>
      </c>
    </row>
    <row r="14" spans="1:15" s="18" customFormat="1" ht="16.5" customHeight="1">
      <c r="A14" s="215" t="str">
        <f>swa!A45</f>
        <v>200(1)</v>
      </c>
      <c r="B14" s="558" t="str">
        <f>swa!B45:E45</f>
        <v>Aggregate Subbase Course</v>
      </c>
      <c r="C14" s="558"/>
      <c r="D14" s="558"/>
      <c r="E14" s="558"/>
      <c r="F14" s="558"/>
      <c r="G14" s="559" t="s">
        <v>20</v>
      </c>
      <c r="H14" s="559"/>
      <c r="I14" s="559"/>
      <c r="J14" s="216">
        <f>J13*8.1*0.2</f>
        <v>558.9</v>
      </c>
      <c r="K14" s="53"/>
      <c r="L14" s="55" t="s">
        <v>22</v>
      </c>
    </row>
    <row r="15" spans="1:15" s="18" customFormat="1" ht="16.5" customHeight="1">
      <c r="A15" s="215" t="str">
        <f>swa!A47</f>
        <v>311(1)c</v>
      </c>
      <c r="B15" s="558" t="str">
        <f>swa!B47:E47</f>
        <v>Portland Cement Concrete Pavement, 230mm</v>
      </c>
      <c r="C15" s="558"/>
      <c r="D15" s="558"/>
      <c r="E15" s="558"/>
      <c r="F15" s="558"/>
      <c r="G15" s="559" t="s">
        <v>20</v>
      </c>
      <c r="H15" s="559"/>
      <c r="I15" s="559"/>
      <c r="J15" s="216">
        <f>N18</f>
        <v>345</v>
      </c>
      <c r="K15" s="53"/>
      <c r="L15" s="55" t="s">
        <v>21</v>
      </c>
      <c r="N15" s="18">
        <f>8*9</f>
        <v>72</v>
      </c>
    </row>
    <row r="16" spans="1:15" s="18" customFormat="1" ht="16.5" customHeight="1">
      <c r="A16" s="215"/>
      <c r="B16" s="558"/>
      <c r="C16" s="558"/>
      <c r="D16" s="558"/>
      <c r="E16" s="558"/>
      <c r="F16" s="558"/>
      <c r="G16" s="559"/>
      <c r="H16" s="559"/>
      <c r="I16" s="559"/>
      <c r="J16" s="216"/>
      <c r="K16" s="53"/>
      <c r="L16" s="55"/>
      <c r="N16" s="18">
        <v>115</v>
      </c>
      <c r="O16" s="18">
        <f>102/1.5</f>
        <v>68</v>
      </c>
    </row>
    <row r="17" spans="1:14" s="18" customFormat="1" ht="16.5" customHeight="1">
      <c r="A17" s="215"/>
      <c r="B17" s="558"/>
      <c r="C17" s="558"/>
      <c r="D17" s="558"/>
      <c r="E17" s="558"/>
      <c r="F17" s="558"/>
      <c r="G17" s="559"/>
      <c r="H17" s="559"/>
      <c r="I17" s="559"/>
      <c r="J17" s="53"/>
      <c r="K17" s="53"/>
      <c r="L17" s="55"/>
      <c r="N17" s="18">
        <v>3</v>
      </c>
    </row>
    <row r="18" spans="1:14" s="18" customFormat="1" ht="16.5" customHeight="1">
      <c r="A18" s="54"/>
      <c r="B18" s="558"/>
      <c r="C18" s="558"/>
      <c r="D18" s="558"/>
      <c r="E18" s="558"/>
      <c r="F18" s="558"/>
      <c r="G18" s="559"/>
      <c r="H18" s="559"/>
      <c r="I18" s="559"/>
      <c r="J18" s="53"/>
      <c r="K18" s="53"/>
      <c r="L18" s="55"/>
      <c r="N18" s="18">
        <f>N16*3</f>
        <v>345</v>
      </c>
    </row>
    <row r="19" spans="1:14" s="18" customFormat="1" ht="16.5" customHeight="1">
      <c r="A19" s="54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4" s="18" customFormat="1" ht="16.5" customHeight="1">
      <c r="A20" s="54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4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4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4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4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4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4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4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4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4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4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4" s="18" customFormat="1" ht="16.5" customHeight="1">
      <c r="A31" s="61"/>
      <c r="B31" s="562"/>
      <c r="C31" s="562"/>
      <c r="D31" s="562"/>
      <c r="E31" s="562"/>
      <c r="F31" s="562"/>
      <c r="G31" s="559"/>
      <c r="H31" s="559"/>
      <c r="I31" s="559"/>
      <c r="J31" s="53"/>
      <c r="K31" s="53"/>
      <c r="L31" s="55"/>
    </row>
    <row r="32" spans="1:14" s="18" customFormat="1" ht="16.5" customHeight="1">
      <c r="A32" s="61"/>
      <c r="B32" s="562"/>
      <c r="C32" s="562"/>
      <c r="D32" s="562"/>
      <c r="E32" s="562"/>
      <c r="F32" s="562"/>
      <c r="G32" s="559"/>
      <c r="H32" s="559"/>
      <c r="I32" s="559"/>
      <c r="J32" s="53"/>
      <c r="K32" s="53"/>
      <c r="L32" s="55"/>
    </row>
    <row r="33" spans="1:12" s="18" customFormat="1" ht="16.5" customHeight="1">
      <c r="A33" s="66"/>
      <c r="B33" s="566"/>
      <c r="C33" s="566"/>
      <c r="D33" s="566"/>
      <c r="E33" s="566"/>
      <c r="F33" s="566"/>
      <c r="G33" s="66"/>
      <c r="H33" s="41"/>
      <c r="I33" s="41"/>
      <c r="J33" s="42"/>
      <c r="K33" s="43"/>
      <c r="L33" s="3"/>
    </row>
    <row r="34" spans="1:12" s="18" customFormat="1" ht="16.5" customHeight="1">
      <c r="A34" s="26" t="s">
        <v>23</v>
      </c>
      <c r="B34" s="67"/>
      <c r="C34" s="67"/>
      <c r="D34" s="67"/>
      <c r="E34" s="67"/>
      <c r="F34" s="17"/>
      <c r="G34" s="17"/>
      <c r="H34" s="17"/>
      <c r="I34" s="17"/>
      <c r="J34" s="17"/>
      <c r="K34" s="3"/>
      <c r="L34" s="3"/>
    </row>
    <row r="35" spans="1:12" s="25" customFormat="1" ht="16.5" customHeight="1">
      <c r="A35" s="19" t="s">
        <v>13</v>
      </c>
      <c r="B35" s="567" t="s">
        <v>14</v>
      </c>
      <c r="C35" s="567"/>
      <c r="D35" s="567"/>
      <c r="E35" s="567"/>
      <c r="F35" s="567"/>
      <c r="G35" s="568" t="s">
        <v>24</v>
      </c>
      <c r="H35" s="568"/>
      <c r="I35" s="63" t="s">
        <v>17</v>
      </c>
      <c r="J35" s="60" t="s">
        <v>25</v>
      </c>
      <c r="K35" s="60" t="s">
        <v>26</v>
      </c>
      <c r="L35" s="60" t="s">
        <v>27</v>
      </c>
    </row>
    <row r="36" spans="1:12" s="18" customFormat="1" ht="16.5" customHeight="1">
      <c r="A36" s="75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65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65"/>
      <c r="B38" s="563"/>
      <c r="C38" s="563"/>
      <c r="D38" s="563"/>
      <c r="E38" s="563"/>
      <c r="F38" s="563"/>
      <c r="G38" s="564"/>
      <c r="H38" s="564"/>
      <c r="I38" s="64"/>
      <c r="J38" s="64"/>
      <c r="K38" s="55"/>
      <c r="L38" s="55"/>
    </row>
    <row r="39" spans="1:12" s="52" customFormat="1" ht="16.5" customHeight="1">
      <c r="A39" s="65"/>
      <c r="B39" s="563"/>
      <c r="C39" s="563"/>
      <c r="D39" s="563"/>
      <c r="E39" s="563"/>
      <c r="F39" s="563"/>
      <c r="G39" s="564"/>
      <c r="H39" s="564"/>
      <c r="I39" s="64"/>
      <c r="J39" s="64"/>
      <c r="K39" s="55"/>
      <c r="L39" s="55"/>
    </row>
    <row r="40" spans="1:12" s="52" customFormat="1" ht="16.5" customHeight="1">
      <c r="A40" s="32"/>
      <c r="B40" s="565"/>
      <c r="C40" s="565"/>
      <c r="D40" s="565"/>
      <c r="E40" s="565"/>
      <c r="F40" s="565"/>
      <c r="G40" s="565"/>
      <c r="H40" s="565"/>
      <c r="I40" s="565"/>
      <c r="J40" s="17"/>
      <c r="K40" s="3"/>
      <c r="L40" s="3"/>
    </row>
    <row r="41" spans="1:12" s="51" customFormat="1" ht="16.5" customHeight="1">
      <c r="A41" s="34" t="s">
        <v>28</v>
      </c>
      <c r="B41" s="34"/>
      <c r="C41" s="34"/>
      <c r="D41" s="34"/>
      <c r="E41" s="34"/>
      <c r="F41" s="17"/>
      <c r="G41" s="38"/>
      <c r="H41" s="36" t="s">
        <v>29</v>
      </c>
      <c r="I41" s="34"/>
      <c r="J41" s="34"/>
      <c r="K41" s="34"/>
      <c r="L41" s="34"/>
    </row>
    <row r="42" spans="1:12" s="51" customFormat="1" ht="16.5" customHeight="1">
      <c r="A42" s="569" t="s">
        <v>30</v>
      </c>
      <c r="B42" s="569"/>
      <c r="C42" s="569"/>
      <c r="D42" s="569"/>
      <c r="E42" s="569"/>
      <c r="F42" s="569"/>
      <c r="G42" s="56"/>
      <c r="H42" s="569"/>
      <c r="I42" s="569"/>
      <c r="J42" s="569"/>
      <c r="K42" s="569"/>
      <c r="L42" s="569"/>
    </row>
    <row r="43" spans="1:12" s="51" customFormat="1" ht="16.5" customHeight="1">
      <c r="A43" s="571" t="s">
        <v>31</v>
      </c>
      <c r="B43" s="571"/>
      <c r="C43" s="571"/>
      <c r="D43" s="571"/>
      <c r="E43" s="571"/>
      <c r="F43" s="571"/>
      <c r="G43" s="56"/>
      <c r="H43" s="569"/>
      <c r="I43" s="569"/>
      <c r="J43" s="569"/>
      <c r="K43" s="569"/>
      <c r="L43" s="569"/>
    </row>
    <row r="44" spans="1:12" s="51" customFormat="1" ht="16.5" customHeight="1">
      <c r="A44" s="571" t="s">
        <v>32</v>
      </c>
      <c r="B44" s="571"/>
      <c r="C44" s="571"/>
      <c r="D44" s="571"/>
      <c r="E44" s="571"/>
      <c r="F44" s="571"/>
      <c r="G44" s="57"/>
      <c r="H44" s="569"/>
      <c r="I44" s="569"/>
      <c r="J44" s="569"/>
      <c r="K44" s="569"/>
      <c r="L44" s="569"/>
    </row>
    <row r="45" spans="1:12" s="51" customFormat="1" ht="16.5" customHeight="1">
      <c r="A45" s="569" t="s">
        <v>33</v>
      </c>
      <c r="B45" s="569"/>
      <c r="C45" s="569"/>
      <c r="D45" s="569"/>
      <c r="E45" s="569"/>
      <c r="F45" s="569"/>
      <c r="G45" s="57"/>
      <c r="H45" s="569"/>
      <c r="I45" s="569"/>
      <c r="J45" s="569"/>
      <c r="K45" s="569"/>
      <c r="L45" s="569"/>
    </row>
    <row r="46" spans="1:12" s="51" customFormat="1" ht="16.5" customHeight="1">
      <c r="A46" s="570"/>
      <c r="B46" s="570"/>
      <c r="C46" s="570"/>
      <c r="D46" s="570"/>
      <c r="E46" s="570"/>
      <c r="F46" s="570"/>
      <c r="G46" s="39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7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6"/>
      <c r="H49" s="569"/>
      <c r="I49" s="569"/>
      <c r="J49" s="569"/>
      <c r="K49" s="569"/>
      <c r="L49" s="569"/>
    </row>
    <row r="50" spans="1:12" s="3" customFormat="1" ht="16.5" customHeight="1">
      <c r="A50" s="571"/>
      <c r="B50" s="571"/>
      <c r="C50" s="571"/>
      <c r="D50" s="571"/>
      <c r="E50" s="571"/>
      <c r="F50" s="571"/>
      <c r="G50" s="56"/>
      <c r="H50" s="569"/>
      <c r="I50" s="569"/>
      <c r="J50" s="569"/>
      <c r="K50" s="569"/>
      <c r="L50" s="569"/>
    </row>
    <row r="51" spans="1:12" s="3" customFormat="1" ht="16.5" customHeight="1">
      <c r="A51" s="571"/>
      <c r="B51" s="571"/>
      <c r="C51" s="571"/>
      <c r="D51" s="571"/>
      <c r="E51" s="571"/>
      <c r="F51" s="571"/>
      <c r="G51" s="57"/>
      <c r="H51" s="569"/>
      <c r="I51" s="569"/>
      <c r="J51" s="569"/>
      <c r="K51" s="569"/>
      <c r="L51" s="569"/>
    </row>
    <row r="52" spans="1:12" s="3" customFormat="1" ht="16.5" customHeight="1">
      <c r="A52" s="572"/>
      <c r="B52" s="572"/>
      <c r="C52" s="572"/>
      <c r="D52" s="572"/>
      <c r="E52" s="572"/>
      <c r="F52" s="572"/>
      <c r="G52" s="57"/>
      <c r="H52" s="572"/>
      <c r="I52" s="572"/>
      <c r="J52" s="572"/>
      <c r="K52" s="572"/>
      <c r="L52" s="572"/>
    </row>
    <row r="53" spans="1:12" s="3" customFormat="1" ht="16.5" customHeight="1">
      <c r="A53" s="70" t="s">
        <v>34</v>
      </c>
      <c r="B53" s="5"/>
      <c r="C53" s="4"/>
      <c r="H53" s="573" t="s">
        <v>35</v>
      </c>
      <c r="I53" s="573"/>
      <c r="J53" s="573"/>
      <c r="K53" s="573" t="s">
        <v>36</v>
      </c>
      <c r="L53" s="573"/>
    </row>
    <row r="54" spans="1:12" s="3" customFormat="1" ht="16.5" customHeight="1">
      <c r="A54" s="576"/>
      <c r="B54" s="576"/>
      <c r="C54" s="576"/>
      <c r="D54" s="576"/>
      <c r="E54" s="576"/>
      <c r="F54" s="576"/>
      <c r="G54" s="71"/>
      <c r="H54" s="577" t="s">
        <v>14</v>
      </c>
      <c r="I54" s="577"/>
      <c r="J54" s="74" t="s">
        <v>24</v>
      </c>
      <c r="K54" s="74" t="s">
        <v>14</v>
      </c>
      <c r="L54" s="74" t="s">
        <v>24</v>
      </c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 t="s">
        <v>37</v>
      </c>
      <c r="I55" s="575"/>
      <c r="J55" s="55">
        <v>1</v>
      </c>
      <c r="K55" s="76" t="s">
        <v>38</v>
      </c>
      <c r="L55" s="55">
        <v>2</v>
      </c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 t="s">
        <v>39</v>
      </c>
      <c r="I56" s="575"/>
      <c r="J56" s="55">
        <v>1</v>
      </c>
      <c r="K56" s="76" t="s">
        <v>40</v>
      </c>
      <c r="L56" s="55">
        <v>2</v>
      </c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 t="s">
        <v>41</v>
      </c>
      <c r="I57" s="575"/>
      <c r="J57" s="55">
        <v>8</v>
      </c>
      <c r="K57" s="76" t="s">
        <v>42</v>
      </c>
      <c r="L57" s="55">
        <v>1</v>
      </c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 t="s">
        <v>43</v>
      </c>
      <c r="I58" s="575"/>
      <c r="J58" s="55">
        <v>16</v>
      </c>
      <c r="K58" s="76" t="s">
        <v>44</v>
      </c>
      <c r="L58" s="55">
        <v>1</v>
      </c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55"/>
      <c r="K59" s="77"/>
      <c r="L59" s="55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574"/>
      <c r="B63" s="574"/>
      <c r="C63" s="574"/>
      <c r="D63" s="574"/>
      <c r="E63" s="574"/>
      <c r="F63" s="574"/>
      <c r="G63" s="72"/>
      <c r="H63" s="575"/>
      <c r="I63" s="575"/>
      <c r="J63" s="73"/>
      <c r="K63" s="77"/>
      <c r="L63" s="73"/>
    </row>
    <row r="64" spans="1:12" s="3" customFormat="1" ht="16.5" customHeight="1">
      <c r="A64" s="574"/>
      <c r="B64" s="574"/>
      <c r="C64" s="574"/>
      <c r="D64" s="574"/>
      <c r="E64" s="574"/>
      <c r="F64" s="574"/>
      <c r="G64" s="72"/>
      <c r="H64" s="575"/>
      <c r="I64" s="575"/>
      <c r="J64" s="73"/>
      <c r="K64" s="77"/>
      <c r="L64" s="73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6"/>
      <c r="J65" s="46"/>
      <c r="K65" s="47"/>
      <c r="L65" s="46"/>
    </row>
    <row r="66" spans="1:14" s="3" customFormat="1" ht="16.5" customHeight="1">
      <c r="A66" s="45" t="s">
        <v>45</v>
      </c>
      <c r="B66" s="46"/>
      <c r="C66" s="46"/>
      <c r="D66" s="46"/>
      <c r="E66" s="44"/>
      <c r="F66" s="46"/>
      <c r="G66" s="46"/>
      <c r="H66" s="46"/>
      <c r="I66" s="46"/>
      <c r="J66" s="46"/>
      <c r="K66" s="47"/>
      <c r="L66" s="46"/>
    </row>
    <row r="67" spans="1:14" s="3" customFormat="1" ht="16.5" customHeight="1">
      <c r="A67" s="45"/>
      <c r="B67" s="46"/>
      <c r="C67" s="46"/>
      <c r="D67" s="46"/>
      <c r="E67" s="44"/>
      <c r="F67" s="46"/>
      <c r="G67" s="46"/>
      <c r="H67" s="46"/>
      <c r="I67" s="48"/>
      <c r="J67" s="48"/>
      <c r="K67" s="47"/>
      <c r="L67" s="46"/>
    </row>
    <row r="68" spans="1:14" s="3" customFormat="1" ht="31.5" customHeight="1">
      <c r="A68" s="46" t="s">
        <v>46</v>
      </c>
      <c r="B68" s="578" t="s">
        <v>47</v>
      </c>
      <c r="C68" s="579"/>
      <c r="D68" s="578" t="s">
        <v>48</v>
      </c>
      <c r="E68" s="579"/>
      <c r="F68" s="578" t="s">
        <v>49</v>
      </c>
      <c r="G68" s="579"/>
      <c r="H68" s="578" t="s">
        <v>50</v>
      </c>
      <c r="I68" s="579"/>
      <c r="J68" s="578" t="s">
        <v>51</v>
      </c>
      <c r="K68" s="579"/>
      <c r="L68" s="49"/>
    </row>
    <row r="69" spans="1:14" s="3" customFormat="1" ht="16.5" customHeight="1">
      <c r="A69" s="50"/>
      <c r="B69" s="583">
        <v>0.86960000000000004</v>
      </c>
      <c r="C69" s="584"/>
      <c r="D69" s="587"/>
      <c r="E69" s="588"/>
      <c r="F69" s="583">
        <v>0.72929999999999995</v>
      </c>
      <c r="G69" s="584"/>
      <c r="H69" s="583">
        <f>F69-B69</f>
        <v>-0.14030000000000009</v>
      </c>
      <c r="I69" s="584"/>
      <c r="J69" s="587" t="s">
        <v>52</v>
      </c>
      <c r="K69" s="588"/>
      <c r="L69" s="49"/>
    </row>
    <row r="70" spans="1:14" s="22" customFormat="1" ht="16.5" customHeight="1">
      <c r="A70" s="50"/>
      <c r="B70" s="585"/>
      <c r="C70" s="586"/>
      <c r="D70" s="589"/>
      <c r="E70" s="590"/>
      <c r="F70" s="585"/>
      <c r="G70" s="586"/>
      <c r="H70" s="585"/>
      <c r="I70" s="586"/>
      <c r="J70" s="589"/>
      <c r="K70" s="590"/>
      <c r="L70" s="49"/>
    </row>
    <row r="71" spans="1:14" s="22" customFormat="1" ht="16.5" customHeight="1">
      <c r="A71" s="35"/>
      <c r="B71" s="27"/>
      <c r="C71" s="27"/>
      <c r="D71" s="27"/>
      <c r="E71" s="35"/>
      <c r="F71" s="58"/>
      <c r="G71" s="58"/>
      <c r="H71" s="58"/>
      <c r="I71" s="58"/>
      <c r="J71" s="68"/>
      <c r="K71" s="68"/>
      <c r="L71" s="3"/>
    </row>
    <row r="72" spans="1:14" s="22" customFormat="1" ht="16.5" customHeight="1">
      <c r="A72" s="35" t="s">
        <v>53</v>
      </c>
      <c r="B72" s="27"/>
      <c r="C72" s="27"/>
      <c r="D72" s="27"/>
      <c r="E72" s="35" t="s">
        <v>54</v>
      </c>
      <c r="F72" s="58"/>
      <c r="G72" s="58"/>
      <c r="H72" s="58"/>
      <c r="I72" s="58"/>
      <c r="J72" s="68" t="s">
        <v>55</v>
      </c>
      <c r="K72" s="68"/>
      <c r="L72" s="3"/>
    </row>
    <row r="73" spans="1:14" s="22" customFormat="1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3"/>
      <c r="K73" s="3"/>
      <c r="L73" s="3"/>
    </row>
    <row r="74" spans="1:14" s="22" customFormat="1" ht="16.5" customHeight="1">
      <c r="A74" s="580" t="s">
        <v>63</v>
      </c>
      <c r="B74" s="580"/>
      <c r="C74" s="580"/>
      <c r="D74" s="27"/>
      <c r="E74" s="580" t="s">
        <v>57</v>
      </c>
      <c r="F74" s="580"/>
      <c r="G74" s="580"/>
      <c r="H74" s="580"/>
      <c r="I74" s="58"/>
      <c r="J74" s="580" t="s">
        <v>58</v>
      </c>
      <c r="K74" s="580"/>
      <c r="L74" s="580"/>
      <c r="N74" s="218">
        <f>'2-5-8-2024'!B69+1.27</f>
        <v>2.1135000000000002</v>
      </c>
    </row>
    <row r="75" spans="1:14" s="3" customFormat="1" ht="16.5" customHeight="1">
      <c r="A75" s="581" t="s">
        <v>59</v>
      </c>
      <c r="B75" s="581"/>
      <c r="C75" s="581"/>
      <c r="D75" s="27"/>
      <c r="E75" s="581" t="s">
        <v>60</v>
      </c>
      <c r="F75" s="581"/>
      <c r="G75" s="581"/>
      <c r="H75" s="581"/>
      <c r="I75" s="58"/>
      <c r="J75" s="582" t="s">
        <v>61</v>
      </c>
      <c r="K75" s="582"/>
      <c r="L75" s="582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</row>
    <row r="77" spans="1:14" s="3" customFormat="1" ht="16.5" customHeight="1">
      <c r="A77" s="37"/>
      <c r="B77" s="27"/>
      <c r="C77" s="27"/>
      <c r="D77" s="27"/>
      <c r="E77" s="27"/>
      <c r="F77" s="29"/>
      <c r="G77" s="29"/>
      <c r="H77" s="29"/>
      <c r="I77" s="29"/>
      <c r="J77" s="29"/>
    </row>
    <row r="78" spans="1:14" s="3" customFormat="1" ht="16.5" customHeight="1">
      <c r="A78" s="37"/>
      <c r="B78" s="27"/>
      <c r="C78" s="27"/>
      <c r="D78" s="27"/>
      <c r="E78" s="27"/>
      <c r="F78" s="29"/>
      <c r="G78" s="29"/>
      <c r="H78" s="29"/>
      <c r="I78" s="29"/>
      <c r="J78" s="29"/>
      <c r="N78" s="3">
        <f>84.35+1.27</f>
        <v>85.61999999999999</v>
      </c>
    </row>
    <row r="79" spans="1:14" s="3" customFormat="1" ht="16.5" customHeight="1">
      <c r="A79" s="37"/>
      <c r="B79" s="27"/>
      <c r="C79" s="27"/>
      <c r="D79" s="27"/>
      <c r="E79" s="27"/>
      <c r="F79" s="30"/>
      <c r="G79" s="30"/>
      <c r="H79" s="30"/>
      <c r="I79" s="30"/>
      <c r="J79" s="30"/>
    </row>
    <row r="80" spans="1:14" s="3" customFormat="1" ht="16.5" customHeight="1">
      <c r="A80" s="37"/>
      <c r="B80" s="27"/>
      <c r="C80" s="27"/>
      <c r="D80" s="27"/>
      <c r="E80" s="27"/>
      <c r="F80" s="30"/>
      <c r="G80" s="30"/>
      <c r="H80" s="30"/>
      <c r="I80" s="30"/>
      <c r="J80" s="30"/>
    </row>
    <row r="81" spans="1:10" s="3" customFormat="1" ht="15" customHeight="1">
      <c r="A81" s="27"/>
      <c r="B81" s="27"/>
      <c r="C81" s="27"/>
      <c r="D81" s="27"/>
      <c r="E81" s="27"/>
      <c r="F81" s="29"/>
      <c r="G81" s="29"/>
      <c r="H81" s="29"/>
      <c r="I81" s="29"/>
      <c r="J81" s="29"/>
    </row>
    <row r="82" spans="1:10" s="3" customFormat="1" ht="15" customHeight="1">
      <c r="A82" s="27"/>
      <c r="B82" s="27"/>
      <c r="C82" s="27"/>
      <c r="D82" s="27"/>
      <c r="E82" s="27"/>
      <c r="F82" s="28"/>
      <c r="G82" s="28"/>
      <c r="H82" s="28"/>
      <c r="I82" s="28"/>
      <c r="J82" s="28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5" customHeight="1">
      <c r="A84" s="27"/>
      <c r="B84" s="27"/>
      <c r="C84" s="27"/>
      <c r="D84" s="27"/>
      <c r="E84" s="27"/>
      <c r="F84" s="29"/>
      <c r="G84" s="29"/>
      <c r="H84" s="29"/>
      <c r="I84" s="29"/>
      <c r="J84" s="29"/>
    </row>
    <row r="85" spans="1:10" s="3" customFormat="1" ht="15" customHeight="1">
      <c r="A85" s="27"/>
      <c r="B85" s="27"/>
      <c r="C85" s="27"/>
      <c r="D85" s="27"/>
      <c r="E85" s="27"/>
      <c r="F85" s="30"/>
      <c r="G85" s="30"/>
      <c r="H85" s="30"/>
      <c r="I85" s="30"/>
      <c r="J85" s="30"/>
    </row>
    <row r="86" spans="1:10" s="3" customFormat="1" ht="17.399999999999999">
      <c r="A86" s="27"/>
      <c r="B86" s="27"/>
      <c r="C86" s="27"/>
      <c r="D86" s="27"/>
      <c r="E86" s="27"/>
      <c r="F86" s="30"/>
      <c r="G86" s="30"/>
      <c r="H86" s="30"/>
      <c r="I86" s="30"/>
      <c r="J86" s="30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29"/>
      <c r="G92" s="29"/>
      <c r="H92" s="29"/>
      <c r="I92" s="29"/>
      <c r="J92" s="29"/>
    </row>
    <row r="93" spans="1:10" s="3" customFormat="1" ht="21.9" customHeight="1">
      <c r="A93" s="27"/>
      <c r="B93" s="27"/>
      <c r="C93" s="27"/>
      <c r="D93" s="27"/>
      <c r="E93" s="27"/>
      <c r="F93" s="29"/>
      <c r="G93" s="29"/>
      <c r="H93" s="29"/>
      <c r="I93" s="29"/>
      <c r="J93" s="29"/>
    </row>
    <row r="94" spans="1:10" s="3" customFormat="1" ht="21.9" customHeight="1">
      <c r="A94" s="27"/>
      <c r="B94" s="27"/>
      <c r="C94" s="27"/>
      <c r="D94" s="27"/>
      <c r="E94" s="27"/>
      <c r="F94" s="30"/>
      <c r="G94" s="30"/>
      <c r="H94" s="30"/>
      <c r="I94" s="30"/>
      <c r="J94" s="30"/>
    </row>
    <row r="95" spans="1:10" s="3" customFormat="1" ht="21.9" customHeight="1">
      <c r="A95" s="27"/>
      <c r="B95" s="27"/>
      <c r="C95" s="27"/>
      <c r="D95" s="27"/>
      <c r="E95" s="27"/>
      <c r="F95" s="30"/>
      <c r="G95" s="30"/>
      <c r="H95" s="30"/>
      <c r="I95" s="30"/>
      <c r="J95" s="30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29"/>
      <c r="G121" s="29"/>
      <c r="H121" s="29"/>
      <c r="I121" s="29"/>
      <c r="J121" s="29"/>
    </row>
    <row r="122" spans="1:10" s="3" customFormat="1" ht="21.9" customHeight="1">
      <c r="A122" s="27"/>
      <c r="B122" s="27"/>
      <c r="C122" s="27"/>
      <c r="D122" s="27"/>
      <c r="E122" s="27"/>
      <c r="F122" s="29"/>
      <c r="G122" s="29"/>
      <c r="H122" s="29"/>
      <c r="I122" s="29"/>
      <c r="J122" s="29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4"/>
      <c r="G124" s="4"/>
      <c r="H124" s="4"/>
      <c r="I124" s="4"/>
      <c r="J124" s="4"/>
    </row>
    <row r="125" spans="1:10" s="3" customFormat="1" ht="21.9" customHeight="1">
      <c r="A125" s="27"/>
      <c r="B125" s="27"/>
      <c r="C125" s="27"/>
      <c r="D125" s="27"/>
      <c r="E125" s="27"/>
      <c r="F125" s="4"/>
      <c r="G125" s="4"/>
      <c r="H125" s="4"/>
      <c r="I125" s="4"/>
      <c r="J125" s="4"/>
    </row>
    <row r="126" spans="1:10" s="3" customFormat="1" ht="21.9" customHeight="1">
      <c r="A126" s="27"/>
      <c r="B126" s="27"/>
      <c r="C126" s="27"/>
      <c r="D126" s="27"/>
      <c r="E126" s="27"/>
      <c r="F126" s="29"/>
      <c r="G126" s="29"/>
      <c r="H126" s="29"/>
      <c r="I126" s="29"/>
      <c r="J126" s="29"/>
    </row>
    <row r="127" spans="1:10" s="3" customFormat="1" ht="21.9" customHeight="1">
      <c r="A127" s="27"/>
      <c r="B127" s="27"/>
      <c r="C127" s="27"/>
      <c r="D127" s="27"/>
      <c r="E127" s="27"/>
      <c r="F127" s="29"/>
      <c r="G127" s="29"/>
      <c r="H127" s="29"/>
      <c r="I127" s="29"/>
      <c r="J127" s="29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4"/>
      <c r="G129" s="4"/>
      <c r="H129" s="4"/>
      <c r="I129" s="4"/>
      <c r="J129" s="4"/>
    </row>
    <row r="130" spans="1:10" s="3" customFormat="1" ht="21.9" customHeight="1">
      <c r="A130" s="27"/>
      <c r="B130" s="27"/>
      <c r="C130" s="27"/>
      <c r="D130" s="27"/>
      <c r="E130" s="27"/>
      <c r="F130" s="4"/>
      <c r="G130" s="4"/>
      <c r="H130" s="4"/>
      <c r="I130" s="4"/>
      <c r="J130" s="4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29"/>
      <c r="G132" s="29"/>
      <c r="H132" s="29"/>
      <c r="I132" s="29"/>
      <c r="J132" s="29"/>
    </row>
    <row r="133" spans="1:10" s="3" customFormat="1" ht="21.9" customHeight="1">
      <c r="A133" s="27"/>
      <c r="B133" s="27"/>
      <c r="C133" s="27"/>
      <c r="D133" s="27"/>
      <c r="E133" s="27"/>
      <c r="F133" s="29"/>
      <c r="G133" s="29"/>
      <c r="H133" s="29"/>
      <c r="I133" s="29"/>
      <c r="J133" s="29"/>
    </row>
    <row r="134" spans="1:10" s="3" customFormat="1" ht="21.9" customHeight="1">
      <c r="A134" s="27"/>
      <c r="B134" s="27"/>
      <c r="C134" s="27"/>
      <c r="D134" s="27"/>
      <c r="E134" s="27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31"/>
      <c r="G141" s="31"/>
      <c r="H141" s="31"/>
      <c r="I141" s="31"/>
      <c r="J141" s="31"/>
    </row>
    <row r="142" spans="1:10" s="3" customFormat="1" ht="21.9" customHeight="1">
      <c r="A142" s="32"/>
      <c r="B142" s="32"/>
      <c r="C142" s="32"/>
      <c r="D142" s="32"/>
      <c r="E142" s="32"/>
      <c r="F142" s="31"/>
      <c r="G142" s="31"/>
      <c r="H142" s="31"/>
      <c r="I142" s="31"/>
      <c r="J142" s="31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28"/>
      <c r="G145" s="28"/>
      <c r="H145" s="28"/>
      <c r="I145" s="28"/>
      <c r="J145" s="28"/>
    </row>
    <row r="146" spans="1:12" s="3" customFormat="1" ht="21.9" customHeight="1">
      <c r="A146" s="32"/>
      <c r="B146" s="32"/>
      <c r="C146" s="32"/>
      <c r="D146" s="32"/>
      <c r="E146" s="32"/>
      <c r="F146" s="28"/>
      <c r="G146" s="28"/>
      <c r="H146" s="28"/>
      <c r="I146" s="28"/>
      <c r="J146" s="28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31"/>
      <c r="G148" s="31"/>
      <c r="H148" s="31"/>
      <c r="I148" s="31"/>
      <c r="J148" s="31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29"/>
      <c r="G150" s="29"/>
      <c r="H150" s="29"/>
      <c r="I150" s="29"/>
      <c r="J150" s="29"/>
    </row>
    <row r="151" spans="1:12" s="3" customFormat="1" ht="21.9" customHeight="1">
      <c r="A151" s="32"/>
      <c r="B151" s="32"/>
      <c r="C151" s="32"/>
      <c r="D151" s="32"/>
      <c r="E151" s="32"/>
      <c r="F151" s="31"/>
      <c r="G151" s="31"/>
      <c r="H151" s="31"/>
      <c r="I151" s="31"/>
      <c r="J151" s="31"/>
    </row>
    <row r="152" spans="1:12" s="3" customFormat="1" ht="21.9" customHeight="1">
      <c r="A152" s="32"/>
      <c r="B152" s="32"/>
      <c r="C152" s="32"/>
      <c r="D152" s="32"/>
      <c r="E152" s="32"/>
      <c r="F152" s="31"/>
      <c r="G152" s="31"/>
      <c r="H152" s="31"/>
      <c r="I152" s="31"/>
      <c r="J152" s="31"/>
    </row>
    <row r="153" spans="1:12" s="3" customFormat="1" ht="21.9" customHeight="1">
      <c r="A153" s="32"/>
      <c r="B153" s="32"/>
      <c r="C153" s="32"/>
      <c r="D153" s="32"/>
      <c r="E153" s="32"/>
      <c r="F153" s="33"/>
      <c r="G153" s="33"/>
      <c r="H153" s="33"/>
      <c r="I153" s="33"/>
      <c r="J153" s="33"/>
    </row>
    <row r="154" spans="1:12" s="3" customFormat="1" ht="21.9" customHeight="1">
      <c r="A154" s="32"/>
      <c r="B154" s="32"/>
      <c r="C154" s="32"/>
      <c r="D154" s="32"/>
      <c r="E154" s="32"/>
      <c r="F154" s="33"/>
      <c r="G154" s="33"/>
      <c r="H154" s="33"/>
      <c r="I154" s="33"/>
      <c r="J154" s="33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4"/>
      <c r="G158" s="14"/>
      <c r="H158" s="14"/>
      <c r="I158" s="14"/>
      <c r="J158" s="14"/>
      <c r="K158" s="9"/>
      <c r="L158" s="9"/>
    </row>
    <row r="159" spans="1:12" s="3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  <c r="K159" s="9"/>
      <c r="L159" s="9"/>
    </row>
    <row r="160" spans="1:12" s="3" customFormat="1" ht="21.9" customHeight="1">
      <c r="A160" s="13"/>
      <c r="B160" s="13"/>
      <c r="C160" s="13"/>
      <c r="D160" s="13"/>
      <c r="E160" s="13"/>
      <c r="F160" s="10"/>
      <c r="G160" s="10"/>
      <c r="H160" s="10"/>
      <c r="I160" s="10"/>
      <c r="J160" s="10"/>
      <c r="K160" s="9"/>
      <c r="L160" s="9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14"/>
      <c r="G162" s="14"/>
      <c r="H162" s="14"/>
      <c r="I162" s="14"/>
      <c r="J162" s="14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8"/>
      <c r="G164" s="8"/>
      <c r="H164" s="8"/>
      <c r="I164" s="8"/>
      <c r="J164" s="8"/>
    </row>
    <row r="165" spans="1:10" s="9" customFormat="1" ht="21.9" customHeight="1">
      <c r="A165" s="13"/>
      <c r="B165" s="13"/>
      <c r="C165" s="13"/>
      <c r="D165" s="13"/>
      <c r="E165" s="13"/>
      <c r="F165" s="14"/>
      <c r="G165" s="14"/>
      <c r="H165" s="14"/>
      <c r="I165" s="14"/>
      <c r="J165" s="14"/>
    </row>
    <row r="166" spans="1:10" s="9" customFormat="1" ht="21.9" customHeight="1">
      <c r="A166" s="13"/>
      <c r="B166" s="13"/>
      <c r="C166" s="13"/>
      <c r="D166" s="13"/>
      <c r="E166" s="13"/>
      <c r="F166" s="10"/>
      <c r="G166" s="10"/>
      <c r="H166" s="10"/>
      <c r="I166" s="10"/>
      <c r="J166" s="10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2"/>
      <c r="G171" s="12"/>
      <c r="H171" s="12"/>
      <c r="I171" s="12"/>
      <c r="J171" s="12"/>
    </row>
    <row r="172" spans="1:10" s="9" customFormat="1" ht="21.9" customHeight="1">
      <c r="A172" s="13"/>
      <c r="B172" s="13"/>
      <c r="C172" s="13"/>
      <c r="D172" s="13"/>
      <c r="E172" s="13"/>
      <c r="F172" s="12"/>
      <c r="G172" s="12"/>
      <c r="H172" s="12"/>
      <c r="I172" s="12"/>
      <c r="J172" s="12"/>
    </row>
    <row r="173" spans="1:10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8"/>
      <c r="G178" s="8"/>
      <c r="H178" s="8"/>
      <c r="I178" s="8"/>
      <c r="J178" s="8"/>
    </row>
    <row r="179" spans="1:10" s="9" customFormat="1" ht="21.9" customHeight="1">
      <c r="A179" s="13"/>
      <c r="B179" s="13"/>
      <c r="C179" s="13"/>
      <c r="D179" s="13"/>
      <c r="E179" s="13"/>
      <c r="F179" s="8"/>
      <c r="G179" s="8"/>
      <c r="H179" s="8"/>
      <c r="I179" s="8"/>
      <c r="J179" s="8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0"/>
      <c r="G182" s="10"/>
      <c r="H182" s="10"/>
      <c r="I182" s="10"/>
      <c r="J182" s="10"/>
    </row>
    <row r="183" spans="1:10" s="9" customFormat="1" ht="21.9" customHeight="1">
      <c r="A183" s="13"/>
      <c r="B183" s="13"/>
      <c r="C183" s="13"/>
      <c r="D183" s="13"/>
      <c r="E183" s="13"/>
      <c r="F183" s="10"/>
      <c r="G183" s="10"/>
      <c r="H183" s="10"/>
      <c r="I183" s="10"/>
      <c r="J183" s="10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</row>
    <row r="186" spans="1:10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</row>
    <row r="187" spans="1:10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</row>
    <row r="188" spans="1:10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</row>
    <row r="189" spans="1:10" s="9" customFormat="1" ht="21.9" customHeight="1">
      <c r="A189" s="13"/>
      <c r="B189" s="13"/>
      <c r="C189" s="13"/>
      <c r="D189" s="13"/>
      <c r="E189" s="13"/>
      <c r="F189" s="12"/>
      <c r="G189" s="12"/>
      <c r="H189" s="12"/>
      <c r="I189" s="12"/>
      <c r="J189" s="12"/>
    </row>
    <row r="190" spans="1:10" s="9" customFormat="1" ht="21.9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8"/>
      <c r="G195" s="8"/>
      <c r="H195" s="8"/>
      <c r="I195" s="8"/>
      <c r="J195" s="8"/>
    </row>
    <row r="196" spans="1:10" s="9" customFormat="1" ht="21.9" customHeight="1">
      <c r="A196" s="13"/>
      <c r="B196" s="13"/>
      <c r="C196" s="13"/>
      <c r="D196" s="13"/>
      <c r="E196" s="13"/>
      <c r="F196" s="8"/>
      <c r="G196" s="8"/>
      <c r="H196" s="8"/>
      <c r="I196" s="8"/>
      <c r="J196" s="8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3"/>
      <c r="B199" s="13"/>
      <c r="C199" s="13"/>
      <c r="D199" s="13"/>
      <c r="E199" s="13"/>
      <c r="F199" s="11"/>
      <c r="G199" s="11"/>
      <c r="H199" s="11"/>
      <c r="I199" s="11"/>
      <c r="J199" s="11"/>
    </row>
    <row r="200" spans="1:10" s="9" customFormat="1" ht="21.9" customHeight="1">
      <c r="A200" s="13"/>
      <c r="B200" s="13"/>
      <c r="C200" s="13"/>
      <c r="D200" s="13"/>
      <c r="E200" s="13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1"/>
      <c r="G202" s="11"/>
      <c r="H202" s="11"/>
      <c r="I202" s="11"/>
      <c r="J202" s="11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12"/>
      <c r="G207" s="12"/>
      <c r="H207" s="12"/>
      <c r="I207" s="12"/>
      <c r="J207" s="12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8"/>
      <c r="G209" s="8"/>
      <c r="H209" s="8"/>
      <c r="I209" s="8"/>
      <c r="J209" s="8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12"/>
      <c r="G211" s="12"/>
      <c r="H211" s="12"/>
      <c r="I211" s="12"/>
      <c r="J211" s="12"/>
    </row>
    <row r="212" spans="1:10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8"/>
      <c r="G217" s="8"/>
      <c r="H217" s="8"/>
      <c r="I217" s="8"/>
      <c r="J217" s="8"/>
    </row>
    <row r="218" spans="1:10" s="9" customFormat="1" ht="21.9" customHeight="1">
      <c r="A218" s="15"/>
      <c r="B218" s="15"/>
      <c r="C218" s="15"/>
      <c r="D218" s="15"/>
      <c r="E218" s="15"/>
      <c r="F218" s="8"/>
      <c r="G218" s="8"/>
      <c r="H218" s="8"/>
      <c r="I218" s="8"/>
      <c r="J218" s="8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11"/>
      <c r="G223" s="11"/>
      <c r="H223" s="11"/>
      <c r="I223" s="11"/>
      <c r="J223" s="11"/>
    </row>
    <row r="224" spans="1:10" s="9" customFormat="1" ht="21.9" customHeight="1">
      <c r="A224" s="15"/>
      <c r="B224" s="15"/>
      <c r="C224" s="15"/>
      <c r="D224" s="15"/>
      <c r="E224" s="15"/>
      <c r="F224" s="11"/>
      <c r="G224" s="11"/>
      <c r="H224" s="11"/>
      <c r="I224" s="11"/>
      <c r="J224" s="11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</row>
    <row r="231" spans="1:10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</row>
    <row r="232" spans="1:10" s="9" customFormat="1" ht="21.9" customHeight="1">
      <c r="A232" s="6"/>
      <c r="B232" s="6"/>
      <c r="C232" s="6"/>
      <c r="D232" s="6"/>
      <c r="E232" s="6"/>
      <c r="F232" s="12"/>
      <c r="G232" s="12"/>
      <c r="H232" s="12"/>
      <c r="I232" s="12"/>
      <c r="J232" s="12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11"/>
      <c r="G234" s="11"/>
      <c r="H234" s="11"/>
      <c r="I234" s="11"/>
      <c r="J234" s="11"/>
    </row>
    <row r="235" spans="1:10" s="9" customFormat="1" ht="21.9" customHeight="1">
      <c r="A235" s="6"/>
      <c r="B235" s="6"/>
      <c r="C235" s="6"/>
      <c r="D235" s="6"/>
      <c r="E235" s="6"/>
      <c r="F235" s="12"/>
      <c r="G235" s="12"/>
      <c r="H235" s="12"/>
      <c r="I235" s="12"/>
      <c r="J235" s="12"/>
    </row>
    <row r="236" spans="1:10" s="9" customFormat="1" ht="21.9" customHeight="1">
      <c r="A236" s="6"/>
      <c r="B236" s="6"/>
      <c r="C236" s="6"/>
      <c r="D236" s="6"/>
      <c r="E236" s="6"/>
      <c r="F236" s="8"/>
      <c r="G236" s="8"/>
      <c r="H236" s="8"/>
      <c r="I236" s="8"/>
      <c r="J236" s="8"/>
    </row>
    <row r="237" spans="1:10" s="9" customFormat="1" ht="21.9" customHeight="1">
      <c r="A237" s="6"/>
      <c r="B237" s="6"/>
      <c r="C237" s="6"/>
      <c r="D237" s="6"/>
      <c r="E237" s="6"/>
      <c r="F237" s="8"/>
      <c r="G237" s="8"/>
      <c r="H237" s="8"/>
      <c r="I237" s="8"/>
      <c r="J237" s="8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2"/>
      <c r="G239" s="12"/>
      <c r="H239" s="12"/>
      <c r="I239" s="12"/>
      <c r="J239" s="12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</row>
    <row r="247" spans="1:10" s="9" customFormat="1" ht="21.9" customHeight="1">
      <c r="A247" s="6"/>
      <c r="B247" s="6"/>
      <c r="C247" s="6"/>
      <c r="D247" s="6"/>
      <c r="E247" s="6"/>
      <c r="F247" s="11"/>
      <c r="G247" s="11"/>
      <c r="H247" s="11"/>
      <c r="I247" s="11"/>
      <c r="J247" s="11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21.9" customHeight="1">
      <c r="A252" s="6"/>
      <c r="B252" s="6"/>
      <c r="C252" s="6"/>
      <c r="D252" s="6"/>
      <c r="E252" s="6"/>
      <c r="F252" s="8"/>
      <c r="G252" s="8"/>
      <c r="H252" s="8"/>
      <c r="I252" s="8"/>
      <c r="J252" s="8"/>
    </row>
    <row r="253" spans="1:10" s="9" customFormat="1" ht="21.9" customHeight="1">
      <c r="A253" s="6"/>
      <c r="B253" s="6"/>
      <c r="C253" s="6"/>
      <c r="D253" s="6"/>
      <c r="E253" s="6"/>
      <c r="F253" s="8"/>
      <c r="G253" s="8"/>
      <c r="H253" s="8"/>
      <c r="I253" s="8"/>
      <c r="J253" s="8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0"/>
      <c r="G255" s="10"/>
      <c r="H255" s="10"/>
      <c r="I255" s="10"/>
      <c r="J255" s="10"/>
    </row>
    <row r="256" spans="1:10" s="9" customFormat="1" ht="13.2">
      <c r="A256" s="6"/>
      <c r="B256" s="6"/>
      <c r="C256" s="6"/>
      <c r="D256" s="6"/>
      <c r="E256" s="6"/>
      <c r="F256" s="12"/>
      <c r="G256" s="12"/>
      <c r="H256" s="12"/>
      <c r="I256" s="12"/>
      <c r="J256" s="12"/>
    </row>
    <row r="257" spans="1:10" s="9" customFormat="1" ht="13.2">
      <c r="A257" s="6"/>
      <c r="B257" s="6"/>
      <c r="C257" s="6"/>
      <c r="D257" s="6"/>
      <c r="E257" s="6"/>
      <c r="F257" s="12"/>
      <c r="G257" s="12"/>
      <c r="H257" s="12"/>
      <c r="I257" s="12"/>
      <c r="J257" s="12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8"/>
      <c r="G260" s="8"/>
      <c r="H260" s="8"/>
      <c r="I260" s="8"/>
      <c r="J260" s="8"/>
    </row>
    <row r="261" spans="1:10" s="9" customFormat="1" ht="13.2">
      <c r="A261" s="6"/>
      <c r="B261" s="6"/>
      <c r="C261" s="6"/>
      <c r="D261" s="6"/>
      <c r="E261" s="6"/>
      <c r="F261" s="8"/>
      <c r="G261" s="8"/>
      <c r="H261" s="8"/>
      <c r="I261" s="8"/>
      <c r="J261" s="8"/>
    </row>
    <row r="262" spans="1:10" s="9" customFormat="1" ht="13.2">
      <c r="A262" s="6"/>
      <c r="B262" s="6"/>
      <c r="C262" s="6"/>
      <c r="D262" s="6"/>
      <c r="E262" s="6"/>
      <c r="F262" s="11"/>
      <c r="G262" s="11"/>
      <c r="H262" s="11"/>
      <c r="I262" s="11"/>
      <c r="J262" s="11"/>
    </row>
    <row r="263" spans="1:10" s="9" customFormat="1" ht="13.2">
      <c r="A263" s="6"/>
      <c r="B263" s="6"/>
      <c r="C263" s="6"/>
      <c r="D263" s="6"/>
      <c r="E263" s="6"/>
      <c r="F263" s="12"/>
      <c r="G263" s="12"/>
      <c r="H263" s="12"/>
      <c r="I263" s="12"/>
      <c r="J263" s="12"/>
    </row>
    <row r="264" spans="1:10" s="9" customFormat="1" ht="13.2">
      <c r="A264" s="6"/>
      <c r="B264" s="6"/>
      <c r="C264" s="6"/>
      <c r="D264" s="6"/>
      <c r="E264" s="6"/>
      <c r="F264" s="10"/>
      <c r="G264" s="10"/>
      <c r="H264" s="10"/>
      <c r="I264" s="10"/>
      <c r="J264" s="10"/>
    </row>
    <row r="265" spans="1:10" s="9" customFormat="1" ht="13.2">
      <c r="A265" s="6"/>
      <c r="B265" s="6"/>
      <c r="C265" s="6"/>
      <c r="D265" s="6"/>
      <c r="E265" s="6"/>
      <c r="F265" s="11"/>
      <c r="G265" s="11"/>
      <c r="H265" s="11"/>
      <c r="I265" s="11"/>
      <c r="J265" s="11"/>
    </row>
    <row r="266" spans="1:10" s="9" customFormat="1" ht="13.2">
      <c r="A266" s="6"/>
      <c r="B266" s="6"/>
      <c r="C266" s="6"/>
      <c r="D266" s="6"/>
      <c r="E266" s="6"/>
      <c r="F266" s="8"/>
      <c r="G266" s="8"/>
      <c r="H266" s="8"/>
      <c r="I266" s="8"/>
      <c r="J266" s="8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7"/>
      <c r="G269" s="7"/>
      <c r="H269" s="7"/>
      <c r="I269" s="7"/>
      <c r="J269" s="7"/>
    </row>
    <row r="270" spans="1:10" s="9" customFormat="1" ht="13.2">
      <c r="A270" s="6"/>
      <c r="B270" s="6"/>
      <c r="C270" s="6"/>
      <c r="D270" s="6"/>
      <c r="E270" s="6"/>
      <c r="F270" s="7"/>
      <c r="G270" s="7"/>
      <c r="H270" s="7"/>
      <c r="I270" s="7"/>
      <c r="J270" s="7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</row>
    <row r="278" spans="1:10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11"/>
      <c r="G280" s="11"/>
      <c r="H280" s="11"/>
      <c r="I280" s="11"/>
      <c r="J280" s="11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12"/>
      <c r="G283" s="12"/>
      <c r="H283" s="12"/>
      <c r="I283" s="12"/>
      <c r="J283" s="12"/>
    </row>
    <row r="284" spans="1:10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12"/>
      <c r="G286" s="12"/>
      <c r="H286" s="12"/>
      <c r="I286" s="12"/>
      <c r="J286" s="12"/>
    </row>
    <row r="287" spans="1:10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11"/>
      <c r="G289" s="11"/>
      <c r="H289" s="11"/>
      <c r="I289" s="11"/>
      <c r="J289" s="11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11"/>
      <c r="G293" s="11"/>
      <c r="H293" s="11"/>
      <c r="I293" s="11"/>
      <c r="J293" s="11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</row>
    <row r="299" spans="1:10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</row>
    <row r="300" spans="1:10" s="9" customFormat="1" ht="13.2">
      <c r="A300" s="6"/>
      <c r="B300" s="6"/>
      <c r="C300" s="6"/>
      <c r="D300" s="6"/>
      <c r="E300" s="6"/>
      <c r="F300" s="10"/>
      <c r="G300" s="10"/>
      <c r="H300" s="10"/>
      <c r="I300" s="10"/>
      <c r="J300" s="10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11"/>
      <c r="G303" s="11"/>
      <c r="H303" s="11"/>
      <c r="I303" s="11"/>
      <c r="J303" s="11"/>
    </row>
    <row r="304" spans="1:10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</row>
    <row r="305" spans="1:10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</row>
    <row r="306" spans="1:10" s="9" customFormat="1" ht="13.2">
      <c r="A306" s="6"/>
      <c r="B306" s="6"/>
      <c r="C306" s="6"/>
      <c r="D306" s="6"/>
      <c r="E306" s="6"/>
      <c r="F306" s="11"/>
      <c r="G306" s="11"/>
      <c r="H306" s="11"/>
      <c r="I306" s="11"/>
      <c r="J306" s="11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 s="9" customFormat="1" ht="13.2">
      <c r="A309" s="6"/>
      <c r="B309" s="6"/>
      <c r="C309" s="6"/>
      <c r="D309" s="6"/>
      <c r="E309" s="6"/>
      <c r="F309" s="11"/>
      <c r="G309" s="11"/>
      <c r="H309" s="11"/>
      <c r="I309" s="11"/>
      <c r="J309" s="11"/>
    </row>
    <row r="310" spans="1:10" s="9" customFormat="1" ht="13.2">
      <c r="A310" s="6"/>
      <c r="B310" s="6"/>
      <c r="C310" s="6"/>
      <c r="D310" s="6"/>
      <c r="E310" s="6"/>
      <c r="F310" s="11"/>
      <c r="G310" s="11"/>
      <c r="H310" s="11"/>
      <c r="I310" s="11"/>
      <c r="J310" s="11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</row>
    <row r="315" spans="1:10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</row>
    <row r="316" spans="1:10" s="9" customFormat="1" ht="13.2">
      <c r="A316" s="6"/>
      <c r="B316" s="6"/>
      <c r="C316" s="6"/>
      <c r="D316" s="6"/>
      <c r="E316" s="6"/>
      <c r="F316" s="7"/>
      <c r="G316" s="7"/>
      <c r="H316" s="7"/>
      <c r="I316" s="7"/>
      <c r="J316" s="7"/>
    </row>
    <row r="317" spans="1:10" s="9" customFormat="1" ht="13.2">
      <c r="A317" s="6"/>
      <c r="B317" s="6"/>
      <c r="C317" s="6"/>
      <c r="D317" s="6"/>
      <c r="E317" s="6"/>
      <c r="F317" s="7"/>
      <c r="G317" s="7"/>
      <c r="H317" s="7"/>
      <c r="I317" s="7"/>
      <c r="J317" s="7"/>
    </row>
    <row r="318" spans="1:10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</row>
    <row r="319" spans="1:10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8"/>
      <c r="G321" s="8"/>
      <c r="H321" s="8"/>
      <c r="I321" s="8"/>
      <c r="J321" s="8"/>
    </row>
    <row r="322" spans="1:10" s="9" customFormat="1" ht="13.2">
      <c r="A322" s="6"/>
      <c r="B322" s="6"/>
      <c r="C322" s="6"/>
      <c r="D322" s="6"/>
      <c r="E322" s="6"/>
      <c r="F322" s="7"/>
      <c r="G322" s="7"/>
      <c r="H322" s="7"/>
      <c r="I322" s="7"/>
      <c r="J322" s="7"/>
    </row>
    <row r="323" spans="1:10" s="9" customFormat="1" ht="13.2">
      <c r="A323" s="6"/>
      <c r="B323" s="6"/>
      <c r="C323" s="6"/>
      <c r="D323" s="6"/>
      <c r="E323" s="6"/>
      <c r="F323" s="7"/>
      <c r="G323" s="7"/>
      <c r="H323" s="7"/>
      <c r="I323" s="7"/>
      <c r="J323" s="7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</row>
    <row r="330" spans="1:10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</row>
    <row r="331" spans="1:10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</row>
    <row r="332" spans="1:10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</row>
    <row r="359" spans="1:10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10"/>
      <c r="G361" s="10"/>
      <c r="H361" s="10"/>
      <c r="I361" s="10"/>
      <c r="J361" s="10"/>
    </row>
    <row r="362" spans="1:10" s="9" customFormat="1" ht="13.2">
      <c r="A362" s="6"/>
      <c r="B362" s="6"/>
      <c r="C362" s="6"/>
      <c r="D362" s="6"/>
      <c r="E362" s="6"/>
      <c r="F362" s="10"/>
      <c r="G362" s="10"/>
      <c r="H362" s="10"/>
      <c r="I362" s="10"/>
      <c r="J362" s="10"/>
    </row>
    <row r="363" spans="1:10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</row>
    <row r="364" spans="1:10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10"/>
      <c r="G366" s="10"/>
      <c r="H366" s="10"/>
      <c r="I366" s="10"/>
      <c r="J366" s="10"/>
    </row>
    <row r="367" spans="1:10" s="9" customFormat="1" ht="13.2">
      <c r="A367" s="6"/>
      <c r="B367" s="6"/>
      <c r="C367" s="6"/>
      <c r="D367" s="6"/>
      <c r="E367" s="6"/>
      <c r="F367" s="10"/>
      <c r="G367" s="10"/>
      <c r="H367" s="10"/>
      <c r="I367" s="10"/>
      <c r="J367" s="10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</row>
    <row r="370" spans="1:10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</row>
    <row r="371" spans="1:10" s="9" customFormat="1" ht="13.2">
      <c r="A371" s="6"/>
      <c r="B371" s="6"/>
      <c r="C371" s="6"/>
      <c r="D371" s="6"/>
      <c r="E371" s="6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2"/>
      <c r="G378" s="12"/>
      <c r="H378" s="12"/>
      <c r="I378" s="12"/>
      <c r="J378" s="12"/>
    </row>
    <row r="379" spans="1:10" s="9" customFormat="1" ht="13.2">
      <c r="A379" s="13"/>
      <c r="B379" s="13"/>
      <c r="C379" s="13"/>
      <c r="D379" s="13"/>
      <c r="E379" s="13"/>
      <c r="F379" s="12"/>
      <c r="G379" s="12"/>
      <c r="H379" s="12"/>
      <c r="I379" s="12"/>
      <c r="J379" s="12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1"/>
      <c r="G382" s="11"/>
      <c r="H382" s="11"/>
      <c r="I382" s="11"/>
      <c r="J382" s="11"/>
    </row>
    <row r="383" spans="1:10" s="9" customFormat="1" ht="13.2">
      <c r="A383" s="13"/>
      <c r="B383" s="13"/>
      <c r="C383" s="13"/>
      <c r="D383" s="13"/>
      <c r="E383" s="13"/>
      <c r="F383" s="11"/>
      <c r="G383" s="11"/>
      <c r="H383" s="11"/>
      <c r="I383" s="11"/>
      <c r="J383" s="11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8"/>
      <c r="G387" s="8"/>
      <c r="H387" s="8"/>
      <c r="I387" s="8"/>
      <c r="J387" s="8"/>
    </row>
    <row r="388" spans="1:10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</row>
    <row r="389" spans="1:10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4"/>
      <c r="G395" s="14"/>
      <c r="H395" s="14"/>
      <c r="I395" s="14"/>
      <c r="J395" s="14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0"/>
      <c r="G397" s="10"/>
      <c r="H397" s="10"/>
      <c r="I397" s="10"/>
      <c r="J397" s="10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14"/>
      <c r="G399" s="14"/>
      <c r="H399" s="14"/>
      <c r="I399" s="14"/>
      <c r="J399" s="14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8"/>
      <c r="G401" s="8"/>
      <c r="H401" s="8"/>
      <c r="I401" s="8"/>
      <c r="J401" s="8"/>
    </row>
    <row r="402" spans="1:10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</row>
    <row r="403" spans="1:10" s="9" customFormat="1" ht="13.2">
      <c r="A403" s="13"/>
      <c r="B403" s="13"/>
      <c r="C403" s="13"/>
      <c r="D403" s="13"/>
      <c r="E403" s="13"/>
      <c r="F403" s="10"/>
      <c r="G403" s="10"/>
      <c r="H403" s="10"/>
      <c r="I403" s="10"/>
      <c r="J403" s="10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2"/>
      <c r="G408" s="12"/>
      <c r="H408" s="12"/>
      <c r="I408" s="12"/>
      <c r="J408" s="12"/>
    </row>
    <row r="409" spans="1:10" s="9" customFormat="1" ht="13.2">
      <c r="A409" s="13"/>
      <c r="B409" s="13"/>
      <c r="C409" s="13"/>
      <c r="D409" s="13"/>
      <c r="E409" s="13"/>
      <c r="F409" s="12"/>
      <c r="G409" s="12"/>
      <c r="H409" s="12"/>
      <c r="I409" s="12"/>
      <c r="J409" s="12"/>
    </row>
    <row r="410" spans="1:10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</row>
    <row r="416" spans="1:10" s="9" customFormat="1" ht="13.2">
      <c r="A416" s="13"/>
      <c r="B416" s="13"/>
      <c r="C416" s="13"/>
      <c r="D416" s="13"/>
      <c r="E416" s="13"/>
      <c r="F416" s="8"/>
      <c r="G416" s="8"/>
      <c r="H416" s="8"/>
      <c r="I416" s="8"/>
      <c r="J416" s="8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0"/>
      <c r="G419" s="10"/>
      <c r="H419" s="10"/>
      <c r="I419" s="10"/>
      <c r="J419" s="10"/>
    </row>
    <row r="420" spans="1:10" s="9" customFormat="1" ht="13.2">
      <c r="A420" s="13"/>
      <c r="B420" s="13"/>
      <c r="C420" s="13"/>
      <c r="D420" s="13"/>
      <c r="E420" s="13"/>
      <c r="F420" s="10"/>
      <c r="G420" s="10"/>
      <c r="H420" s="10"/>
      <c r="I420" s="10"/>
      <c r="J420" s="10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</row>
    <row r="423" spans="1:10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</row>
    <row r="424" spans="1:10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</row>
    <row r="425" spans="1:10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</row>
    <row r="426" spans="1:10" s="9" customFormat="1" ht="13.2">
      <c r="A426" s="13"/>
      <c r="B426" s="13"/>
      <c r="C426" s="13"/>
      <c r="D426" s="13"/>
      <c r="E426" s="13"/>
      <c r="F426" s="12"/>
      <c r="G426" s="12"/>
      <c r="H426" s="12"/>
      <c r="I426" s="12"/>
      <c r="J426" s="12"/>
    </row>
    <row r="427" spans="1:10" s="9" customFormat="1" ht="13.2">
      <c r="A427" s="13"/>
      <c r="B427" s="13"/>
      <c r="C427" s="13"/>
      <c r="D427" s="13"/>
      <c r="E427" s="13"/>
      <c r="F427" s="12"/>
      <c r="G427" s="12"/>
      <c r="H427" s="12"/>
      <c r="I427" s="12"/>
      <c r="J427" s="12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8"/>
      <c r="G432" s="8"/>
      <c r="H432" s="8"/>
      <c r="I432" s="8"/>
      <c r="J432" s="8"/>
    </row>
    <row r="433" spans="1:10" s="9" customFormat="1" ht="13.2">
      <c r="A433" s="13"/>
      <c r="B433" s="13"/>
      <c r="C433" s="13"/>
      <c r="D433" s="13"/>
      <c r="E433" s="13"/>
      <c r="F433" s="8"/>
      <c r="G433" s="8"/>
      <c r="H433" s="8"/>
      <c r="I433" s="8"/>
      <c r="J433" s="8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3"/>
      <c r="B436" s="13"/>
      <c r="C436" s="13"/>
      <c r="D436" s="13"/>
      <c r="E436" s="13"/>
      <c r="F436" s="11"/>
      <c r="G436" s="11"/>
      <c r="H436" s="11"/>
      <c r="I436" s="11"/>
      <c r="J436" s="11"/>
    </row>
    <row r="437" spans="1:10" s="9" customFormat="1" ht="13.2">
      <c r="A437" s="13"/>
      <c r="B437" s="13"/>
      <c r="C437" s="13"/>
      <c r="D437" s="13"/>
      <c r="E437" s="13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1"/>
      <c r="G439" s="11"/>
      <c r="H439" s="11"/>
      <c r="I439" s="11"/>
      <c r="J439" s="11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12"/>
      <c r="G444" s="12"/>
      <c r="H444" s="12"/>
      <c r="I444" s="12"/>
      <c r="J444" s="12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8"/>
      <c r="G446" s="8"/>
      <c r="H446" s="8"/>
      <c r="I446" s="8"/>
      <c r="J446" s="8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12"/>
      <c r="G448" s="12"/>
      <c r="H448" s="12"/>
      <c r="I448" s="12"/>
      <c r="J448" s="12"/>
    </row>
    <row r="449" spans="1:10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8"/>
      <c r="G454" s="8"/>
      <c r="H454" s="8"/>
      <c r="I454" s="8"/>
      <c r="J454" s="8"/>
    </row>
    <row r="455" spans="1:10" s="9" customFormat="1" ht="13.2">
      <c r="A455" s="15"/>
      <c r="B455" s="15"/>
      <c r="C455" s="15"/>
      <c r="D455" s="15"/>
      <c r="E455" s="15"/>
      <c r="F455" s="8"/>
      <c r="G455" s="8"/>
      <c r="H455" s="8"/>
      <c r="I455" s="8"/>
      <c r="J455" s="8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11"/>
      <c r="G460" s="11"/>
      <c r="H460" s="11"/>
      <c r="I460" s="11"/>
      <c r="J460" s="11"/>
    </row>
    <row r="461" spans="1:10" s="9" customFormat="1" ht="13.2">
      <c r="A461" s="15"/>
      <c r="B461" s="15"/>
      <c r="C461" s="15"/>
      <c r="D461" s="15"/>
      <c r="E461" s="15"/>
      <c r="F461" s="11"/>
      <c r="G461" s="11"/>
      <c r="H461" s="11"/>
      <c r="I461" s="11"/>
      <c r="J461" s="11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</row>
    <row r="468" spans="1:10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</row>
    <row r="469" spans="1:10" s="9" customFormat="1" ht="13.2">
      <c r="A469" s="6"/>
      <c r="B469" s="6"/>
      <c r="C469" s="6"/>
      <c r="D469" s="6"/>
      <c r="E469" s="6"/>
      <c r="F469" s="12"/>
      <c r="G469" s="12"/>
      <c r="H469" s="12"/>
      <c r="I469" s="12"/>
      <c r="J469" s="12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11"/>
      <c r="G471" s="11"/>
      <c r="H471" s="11"/>
      <c r="I471" s="11"/>
      <c r="J471" s="11"/>
    </row>
    <row r="472" spans="1:10" s="9" customFormat="1" ht="13.2">
      <c r="A472" s="6"/>
      <c r="B472" s="6"/>
      <c r="C472" s="6"/>
      <c r="D472" s="6"/>
      <c r="E472" s="6"/>
      <c r="F472" s="12"/>
      <c r="G472" s="12"/>
      <c r="H472" s="12"/>
      <c r="I472" s="12"/>
      <c r="J472" s="12"/>
    </row>
    <row r="473" spans="1:10" s="9" customFormat="1" ht="13.2">
      <c r="A473" s="6"/>
      <c r="B473" s="6"/>
      <c r="C473" s="6"/>
      <c r="D473" s="6"/>
      <c r="E473" s="6"/>
      <c r="F473" s="8"/>
      <c r="G473" s="8"/>
      <c r="H473" s="8"/>
      <c r="I473" s="8"/>
      <c r="J473" s="8"/>
    </row>
    <row r="474" spans="1:10" s="9" customFormat="1" ht="13.2">
      <c r="A474" s="6"/>
      <c r="B474" s="6"/>
      <c r="C474" s="6"/>
      <c r="D474" s="6"/>
      <c r="E474" s="6"/>
      <c r="F474" s="8"/>
      <c r="G474" s="8"/>
      <c r="H474" s="8"/>
      <c r="I474" s="8"/>
      <c r="J474" s="8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2"/>
      <c r="G476" s="12"/>
      <c r="H476" s="12"/>
      <c r="I476" s="12"/>
      <c r="J476" s="12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</row>
    <row r="484" spans="1:10" s="9" customFormat="1" ht="13.2">
      <c r="A484" s="6"/>
      <c r="B484" s="6"/>
      <c r="C484" s="6"/>
      <c r="D484" s="6"/>
      <c r="E484" s="6"/>
      <c r="F484" s="11"/>
      <c r="G484" s="11"/>
      <c r="H484" s="11"/>
      <c r="I484" s="11"/>
      <c r="J484" s="11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8"/>
      <c r="G489" s="8"/>
      <c r="H489" s="8"/>
      <c r="I489" s="8"/>
      <c r="J489" s="8"/>
    </row>
    <row r="490" spans="1:10" s="9" customFormat="1" ht="13.2">
      <c r="A490" s="6"/>
      <c r="B490" s="6"/>
      <c r="C490" s="6"/>
      <c r="D490" s="6"/>
      <c r="E490" s="6"/>
      <c r="F490" s="8"/>
      <c r="G490" s="8"/>
      <c r="H490" s="8"/>
      <c r="I490" s="8"/>
      <c r="J490" s="8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0"/>
      <c r="G492" s="10"/>
      <c r="H492" s="10"/>
      <c r="I492" s="10"/>
      <c r="J492" s="10"/>
    </row>
    <row r="493" spans="1:10" s="9" customFormat="1" ht="13.2">
      <c r="A493" s="6"/>
      <c r="B493" s="6"/>
      <c r="C493" s="6"/>
      <c r="D493" s="6"/>
      <c r="E493" s="6"/>
      <c r="F493" s="12"/>
      <c r="G493" s="12"/>
      <c r="H493" s="12"/>
      <c r="I493" s="12"/>
      <c r="J493" s="12"/>
    </row>
    <row r="494" spans="1:10" s="9" customFormat="1" ht="13.2">
      <c r="A494" s="6"/>
      <c r="B494" s="6"/>
      <c r="C494" s="6"/>
      <c r="D494" s="6"/>
      <c r="E494" s="6"/>
      <c r="F494" s="12"/>
      <c r="G494" s="12"/>
      <c r="H494" s="12"/>
      <c r="I494" s="12"/>
      <c r="J494" s="12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</row>
    <row r="498" spans="1:10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</row>
    <row r="499" spans="1:10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</row>
    <row r="500" spans="1:10" s="9" customFormat="1" ht="13.2">
      <c r="A500" s="6"/>
      <c r="B500" s="6"/>
      <c r="C500" s="6"/>
      <c r="D500" s="6"/>
      <c r="E500" s="6"/>
      <c r="F500" s="12"/>
      <c r="G500" s="12"/>
      <c r="H500" s="12"/>
      <c r="I500" s="12"/>
      <c r="J500" s="12"/>
    </row>
    <row r="501" spans="1:10" s="9" customFormat="1" ht="13.2">
      <c r="A501" s="6"/>
      <c r="B501" s="6"/>
      <c r="C501" s="6"/>
      <c r="D501" s="6"/>
      <c r="E501" s="6"/>
      <c r="F501" s="10"/>
      <c r="G501" s="10"/>
      <c r="H501" s="10"/>
      <c r="I501" s="10"/>
      <c r="J501" s="10"/>
    </row>
    <row r="502" spans="1:10" s="9" customFormat="1" ht="13.2">
      <c r="A502" s="6"/>
      <c r="B502" s="6"/>
      <c r="C502" s="6"/>
      <c r="D502" s="6"/>
      <c r="E502" s="6"/>
      <c r="F502" s="11"/>
      <c r="G502" s="11"/>
      <c r="H502" s="11"/>
      <c r="I502" s="11"/>
      <c r="J502" s="11"/>
    </row>
    <row r="503" spans="1:10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7"/>
      <c r="G506" s="7"/>
      <c r="H506" s="7"/>
      <c r="I506" s="7"/>
      <c r="J506" s="7"/>
    </row>
    <row r="507" spans="1:10" s="9" customFormat="1" ht="13.2">
      <c r="A507" s="6"/>
      <c r="B507" s="6"/>
      <c r="C507" s="6"/>
      <c r="D507" s="6"/>
      <c r="E507" s="6"/>
      <c r="F507" s="7"/>
      <c r="G507" s="7"/>
      <c r="H507" s="7"/>
      <c r="I507" s="7"/>
      <c r="J507" s="7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</row>
    <row r="515" spans="1:10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11"/>
      <c r="G517" s="11"/>
      <c r="H517" s="11"/>
      <c r="I517" s="11"/>
      <c r="J517" s="11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12"/>
      <c r="G520" s="12"/>
      <c r="H520" s="12"/>
      <c r="I520" s="12"/>
      <c r="J520" s="12"/>
    </row>
    <row r="521" spans="1:10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12"/>
      <c r="G523" s="12"/>
      <c r="H523" s="12"/>
      <c r="I523" s="12"/>
      <c r="J523" s="12"/>
    </row>
    <row r="524" spans="1:10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11"/>
      <c r="G526" s="11"/>
      <c r="H526" s="11"/>
      <c r="I526" s="11"/>
      <c r="J526" s="11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11"/>
      <c r="G530" s="11"/>
      <c r="H530" s="11"/>
      <c r="I530" s="11"/>
      <c r="J530" s="11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</row>
    <row r="536" spans="1:10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</row>
    <row r="537" spans="1:10" s="9" customFormat="1" ht="13.2">
      <c r="A537" s="6"/>
      <c r="B537" s="6"/>
      <c r="C537" s="6"/>
      <c r="D537" s="6"/>
      <c r="E537" s="6"/>
      <c r="F537" s="10"/>
      <c r="G537" s="10"/>
      <c r="H537" s="10"/>
      <c r="I537" s="10"/>
      <c r="J537" s="10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11"/>
      <c r="G540" s="11"/>
      <c r="H540" s="11"/>
      <c r="I540" s="11"/>
      <c r="J540" s="11"/>
    </row>
    <row r="541" spans="1:10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</row>
    <row r="542" spans="1:10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</row>
    <row r="543" spans="1:10" s="9" customFormat="1" ht="13.2">
      <c r="A543" s="6"/>
      <c r="B543" s="6"/>
      <c r="C543" s="6"/>
      <c r="D543" s="6"/>
      <c r="E543" s="6"/>
      <c r="F543" s="11"/>
      <c r="G543" s="11"/>
      <c r="H543" s="11"/>
      <c r="I543" s="11"/>
      <c r="J543" s="11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spans="1:10" s="9" customFormat="1" ht="13.2">
      <c r="A546" s="6"/>
      <c r="B546" s="6"/>
      <c r="C546" s="6"/>
      <c r="D546" s="6"/>
      <c r="E546" s="6"/>
      <c r="F546" s="11"/>
      <c r="G546" s="11"/>
      <c r="H546" s="11"/>
      <c r="I546" s="11"/>
      <c r="J546" s="11"/>
    </row>
    <row r="547" spans="1:10" s="9" customFormat="1" ht="13.2">
      <c r="A547" s="6"/>
      <c r="B547" s="6"/>
      <c r="C547" s="6"/>
      <c r="D547" s="6"/>
      <c r="E547" s="6"/>
      <c r="F547" s="11"/>
      <c r="G547" s="11"/>
      <c r="H547" s="11"/>
      <c r="I547" s="11"/>
      <c r="J547" s="11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</row>
    <row r="552" spans="1:10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</row>
    <row r="553" spans="1:10" s="9" customFormat="1" ht="13.2">
      <c r="A553" s="6"/>
      <c r="B553" s="6"/>
      <c r="C553" s="6"/>
      <c r="D553" s="6"/>
      <c r="E553" s="6"/>
      <c r="F553" s="7"/>
      <c r="G553" s="7"/>
      <c r="H553" s="7"/>
      <c r="I553" s="7"/>
      <c r="J553" s="7"/>
    </row>
    <row r="554" spans="1:10" s="9" customFormat="1" ht="13.2">
      <c r="A554" s="6"/>
      <c r="B554" s="6"/>
      <c r="C554" s="6"/>
      <c r="D554" s="6"/>
      <c r="E554" s="6"/>
      <c r="F554" s="7"/>
      <c r="G554" s="7"/>
      <c r="H554" s="7"/>
      <c r="I554" s="7"/>
      <c r="J554" s="7"/>
    </row>
    <row r="555" spans="1:10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</row>
    <row r="556" spans="1:10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8"/>
      <c r="G558" s="8"/>
      <c r="H558" s="8"/>
      <c r="I558" s="8"/>
      <c r="J558" s="8"/>
    </row>
    <row r="559" spans="1:10" s="9" customFormat="1" ht="13.2">
      <c r="A559" s="6"/>
      <c r="B559" s="6"/>
      <c r="C559" s="6"/>
      <c r="D559" s="6"/>
      <c r="E559" s="6"/>
      <c r="F559" s="7"/>
      <c r="G559" s="7"/>
      <c r="H559" s="7"/>
      <c r="I559" s="7"/>
      <c r="J559" s="7"/>
    </row>
    <row r="560" spans="1:10" s="9" customFormat="1" ht="13.2">
      <c r="A560" s="6"/>
      <c r="B560" s="6"/>
      <c r="C560" s="6"/>
      <c r="D560" s="6"/>
      <c r="E560" s="6"/>
      <c r="F560" s="7"/>
      <c r="G560" s="7"/>
      <c r="H560" s="7"/>
      <c r="I560" s="7"/>
      <c r="J560" s="7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</row>
    <row r="567" spans="1:10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</row>
    <row r="568" spans="1:10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</row>
    <row r="569" spans="1:10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</row>
    <row r="596" spans="1:10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10"/>
      <c r="G598" s="10"/>
      <c r="H598" s="10"/>
      <c r="I598" s="10"/>
      <c r="J598" s="10"/>
    </row>
    <row r="599" spans="1:10" s="9" customFormat="1" ht="13.2">
      <c r="A599" s="6"/>
      <c r="B599" s="6"/>
      <c r="C599" s="6"/>
      <c r="D599" s="6"/>
      <c r="E599" s="6"/>
      <c r="F599" s="10"/>
      <c r="G599" s="10"/>
      <c r="H599" s="10"/>
      <c r="I599" s="10"/>
      <c r="J599" s="10"/>
    </row>
    <row r="600" spans="1:10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</row>
    <row r="601" spans="1:10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10"/>
      <c r="G603" s="10"/>
      <c r="H603" s="10"/>
      <c r="I603" s="10"/>
      <c r="J603" s="10"/>
    </row>
    <row r="604" spans="1:10" s="9" customFormat="1" ht="13.2">
      <c r="A604" s="6"/>
      <c r="B604" s="6"/>
      <c r="C604" s="6"/>
      <c r="D604" s="6"/>
      <c r="E604" s="6"/>
      <c r="F604" s="10"/>
      <c r="G604" s="10"/>
      <c r="H604" s="10"/>
      <c r="I604" s="10"/>
      <c r="J604" s="10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</row>
    <row r="607" spans="1:10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 ht="13.2">
      <c r="A613" s="6"/>
      <c r="B613" s="6"/>
      <c r="C613" s="6"/>
      <c r="D613" s="6"/>
      <c r="E613" s="6"/>
      <c r="F613" s="12"/>
      <c r="G613" s="12"/>
      <c r="H613" s="12"/>
      <c r="I613" s="12"/>
      <c r="J613" s="12"/>
    </row>
    <row r="614" spans="1:12" s="9" customFormat="1" ht="13.2">
      <c r="A614" s="6"/>
      <c r="B614" s="6"/>
      <c r="C614" s="6"/>
      <c r="D614" s="6"/>
      <c r="E614" s="6"/>
      <c r="F614" s="12"/>
      <c r="G614" s="12"/>
      <c r="H614" s="12"/>
      <c r="I614" s="12"/>
      <c r="J614" s="12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s="9" customForma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s="9" customForma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</sheetData>
  <mergeCells count="131">
    <mergeCell ref="A10:A11"/>
    <mergeCell ref="B10:F11"/>
    <mergeCell ref="G10:I11"/>
    <mergeCell ref="J10:K10"/>
    <mergeCell ref="L10:L11"/>
    <mergeCell ref="B3:H3"/>
    <mergeCell ref="K3:L3"/>
    <mergeCell ref="B4:H4"/>
    <mergeCell ref="K4:L4"/>
    <mergeCell ref="B5:H5"/>
    <mergeCell ref="K5:L5"/>
    <mergeCell ref="B12:F12"/>
    <mergeCell ref="G12:I12"/>
    <mergeCell ref="B13:F13"/>
    <mergeCell ref="G13:I13"/>
    <mergeCell ref="B14:F14"/>
    <mergeCell ref="G14:I14"/>
    <mergeCell ref="K6:L6"/>
    <mergeCell ref="B7:H7"/>
    <mergeCell ref="K9:L9"/>
    <mergeCell ref="B18:F18"/>
    <mergeCell ref="G18:I18"/>
    <mergeCell ref="B19:F19"/>
    <mergeCell ref="G19:I19"/>
    <mergeCell ref="B20:F20"/>
    <mergeCell ref="G20:I20"/>
    <mergeCell ref="B15:F15"/>
    <mergeCell ref="G15:I15"/>
    <mergeCell ref="B16:F16"/>
    <mergeCell ref="G16:I16"/>
    <mergeCell ref="B17:F17"/>
    <mergeCell ref="G17:I17"/>
    <mergeCell ref="B24:F24"/>
    <mergeCell ref="G24:I24"/>
    <mergeCell ref="B25:F25"/>
    <mergeCell ref="G25:I25"/>
    <mergeCell ref="B26:F26"/>
    <mergeCell ref="G26:I26"/>
    <mergeCell ref="B21:F21"/>
    <mergeCell ref="G21:I21"/>
    <mergeCell ref="B22:F22"/>
    <mergeCell ref="G22:I22"/>
    <mergeCell ref="B23:F23"/>
    <mergeCell ref="G23:I23"/>
    <mergeCell ref="B30:F30"/>
    <mergeCell ref="G30:I30"/>
    <mergeCell ref="B31:F31"/>
    <mergeCell ref="G31:I31"/>
    <mergeCell ref="B32:F32"/>
    <mergeCell ref="G32:I32"/>
    <mergeCell ref="B27:F27"/>
    <mergeCell ref="G27:I27"/>
    <mergeCell ref="B28:F28"/>
    <mergeCell ref="G28:I28"/>
    <mergeCell ref="B29:F29"/>
    <mergeCell ref="G29:I29"/>
    <mergeCell ref="B38:F38"/>
    <mergeCell ref="G38:H38"/>
    <mergeCell ref="B39:F39"/>
    <mergeCell ref="G39:H39"/>
    <mergeCell ref="B40:F40"/>
    <mergeCell ref="G40:I40"/>
    <mergeCell ref="B33:F33"/>
    <mergeCell ref="B35:F35"/>
    <mergeCell ref="G35:H35"/>
    <mergeCell ref="B36:F36"/>
    <mergeCell ref="G36:H36"/>
    <mergeCell ref="B37:F37"/>
    <mergeCell ref="G37:H37"/>
    <mergeCell ref="A45:F45"/>
    <mergeCell ref="H45:L45"/>
    <mergeCell ref="A46:F46"/>
    <mergeCell ref="H46:L46"/>
    <mergeCell ref="A47:F47"/>
    <mergeCell ref="H47:L47"/>
    <mergeCell ref="A42:F42"/>
    <mergeCell ref="H42:L42"/>
    <mergeCell ref="A43:F43"/>
    <mergeCell ref="H43:L43"/>
    <mergeCell ref="A44:F44"/>
    <mergeCell ref="H44:L44"/>
    <mergeCell ref="A51:F51"/>
    <mergeCell ref="H51:L51"/>
    <mergeCell ref="A52:F52"/>
    <mergeCell ref="H52:L52"/>
    <mergeCell ref="H53:J53"/>
    <mergeCell ref="K53:L53"/>
    <mergeCell ref="A48:F48"/>
    <mergeCell ref="H48:L48"/>
    <mergeCell ref="A49:F49"/>
    <mergeCell ref="H49:L49"/>
    <mergeCell ref="A50:F50"/>
    <mergeCell ref="H50:L50"/>
    <mergeCell ref="A57:F57"/>
    <mergeCell ref="H57:I57"/>
    <mergeCell ref="A58:F58"/>
    <mergeCell ref="H58:I58"/>
    <mergeCell ref="A59:F59"/>
    <mergeCell ref="H59:I59"/>
    <mergeCell ref="A54:F54"/>
    <mergeCell ref="H54:I54"/>
    <mergeCell ref="A55:F55"/>
    <mergeCell ref="H55:I55"/>
    <mergeCell ref="A56:F56"/>
    <mergeCell ref="H56:I56"/>
    <mergeCell ref="A63:F63"/>
    <mergeCell ref="H63:I63"/>
    <mergeCell ref="A64:F64"/>
    <mergeCell ref="H64:I64"/>
    <mergeCell ref="B68:C68"/>
    <mergeCell ref="D68:E68"/>
    <mergeCell ref="F68:G68"/>
    <mergeCell ref="H68:I68"/>
    <mergeCell ref="A60:F60"/>
    <mergeCell ref="H60:I60"/>
    <mergeCell ref="A61:F61"/>
    <mergeCell ref="H61:I61"/>
    <mergeCell ref="A62:F62"/>
    <mergeCell ref="H62:I62"/>
    <mergeCell ref="A74:C74"/>
    <mergeCell ref="E74:H74"/>
    <mergeCell ref="J74:L74"/>
    <mergeCell ref="A75:C75"/>
    <mergeCell ref="E75:H75"/>
    <mergeCell ref="J75:L75"/>
    <mergeCell ref="J68:K68"/>
    <mergeCell ref="B69:C70"/>
    <mergeCell ref="D69:E70"/>
    <mergeCell ref="F69:G70"/>
    <mergeCell ref="H69:I70"/>
    <mergeCell ref="J69:K70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O620"/>
  <sheetViews>
    <sheetView view="pageBreakPreview" topLeftCell="A67" zoomScaleNormal="100" zoomScaleSheetLayoutView="100" workbookViewId="0">
      <selection activeCell="B25" activeCellId="3" sqref="J69:K70 B27:F27 B25:F25 B25:F2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 t="s">
        <v>1</v>
      </c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3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4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6</v>
      </c>
      <c r="L5" s="557"/>
    </row>
    <row r="6" spans="1:15" s="16" customFormat="1" ht="16.5" customHeight="1">
      <c r="A6" s="69"/>
      <c r="B6" s="78" t="s">
        <v>7</v>
      </c>
      <c r="C6" s="78"/>
      <c r="D6" s="78"/>
      <c r="E6" s="78"/>
      <c r="F6" s="78"/>
      <c r="G6" s="78"/>
      <c r="H6" s="78"/>
      <c r="I6" s="21" t="s">
        <v>8</v>
      </c>
      <c r="J6" s="21"/>
      <c r="K6" s="560" t="s">
        <v>65</v>
      </c>
      <c r="L6" s="561"/>
    </row>
    <row r="7" spans="1:15" s="16" customFormat="1" ht="16.5" customHeight="1">
      <c r="A7" s="22" t="s">
        <v>10</v>
      </c>
      <c r="B7" s="556" t="s">
        <v>11</v>
      </c>
      <c r="C7" s="556"/>
      <c r="D7" s="556"/>
      <c r="E7" s="556"/>
      <c r="F7" s="556"/>
      <c r="G7" s="556"/>
      <c r="H7" s="556"/>
    </row>
    <row r="8" spans="1:15" s="16" customFormat="1" ht="16.5" customHeight="1">
      <c r="A8" s="22"/>
      <c r="B8" s="23"/>
      <c r="C8" s="23"/>
      <c r="D8" s="23"/>
      <c r="E8" s="23"/>
      <c r="F8" s="23"/>
      <c r="G8" s="23"/>
      <c r="J8" s="59"/>
      <c r="K8" s="62"/>
      <c r="L8" s="62"/>
    </row>
    <row r="9" spans="1:15" ht="16.5" customHeight="1">
      <c r="A9" s="24" t="s">
        <v>12</v>
      </c>
      <c r="B9" s="3"/>
      <c r="C9" s="3"/>
      <c r="D9" s="3"/>
      <c r="E9" s="3"/>
      <c r="F9" s="3"/>
      <c r="G9" s="3"/>
      <c r="H9" s="3"/>
      <c r="I9" s="3"/>
      <c r="J9" s="3"/>
      <c r="K9" s="555"/>
      <c r="L9" s="555"/>
    </row>
    <row r="10" spans="1:15" s="2" customFormat="1" ht="16.5" customHeight="1">
      <c r="A10" s="552" t="s">
        <v>13</v>
      </c>
      <c r="B10" s="552" t="s">
        <v>14</v>
      </c>
      <c r="C10" s="552"/>
      <c r="D10" s="552"/>
      <c r="E10" s="552"/>
      <c r="F10" s="552"/>
      <c r="G10" s="552" t="s">
        <v>15</v>
      </c>
      <c r="H10" s="552"/>
      <c r="I10" s="552"/>
      <c r="J10" s="553" t="s">
        <v>16</v>
      </c>
      <c r="K10" s="553"/>
      <c r="L10" s="552" t="s">
        <v>17</v>
      </c>
    </row>
    <row r="11" spans="1:15" s="2" customFormat="1" ht="16.5" customHeight="1">
      <c r="A11" s="552"/>
      <c r="B11" s="552"/>
      <c r="C11" s="552"/>
      <c r="D11" s="552"/>
      <c r="E11" s="552"/>
      <c r="F11" s="552"/>
      <c r="G11" s="552"/>
      <c r="H11" s="552"/>
      <c r="I11" s="552"/>
      <c r="J11" s="60" t="s">
        <v>18</v>
      </c>
      <c r="K11" s="20" t="s">
        <v>19</v>
      </c>
      <c r="L11" s="552"/>
    </row>
    <row r="12" spans="1:15" s="18" customFormat="1" ht="16.5" customHeight="1">
      <c r="A12" s="79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 t="str">
        <f>swa!A43</f>
        <v>105(1)</v>
      </c>
      <c r="B13" s="558" t="str">
        <f>swa!B43:E43</f>
        <v>Sub-Grade Preparation(Common Materials)</v>
      </c>
      <c r="C13" s="558"/>
      <c r="D13" s="558"/>
      <c r="E13" s="558"/>
      <c r="F13" s="558"/>
      <c r="G13" s="559" t="s">
        <v>20</v>
      </c>
      <c r="H13" s="559"/>
      <c r="I13" s="559"/>
      <c r="J13" s="216">
        <f>N18</f>
        <v>270</v>
      </c>
      <c r="K13" s="53"/>
      <c r="L13" s="55" t="s">
        <v>21</v>
      </c>
    </row>
    <row r="14" spans="1:15" s="18" customFormat="1" ht="16.5" customHeight="1">
      <c r="A14" s="215" t="str">
        <f>swa!A45</f>
        <v>200(1)</v>
      </c>
      <c r="B14" s="558" t="str">
        <f>swa!B45:E45</f>
        <v>Aggregate Subbase Course</v>
      </c>
      <c r="C14" s="558"/>
      <c r="D14" s="558"/>
      <c r="E14" s="558"/>
      <c r="F14" s="558"/>
      <c r="G14" s="559" t="s">
        <v>20</v>
      </c>
      <c r="H14" s="559"/>
      <c r="I14" s="559"/>
      <c r="J14" s="216">
        <f>J13*8.1*0.2</f>
        <v>437.40000000000003</v>
      </c>
      <c r="K14" s="53"/>
      <c r="L14" s="55" t="s">
        <v>22</v>
      </c>
    </row>
    <row r="15" spans="1:15" s="18" customFormat="1" ht="16.5" customHeight="1">
      <c r="A15" s="215" t="str">
        <f>swa!A47</f>
        <v>311(1)c</v>
      </c>
      <c r="B15" s="558" t="str">
        <f>swa!B47:E47</f>
        <v>Portland Cement Concrete Pavement, 230mm</v>
      </c>
      <c r="C15" s="558"/>
      <c r="D15" s="558"/>
      <c r="E15" s="558"/>
      <c r="F15" s="558"/>
      <c r="G15" s="559" t="s">
        <v>20</v>
      </c>
      <c r="H15" s="559"/>
      <c r="I15" s="559"/>
      <c r="J15" s="216">
        <f>N18</f>
        <v>270</v>
      </c>
      <c r="K15" s="53"/>
      <c r="L15" s="55" t="s">
        <v>21</v>
      </c>
      <c r="N15" s="18">
        <f>8*9</f>
        <v>72</v>
      </c>
    </row>
    <row r="16" spans="1:15" s="18" customFormat="1" ht="16.5" customHeight="1">
      <c r="A16" s="215"/>
      <c r="B16" s="558"/>
      <c r="C16" s="558"/>
      <c r="D16" s="558"/>
      <c r="E16" s="558"/>
      <c r="F16" s="558"/>
      <c r="G16" s="559"/>
      <c r="H16" s="559"/>
      <c r="I16" s="559"/>
      <c r="J16" s="216"/>
      <c r="K16" s="53"/>
      <c r="L16" s="55"/>
      <c r="N16" s="18">
        <v>90</v>
      </c>
      <c r="O16" s="18">
        <f>102/1.5</f>
        <v>68</v>
      </c>
    </row>
    <row r="17" spans="1:14" s="18" customFormat="1" ht="16.5" customHeight="1">
      <c r="A17" s="215"/>
      <c r="B17" s="558"/>
      <c r="C17" s="558"/>
      <c r="D17" s="558"/>
      <c r="E17" s="558"/>
      <c r="F17" s="558"/>
      <c r="G17" s="559"/>
      <c r="H17" s="559"/>
      <c r="I17" s="559"/>
      <c r="J17" s="53"/>
      <c r="K17" s="53"/>
      <c r="L17" s="55"/>
      <c r="N17" s="18">
        <v>3</v>
      </c>
    </row>
    <row r="18" spans="1:14" s="18" customFormat="1" ht="16.5" customHeight="1">
      <c r="A18" s="54"/>
      <c r="B18" s="558"/>
      <c r="C18" s="558"/>
      <c r="D18" s="558"/>
      <c r="E18" s="558"/>
      <c r="F18" s="558"/>
      <c r="G18" s="559"/>
      <c r="H18" s="559"/>
      <c r="I18" s="559"/>
      <c r="J18" s="53"/>
      <c r="K18" s="53"/>
      <c r="L18" s="55"/>
      <c r="N18" s="18">
        <f>N16*3</f>
        <v>270</v>
      </c>
    </row>
    <row r="19" spans="1:14" s="18" customFormat="1" ht="16.5" customHeight="1">
      <c r="A19" s="54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4" s="18" customFormat="1" ht="16.5" customHeight="1">
      <c r="A20" s="54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4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4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4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4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4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4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4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4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4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4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4" s="18" customFormat="1" ht="16.5" customHeight="1">
      <c r="A31" s="61"/>
      <c r="B31" s="562"/>
      <c r="C31" s="562"/>
      <c r="D31" s="562"/>
      <c r="E31" s="562"/>
      <c r="F31" s="562"/>
      <c r="G31" s="559"/>
      <c r="H31" s="559"/>
      <c r="I31" s="559"/>
      <c r="J31" s="53"/>
      <c r="K31" s="53"/>
      <c r="L31" s="55"/>
    </row>
    <row r="32" spans="1:14" s="18" customFormat="1" ht="16.5" customHeight="1">
      <c r="A32" s="61"/>
      <c r="B32" s="562"/>
      <c r="C32" s="562"/>
      <c r="D32" s="562"/>
      <c r="E32" s="562"/>
      <c r="F32" s="562"/>
      <c r="G32" s="559"/>
      <c r="H32" s="559"/>
      <c r="I32" s="559"/>
      <c r="J32" s="53"/>
      <c r="K32" s="53"/>
      <c r="L32" s="55"/>
    </row>
    <row r="33" spans="1:12" s="18" customFormat="1" ht="16.5" customHeight="1">
      <c r="A33" s="66"/>
      <c r="B33" s="566"/>
      <c r="C33" s="566"/>
      <c r="D33" s="566"/>
      <c r="E33" s="566"/>
      <c r="F33" s="566"/>
      <c r="G33" s="66"/>
      <c r="H33" s="41"/>
      <c r="I33" s="41"/>
      <c r="J33" s="42"/>
      <c r="K33" s="43"/>
      <c r="L33" s="3"/>
    </row>
    <row r="34" spans="1:12" s="18" customFormat="1" ht="16.5" customHeight="1">
      <c r="A34" s="26" t="s">
        <v>23</v>
      </c>
      <c r="B34" s="67"/>
      <c r="C34" s="67"/>
      <c r="D34" s="67"/>
      <c r="E34" s="67"/>
      <c r="F34" s="17"/>
      <c r="G34" s="17"/>
      <c r="H34" s="17"/>
      <c r="I34" s="17"/>
      <c r="J34" s="17"/>
      <c r="K34" s="3"/>
      <c r="L34" s="3"/>
    </row>
    <row r="35" spans="1:12" s="25" customFormat="1" ht="16.5" customHeight="1">
      <c r="A35" s="19" t="s">
        <v>13</v>
      </c>
      <c r="B35" s="567" t="s">
        <v>14</v>
      </c>
      <c r="C35" s="567"/>
      <c r="D35" s="567"/>
      <c r="E35" s="567"/>
      <c r="F35" s="567"/>
      <c r="G35" s="568" t="s">
        <v>24</v>
      </c>
      <c r="H35" s="568"/>
      <c r="I35" s="63" t="s">
        <v>17</v>
      </c>
      <c r="J35" s="60" t="s">
        <v>25</v>
      </c>
      <c r="K35" s="60" t="s">
        <v>26</v>
      </c>
      <c r="L35" s="60" t="s">
        <v>27</v>
      </c>
    </row>
    <row r="36" spans="1:12" s="18" customFormat="1" ht="16.5" customHeight="1">
      <c r="A36" s="75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65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65"/>
      <c r="B38" s="563"/>
      <c r="C38" s="563"/>
      <c r="D38" s="563"/>
      <c r="E38" s="563"/>
      <c r="F38" s="563"/>
      <c r="G38" s="564"/>
      <c r="H38" s="564"/>
      <c r="I38" s="64"/>
      <c r="J38" s="64"/>
      <c r="K38" s="55"/>
      <c r="L38" s="55"/>
    </row>
    <row r="39" spans="1:12" s="52" customFormat="1" ht="16.5" customHeight="1">
      <c r="A39" s="65"/>
      <c r="B39" s="563"/>
      <c r="C39" s="563"/>
      <c r="D39" s="563"/>
      <c r="E39" s="563"/>
      <c r="F39" s="563"/>
      <c r="G39" s="564"/>
      <c r="H39" s="564"/>
      <c r="I39" s="64"/>
      <c r="J39" s="64"/>
      <c r="K39" s="55"/>
      <c r="L39" s="55"/>
    </row>
    <row r="40" spans="1:12" s="52" customFormat="1" ht="16.5" customHeight="1">
      <c r="A40" s="32"/>
      <c r="B40" s="565"/>
      <c r="C40" s="565"/>
      <c r="D40" s="565"/>
      <c r="E40" s="565"/>
      <c r="F40" s="565"/>
      <c r="G40" s="565"/>
      <c r="H40" s="565"/>
      <c r="I40" s="565"/>
      <c r="J40" s="17"/>
      <c r="K40" s="3"/>
      <c r="L40" s="3"/>
    </row>
    <row r="41" spans="1:12" s="51" customFormat="1" ht="16.5" customHeight="1">
      <c r="A41" s="34" t="s">
        <v>28</v>
      </c>
      <c r="B41" s="34"/>
      <c r="C41" s="34"/>
      <c r="D41" s="34"/>
      <c r="E41" s="34"/>
      <c r="F41" s="17"/>
      <c r="G41" s="38"/>
      <c r="H41" s="36" t="s">
        <v>29</v>
      </c>
      <c r="I41" s="34"/>
      <c r="J41" s="34"/>
      <c r="K41" s="34"/>
      <c r="L41" s="34"/>
    </row>
    <row r="42" spans="1:12" s="51" customFormat="1" ht="16.5" customHeight="1">
      <c r="A42" s="569" t="s">
        <v>30</v>
      </c>
      <c r="B42" s="569"/>
      <c r="C42" s="569"/>
      <c r="D42" s="569"/>
      <c r="E42" s="569"/>
      <c r="F42" s="569"/>
      <c r="G42" s="56"/>
      <c r="H42" s="569"/>
      <c r="I42" s="569"/>
      <c r="J42" s="569"/>
      <c r="K42" s="569"/>
      <c r="L42" s="569"/>
    </row>
    <row r="43" spans="1:12" s="51" customFormat="1" ht="16.5" customHeight="1">
      <c r="A43" s="571" t="s">
        <v>31</v>
      </c>
      <c r="B43" s="571"/>
      <c r="C43" s="571"/>
      <c r="D43" s="571"/>
      <c r="E43" s="571"/>
      <c r="F43" s="571"/>
      <c r="G43" s="56"/>
      <c r="H43" s="569"/>
      <c r="I43" s="569"/>
      <c r="J43" s="569"/>
      <c r="K43" s="569"/>
      <c r="L43" s="569"/>
    </row>
    <row r="44" spans="1:12" s="51" customFormat="1" ht="16.5" customHeight="1">
      <c r="A44" s="571" t="s">
        <v>32</v>
      </c>
      <c r="B44" s="571"/>
      <c r="C44" s="571"/>
      <c r="D44" s="571"/>
      <c r="E44" s="571"/>
      <c r="F44" s="571"/>
      <c r="G44" s="57"/>
      <c r="H44" s="569"/>
      <c r="I44" s="569"/>
      <c r="J44" s="569"/>
      <c r="K44" s="569"/>
      <c r="L44" s="569"/>
    </row>
    <row r="45" spans="1:12" s="51" customFormat="1" ht="16.5" customHeight="1">
      <c r="A45" s="569" t="s">
        <v>33</v>
      </c>
      <c r="B45" s="569"/>
      <c r="C45" s="569"/>
      <c r="D45" s="569"/>
      <c r="E45" s="569"/>
      <c r="F45" s="569"/>
      <c r="G45" s="57"/>
      <c r="H45" s="569"/>
      <c r="I45" s="569"/>
      <c r="J45" s="569"/>
      <c r="K45" s="569"/>
      <c r="L45" s="569"/>
    </row>
    <row r="46" spans="1:12" s="51" customFormat="1" ht="16.5" customHeight="1">
      <c r="A46" s="570"/>
      <c r="B46" s="570"/>
      <c r="C46" s="570"/>
      <c r="D46" s="570"/>
      <c r="E46" s="570"/>
      <c r="F46" s="570"/>
      <c r="G46" s="39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7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6"/>
      <c r="H49" s="569"/>
      <c r="I49" s="569"/>
      <c r="J49" s="569"/>
      <c r="K49" s="569"/>
      <c r="L49" s="569"/>
    </row>
    <row r="50" spans="1:12" s="3" customFormat="1" ht="16.5" customHeight="1">
      <c r="A50" s="571"/>
      <c r="B50" s="571"/>
      <c r="C50" s="571"/>
      <c r="D50" s="571"/>
      <c r="E50" s="571"/>
      <c r="F50" s="571"/>
      <c r="G50" s="56"/>
      <c r="H50" s="569"/>
      <c r="I50" s="569"/>
      <c r="J50" s="569"/>
      <c r="K50" s="569"/>
      <c r="L50" s="569"/>
    </row>
    <row r="51" spans="1:12" s="3" customFormat="1" ht="16.5" customHeight="1">
      <c r="A51" s="571"/>
      <c r="B51" s="571"/>
      <c r="C51" s="571"/>
      <c r="D51" s="571"/>
      <c r="E51" s="571"/>
      <c r="F51" s="571"/>
      <c r="G51" s="57"/>
      <c r="H51" s="569"/>
      <c r="I51" s="569"/>
      <c r="J51" s="569"/>
      <c r="K51" s="569"/>
      <c r="L51" s="569"/>
    </row>
    <row r="52" spans="1:12" s="3" customFormat="1" ht="16.5" customHeight="1">
      <c r="A52" s="572"/>
      <c r="B52" s="572"/>
      <c r="C52" s="572"/>
      <c r="D52" s="572"/>
      <c r="E52" s="572"/>
      <c r="F52" s="572"/>
      <c r="G52" s="57"/>
      <c r="H52" s="572"/>
      <c r="I52" s="572"/>
      <c r="J52" s="572"/>
      <c r="K52" s="572"/>
      <c r="L52" s="572"/>
    </row>
    <row r="53" spans="1:12" s="3" customFormat="1" ht="16.5" customHeight="1">
      <c r="A53" s="70" t="s">
        <v>34</v>
      </c>
      <c r="B53" s="5"/>
      <c r="C53" s="4"/>
      <c r="H53" s="573" t="s">
        <v>35</v>
      </c>
      <c r="I53" s="573"/>
      <c r="J53" s="573"/>
      <c r="K53" s="573" t="s">
        <v>36</v>
      </c>
      <c r="L53" s="573"/>
    </row>
    <row r="54" spans="1:12" s="3" customFormat="1" ht="16.5" customHeight="1">
      <c r="A54" s="576"/>
      <c r="B54" s="576"/>
      <c r="C54" s="576"/>
      <c r="D54" s="576"/>
      <c r="E54" s="576"/>
      <c r="F54" s="576"/>
      <c r="G54" s="71"/>
      <c r="H54" s="577" t="s">
        <v>14</v>
      </c>
      <c r="I54" s="577"/>
      <c r="J54" s="74" t="s">
        <v>24</v>
      </c>
      <c r="K54" s="74" t="s">
        <v>14</v>
      </c>
      <c r="L54" s="74" t="s">
        <v>24</v>
      </c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 t="s">
        <v>37</v>
      </c>
      <c r="I55" s="575"/>
      <c r="J55" s="55">
        <v>1</v>
      </c>
      <c r="K55" s="76" t="s">
        <v>38</v>
      </c>
      <c r="L55" s="55">
        <v>2</v>
      </c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 t="s">
        <v>39</v>
      </c>
      <c r="I56" s="575"/>
      <c r="J56" s="55">
        <v>1</v>
      </c>
      <c r="K56" s="76" t="s">
        <v>40</v>
      </c>
      <c r="L56" s="55">
        <v>2</v>
      </c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 t="s">
        <v>41</v>
      </c>
      <c r="I57" s="575"/>
      <c r="J57" s="55">
        <v>4</v>
      </c>
      <c r="K57" s="76" t="s">
        <v>42</v>
      </c>
      <c r="L57" s="55">
        <v>1</v>
      </c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 t="s">
        <v>43</v>
      </c>
      <c r="I58" s="575"/>
      <c r="J58" s="55">
        <v>8</v>
      </c>
      <c r="K58" s="76" t="s">
        <v>44</v>
      </c>
      <c r="L58" s="55">
        <v>1</v>
      </c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55"/>
      <c r="K59" s="77"/>
      <c r="L59" s="55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574"/>
      <c r="B63" s="574"/>
      <c r="C63" s="574"/>
      <c r="D63" s="574"/>
      <c r="E63" s="574"/>
      <c r="F63" s="574"/>
      <c r="G63" s="72"/>
      <c r="H63" s="575"/>
      <c r="I63" s="575"/>
      <c r="J63" s="73"/>
      <c r="K63" s="77"/>
      <c r="L63" s="73"/>
    </row>
    <row r="64" spans="1:12" s="3" customFormat="1" ht="16.5" customHeight="1">
      <c r="A64" s="574"/>
      <c r="B64" s="574"/>
      <c r="C64" s="574"/>
      <c r="D64" s="574"/>
      <c r="E64" s="574"/>
      <c r="F64" s="574"/>
      <c r="G64" s="72"/>
      <c r="H64" s="575"/>
      <c r="I64" s="575"/>
      <c r="J64" s="73"/>
      <c r="K64" s="77"/>
      <c r="L64" s="73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6"/>
      <c r="J65" s="46"/>
      <c r="K65" s="47"/>
      <c r="L65" s="46"/>
    </row>
    <row r="66" spans="1:14" s="3" customFormat="1" ht="16.5" customHeight="1">
      <c r="A66" s="45" t="s">
        <v>45</v>
      </c>
      <c r="B66" s="46"/>
      <c r="C66" s="46"/>
      <c r="D66" s="46"/>
      <c r="E66" s="44"/>
      <c r="F66" s="46"/>
      <c r="G66" s="46"/>
      <c r="H66" s="46"/>
      <c r="I66" s="46"/>
      <c r="J66" s="46"/>
      <c r="K66" s="47"/>
      <c r="L66" s="46"/>
    </row>
    <row r="67" spans="1:14" s="3" customFormat="1" ht="16.5" customHeight="1">
      <c r="A67" s="45"/>
      <c r="B67" s="46"/>
      <c r="C67" s="46"/>
      <c r="D67" s="46"/>
      <c r="E67" s="44"/>
      <c r="F67" s="46"/>
      <c r="G67" s="46"/>
      <c r="H67" s="46"/>
      <c r="I67" s="48"/>
      <c r="J67" s="48"/>
      <c r="K67" s="47"/>
      <c r="L67" s="46"/>
    </row>
    <row r="68" spans="1:14" s="3" customFormat="1" ht="31.5" customHeight="1">
      <c r="A68" s="46" t="s">
        <v>46</v>
      </c>
      <c r="B68" s="578" t="s">
        <v>47</v>
      </c>
      <c r="C68" s="579"/>
      <c r="D68" s="578" t="s">
        <v>48</v>
      </c>
      <c r="E68" s="579"/>
      <c r="F68" s="578" t="s">
        <v>49</v>
      </c>
      <c r="G68" s="579"/>
      <c r="H68" s="578" t="s">
        <v>50</v>
      </c>
      <c r="I68" s="579"/>
      <c r="J68" s="578" t="s">
        <v>51</v>
      </c>
      <c r="K68" s="579"/>
      <c r="L68" s="49"/>
    </row>
    <row r="69" spans="1:14" s="3" customFormat="1" ht="16.5" customHeight="1">
      <c r="A69" s="50"/>
      <c r="B69" s="583">
        <v>0.88990000000000002</v>
      </c>
      <c r="C69" s="584"/>
      <c r="D69" s="587"/>
      <c r="E69" s="588"/>
      <c r="F69" s="583">
        <v>0.73580000000000001</v>
      </c>
      <c r="G69" s="584"/>
      <c r="H69" s="583">
        <f>F69-B69</f>
        <v>-0.15410000000000001</v>
      </c>
      <c r="I69" s="584"/>
      <c r="J69" s="587" t="s">
        <v>52</v>
      </c>
      <c r="K69" s="588"/>
      <c r="L69" s="49"/>
    </row>
    <row r="70" spans="1:14" s="22" customFormat="1" ht="16.5" customHeight="1">
      <c r="A70" s="50"/>
      <c r="B70" s="585"/>
      <c r="C70" s="586"/>
      <c r="D70" s="589"/>
      <c r="E70" s="590"/>
      <c r="F70" s="585"/>
      <c r="G70" s="586"/>
      <c r="H70" s="585"/>
      <c r="I70" s="586"/>
      <c r="J70" s="589"/>
      <c r="K70" s="590"/>
      <c r="L70" s="49"/>
    </row>
    <row r="71" spans="1:14" s="22" customFormat="1" ht="16.5" customHeight="1">
      <c r="A71" s="35"/>
      <c r="B71" s="27"/>
      <c r="C71" s="27"/>
      <c r="D71" s="27"/>
      <c r="E71" s="35"/>
      <c r="F71" s="58"/>
      <c r="G71" s="58"/>
      <c r="H71" s="58"/>
      <c r="I71" s="58"/>
      <c r="J71" s="68"/>
      <c r="K71" s="68"/>
      <c r="L71" s="3"/>
    </row>
    <row r="72" spans="1:14" s="22" customFormat="1" ht="16.5" customHeight="1">
      <c r="A72" s="35" t="s">
        <v>53</v>
      </c>
      <c r="B72" s="27"/>
      <c r="C72" s="27"/>
      <c r="D72" s="27"/>
      <c r="E72" s="35" t="s">
        <v>54</v>
      </c>
      <c r="F72" s="58"/>
      <c r="G72" s="58"/>
      <c r="H72" s="58"/>
      <c r="I72" s="58"/>
      <c r="J72" s="68" t="s">
        <v>55</v>
      </c>
      <c r="K72" s="68"/>
      <c r="L72" s="3"/>
    </row>
    <row r="73" spans="1:14" s="22" customFormat="1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3"/>
      <c r="K73" s="3"/>
      <c r="L73" s="3"/>
    </row>
    <row r="74" spans="1:14" s="22" customFormat="1" ht="16.5" customHeight="1">
      <c r="A74" s="580" t="s">
        <v>63</v>
      </c>
      <c r="B74" s="580"/>
      <c r="C74" s="580"/>
      <c r="D74" s="27"/>
      <c r="E74" s="580" t="s">
        <v>57</v>
      </c>
      <c r="F74" s="580"/>
      <c r="G74" s="580"/>
      <c r="H74" s="580"/>
      <c r="I74" s="58"/>
      <c r="J74" s="580" t="s">
        <v>58</v>
      </c>
      <c r="K74" s="580"/>
      <c r="L74" s="580"/>
      <c r="N74" s="218">
        <f>'2-5-8-2024'!B69+1.27</f>
        <v>2.1135000000000002</v>
      </c>
    </row>
    <row r="75" spans="1:14" s="3" customFormat="1" ht="16.5" customHeight="1">
      <c r="A75" s="581" t="s">
        <v>59</v>
      </c>
      <c r="B75" s="581"/>
      <c r="C75" s="581"/>
      <c r="D75" s="27"/>
      <c r="E75" s="581" t="s">
        <v>60</v>
      </c>
      <c r="F75" s="581"/>
      <c r="G75" s="581"/>
      <c r="H75" s="581"/>
      <c r="I75" s="58"/>
      <c r="J75" s="582" t="s">
        <v>61</v>
      </c>
      <c r="K75" s="582"/>
      <c r="L75" s="582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</row>
    <row r="77" spans="1:14" s="3" customFormat="1" ht="16.5" customHeight="1">
      <c r="A77" s="37"/>
      <c r="B77" s="27"/>
      <c r="C77" s="27"/>
      <c r="D77" s="27"/>
      <c r="E77" s="27"/>
      <c r="F77" s="29"/>
      <c r="G77" s="29"/>
      <c r="H77" s="29"/>
      <c r="I77" s="29"/>
      <c r="J77" s="29"/>
    </row>
    <row r="78" spans="1:14" s="3" customFormat="1" ht="16.5" customHeight="1">
      <c r="A78" s="37"/>
      <c r="B78" s="27"/>
      <c r="C78" s="27"/>
      <c r="D78" s="27"/>
      <c r="E78" s="27"/>
      <c r="F78" s="29"/>
      <c r="G78" s="29"/>
      <c r="H78" s="29"/>
      <c r="I78" s="29"/>
      <c r="J78" s="29"/>
      <c r="N78" s="3">
        <f>84.35+1.27</f>
        <v>85.61999999999999</v>
      </c>
    </row>
    <row r="79" spans="1:14" s="3" customFormat="1" ht="16.5" customHeight="1">
      <c r="A79" s="37"/>
      <c r="B79" s="27"/>
      <c r="C79" s="27"/>
      <c r="D79" s="27"/>
      <c r="E79" s="27"/>
      <c r="F79" s="30"/>
      <c r="G79" s="30"/>
      <c r="H79" s="30"/>
      <c r="I79" s="30"/>
      <c r="J79" s="30"/>
    </row>
    <row r="80" spans="1:14" s="3" customFormat="1" ht="16.5" customHeight="1">
      <c r="A80" s="37"/>
      <c r="B80" s="27"/>
      <c r="C80" s="27"/>
      <c r="D80" s="27"/>
      <c r="E80" s="27"/>
      <c r="F80" s="30"/>
      <c r="G80" s="30"/>
      <c r="H80" s="30"/>
      <c r="I80" s="30"/>
      <c r="J80" s="30"/>
    </row>
    <row r="81" spans="1:10" s="3" customFormat="1" ht="15" customHeight="1">
      <c r="A81" s="27"/>
      <c r="B81" s="27"/>
      <c r="C81" s="27"/>
      <c r="D81" s="27"/>
      <c r="E81" s="27"/>
      <c r="F81" s="29"/>
      <c r="G81" s="29"/>
      <c r="H81" s="29"/>
      <c r="I81" s="29"/>
      <c r="J81" s="29"/>
    </row>
    <row r="82" spans="1:10" s="3" customFormat="1" ht="15" customHeight="1">
      <c r="A82" s="27"/>
      <c r="B82" s="27"/>
      <c r="C82" s="27"/>
      <c r="D82" s="27"/>
      <c r="E82" s="27"/>
      <c r="F82" s="28"/>
      <c r="G82" s="28"/>
      <c r="H82" s="28"/>
      <c r="I82" s="28"/>
      <c r="J82" s="28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5" customHeight="1">
      <c r="A84" s="27"/>
      <c r="B84" s="27"/>
      <c r="C84" s="27"/>
      <c r="D84" s="27"/>
      <c r="E84" s="27"/>
      <c r="F84" s="29"/>
      <c r="G84" s="29"/>
      <c r="H84" s="29"/>
      <c r="I84" s="29"/>
      <c r="J84" s="29"/>
    </row>
    <row r="85" spans="1:10" s="3" customFormat="1" ht="15" customHeight="1">
      <c r="A85" s="27"/>
      <c r="B85" s="27"/>
      <c r="C85" s="27"/>
      <c r="D85" s="27"/>
      <c r="E85" s="27"/>
      <c r="F85" s="30"/>
      <c r="G85" s="30"/>
      <c r="H85" s="30"/>
      <c r="I85" s="30"/>
      <c r="J85" s="30"/>
    </row>
    <row r="86" spans="1:10" s="3" customFormat="1" ht="17.399999999999999">
      <c r="A86" s="27"/>
      <c r="B86" s="27"/>
      <c r="C86" s="27"/>
      <c r="D86" s="27"/>
      <c r="E86" s="27"/>
      <c r="F86" s="30"/>
      <c r="G86" s="30"/>
      <c r="H86" s="30"/>
      <c r="I86" s="30"/>
      <c r="J86" s="30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29"/>
      <c r="G92" s="29"/>
      <c r="H92" s="29"/>
      <c r="I92" s="29"/>
      <c r="J92" s="29"/>
    </row>
    <row r="93" spans="1:10" s="3" customFormat="1" ht="21.9" customHeight="1">
      <c r="A93" s="27"/>
      <c r="B93" s="27"/>
      <c r="C93" s="27"/>
      <c r="D93" s="27"/>
      <c r="E93" s="27"/>
      <c r="F93" s="29"/>
      <c r="G93" s="29"/>
      <c r="H93" s="29"/>
      <c r="I93" s="29"/>
      <c r="J93" s="29"/>
    </row>
    <row r="94" spans="1:10" s="3" customFormat="1" ht="21.9" customHeight="1">
      <c r="A94" s="27"/>
      <c r="B94" s="27"/>
      <c r="C94" s="27"/>
      <c r="D94" s="27"/>
      <c r="E94" s="27"/>
      <c r="F94" s="30"/>
      <c r="G94" s="30"/>
      <c r="H94" s="30"/>
      <c r="I94" s="30"/>
      <c r="J94" s="30"/>
    </row>
    <row r="95" spans="1:10" s="3" customFormat="1" ht="21.9" customHeight="1">
      <c r="A95" s="27"/>
      <c r="B95" s="27"/>
      <c r="C95" s="27"/>
      <c r="D95" s="27"/>
      <c r="E95" s="27"/>
      <c r="F95" s="30"/>
      <c r="G95" s="30"/>
      <c r="H95" s="30"/>
      <c r="I95" s="30"/>
      <c r="J95" s="30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29"/>
      <c r="G121" s="29"/>
      <c r="H121" s="29"/>
      <c r="I121" s="29"/>
      <c r="J121" s="29"/>
    </row>
    <row r="122" spans="1:10" s="3" customFormat="1" ht="21.9" customHeight="1">
      <c r="A122" s="27"/>
      <c r="B122" s="27"/>
      <c r="C122" s="27"/>
      <c r="D122" s="27"/>
      <c r="E122" s="27"/>
      <c r="F122" s="29"/>
      <c r="G122" s="29"/>
      <c r="H122" s="29"/>
      <c r="I122" s="29"/>
      <c r="J122" s="29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4"/>
      <c r="G124" s="4"/>
      <c r="H124" s="4"/>
      <c r="I124" s="4"/>
      <c r="J124" s="4"/>
    </row>
    <row r="125" spans="1:10" s="3" customFormat="1" ht="21.9" customHeight="1">
      <c r="A125" s="27"/>
      <c r="B125" s="27"/>
      <c r="C125" s="27"/>
      <c r="D125" s="27"/>
      <c r="E125" s="27"/>
      <c r="F125" s="4"/>
      <c r="G125" s="4"/>
      <c r="H125" s="4"/>
      <c r="I125" s="4"/>
      <c r="J125" s="4"/>
    </row>
    <row r="126" spans="1:10" s="3" customFormat="1" ht="21.9" customHeight="1">
      <c r="A126" s="27"/>
      <c r="B126" s="27"/>
      <c r="C126" s="27"/>
      <c r="D126" s="27"/>
      <c r="E126" s="27"/>
      <c r="F126" s="29"/>
      <c r="G126" s="29"/>
      <c r="H126" s="29"/>
      <c r="I126" s="29"/>
      <c r="J126" s="29"/>
    </row>
    <row r="127" spans="1:10" s="3" customFormat="1" ht="21.9" customHeight="1">
      <c r="A127" s="27"/>
      <c r="B127" s="27"/>
      <c r="C127" s="27"/>
      <c r="D127" s="27"/>
      <c r="E127" s="27"/>
      <c r="F127" s="29"/>
      <c r="G127" s="29"/>
      <c r="H127" s="29"/>
      <c r="I127" s="29"/>
      <c r="J127" s="29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4"/>
      <c r="G129" s="4"/>
      <c r="H129" s="4"/>
      <c r="I129" s="4"/>
      <c r="J129" s="4"/>
    </row>
    <row r="130" spans="1:10" s="3" customFormat="1" ht="21.9" customHeight="1">
      <c r="A130" s="27"/>
      <c r="B130" s="27"/>
      <c r="C130" s="27"/>
      <c r="D130" s="27"/>
      <c r="E130" s="27"/>
      <c r="F130" s="4"/>
      <c r="G130" s="4"/>
      <c r="H130" s="4"/>
      <c r="I130" s="4"/>
      <c r="J130" s="4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29"/>
      <c r="G132" s="29"/>
      <c r="H132" s="29"/>
      <c r="I132" s="29"/>
      <c r="J132" s="29"/>
    </row>
    <row r="133" spans="1:10" s="3" customFormat="1" ht="21.9" customHeight="1">
      <c r="A133" s="27"/>
      <c r="B133" s="27"/>
      <c r="C133" s="27"/>
      <c r="D133" s="27"/>
      <c r="E133" s="27"/>
      <c r="F133" s="29"/>
      <c r="G133" s="29"/>
      <c r="H133" s="29"/>
      <c r="I133" s="29"/>
      <c r="J133" s="29"/>
    </row>
    <row r="134" spans="1:10" s="3" customFormat="1" ht="21.9" customHeight="1">
      <c r="A134" s="27"/>
      <c r="B134" s="27"/>
      <c r="C134" s="27"/>
      <c r="D134" s="27"/>
      <c r="E134" s="27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31"/>
      <c r="G141" s="31"/>
      <c r="H141" s="31"/>
      <c r="I141" s="31"/>
      <c r="J141" s="31"/>
    </row>
    <row r="142" spans="1:10" s="3" customFormat="1" ht="21.9" customHeight="1">
      <c r="A142" s="32"/>
      <c r="B142" s="32"/>
      <c r="C142" s="32"/>
      <c r="D142" s="32"/>
      <c r="E142" s="32"/>
      <c r="F142" s="31"/>
      <c r="G142" s="31"/>
      <c r="H142" s="31"/>
      <c r="I142" s="31"/>
      <c r="J142" s="31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28"/>
      <c r="G145" s="28"/>
      <c r="H145" s="28"/>
      <c r="I145" s="28"/>
      <c r="J145" s="28"/>
    </row>
    <row r="146" spans="1:12" s="3" customFormat="1" ht="21.9" customHeight="1">
      <c r="A146" s="32"/>
      <c r="B146" s="32"/>
      <c r="C146" s="32"/>
      <c r="D146" s="32"/>
      <c r="E146" s="32"/>
      <c r="F146" s="28"/>
      <c r="G146" s="28"/>
      <c r="H146" s="28"/>
      <c r="I146" s="28"/>
      <c r="J146" s="28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31"/>
      <c r="G148" s="31"/>
      <c r="H148" s="31"/>
      <c r="I148" s="31"/>
      <c r="J148" s="31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29"/>
      <c r="G150" s="29"/>
      <c r="H150" s="29"/>
      <c r="I150" s="29"/>
      <c r="J150" s="29"/>
    </row>
    <row r="151" spans="1:12" s="3" customFormat="1" ht="21.9" customHeight="1">
      <c r="A151" s="32"/>
      <c r="B151" s="32"/>
      <c r="C151" s="32"/>
      <c r="D151" s="32"/>
      <c r="E151" s="32"/>
      <c r="F151" s="31"/>
      <c r="G151" s="31"/>
      <c r="H151" s="31"/>
      <c r="I151" s="31"/>
      <c r="J151" s="31"/>
    </row>
    <row r="152" spans="1:12" s="3" customFormat="1" ht="21.9" customHeight="1">
      <c r="A152" s="32"/>
      <c r="B152" s="32"/>
      <c r="C152" s="32"/>
      <c r="D152" s="32"/>
      <c r="E152" s="32"/>
      <c r="F152" s="31"/>
      <c r="G152" s="31"/>
      <c r="H152" s="31"/>
      <c r="I152" s="31"/>
      <c r="J152" s="31"/>
    </row>
    <row r="153" spans="1:12" s="3" customFormat="1" ht="21.9" customHeight="1">
      <c r="A153" s="32"/>
      <c r="B153" s="32"/>
      <c r="C153" s="32"/>
      <c r="D153" s="32"/>
      <c r="E153" s="32"/>
      <c r="F153" s="33"/>
      <c r="G153" s="33"/>
      <c r="H153" s="33"/>
      <c r="I153" s="33"/>
      <c r="J153" s="33"/>
    </row>
    <row r="154" spans="1:12" s="3" customFormat="1" ht="21.9" customHeight="1">
      <c r="A154" s="32"/>
      <c r="B154" s="32"/>
      <c r="C154" s="32"/>
      <c r="D154" s="32"/>
      <c r="E154" s="32"/>
      <c r="F154" s="33"/>
      <c r="G154" s="33"/>
      <c r="H154" s="33"/>
      <c r="I154" s="33"/>
      <c r="J154" s="33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4"/>
      <c r="G158" s="14"/>
      <c r="H158" s="14"/>
      <c r="I158" s="14"/>
      <c r="J158" s="14"/>
      <c r="K158" s="9"/>
      <c r="L158" s="9"/>
    </row>
    <row r="159" spans="1:12" s="3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  <c r="K159" s="9"/>
      <c r="L159" s="9"/>
    </row>
    <row r="160" spans="1:12" s="3" customFormat="1" ht="21.9" customHeight="1">
      <c r="A160" s="13"/>
      <c r="B160" s="13"/>
      <c r="C160" s="13"/>
      <c r="D160" s="13"/>
      <c r="E160" s="13"/>
      <c r="F160" s="10"/>
      <c r="G160" s="10"/>
      <c r="H160" s="10"/>
      <c r="I160" s="10"/>
      <c r="J160" s="10"/>
      <c r="K160" s="9"/>
      <c r="L160" s="9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14"/>
      <c r="G162" s="14"/>
      <c r="H162" s="14"/>
      <c r="I162" s="14"/>
      <c r="J162" s="14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8"/>
      <c r="G164" s="8"/>
      <c r="H164" s="8"/>
      <c r="I164" s="8"/>
      <c r="J164" s="8"/>
    </row>
    <row r="165" spans="1:10" s="9" customFormat="1" ht="21.9" customHeight="1">
      <c r="A165" s="13"/>
      <c r="B165" s="13"/>
      <c r="C165" s="13"/>
      <c r="D165" s="13"/>
      <c r="E165" s="13"/>
      <c r="F165" s="14"/>
      <c r="G165" s="14"/>
      <c r="H165" s="14"/>
      <c r="I165" s="14"/>
      <c r="J165" s="14"/>
    </row>
    <row r="166" spans="1:10" s="9" customFormat="1" ht="21.9" customHeight="1">
      <c r="A166" s="13"/>
      <c r="B166" s="13"/>
      <c r="C166" s="13"/>
      <c r="D166" s="13"/>
      <c r="E166" s="13"/>
      <c r="F166" s="10"/>
      <c r="G166" s="10"/>
      <c r="H166" s="10"/>
      <c r="I166" s="10"/>
      <c r="J166" s="10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2"/>
      <c r="G171" s="12"/>
      <c r="H171" s="12"/>
      <c r="I171" s="12"/>
      <c r="J171" s="12"/>
    </row>
    <row r="172" spans="1:10" s="9" customFormat="1" ht="21.9" customHeight="1">
      <c r="A172" s="13"/>
      <c r="B172" s="13"/>
      <c r="C172" s="13"/>
      <c r="D172" s="13"/>
      <c r="E172" s="13"/>
      <c r="F172" s="12"/>
      <c r="G172" s="12"/>
      <c r="H172" s="12"/>
      <c r="I172" s="12"/>
      <c r="J172" s="12"/>
    </row>
    <row r="173" spans="1:10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8"/>
      <c r="G178" s="8"/>
      <c r="H178" s="8"/>
      <c r="I178" s="8"/>
      <c r="J178" s="8"/>
    </row>
    <row r="179" spans="1:10" s="9" customFormat="1" ht="21.9" customHeight="1">
      <c r="A179" s="13"/>
      <c r="B179" s="13"/>
      <c r="C179" s="13"/>
      <c r="D179" s="13"/>
      <c r="E179" s="13"/>
      <c r="F179" s="8"/>
      <c r="G179" s="8"/>
      <c r="H179" s="8"/>
      <c r="I179" s="8"/>
      <c r="J179" s="8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0"/>
      <c r="G182" s="10"/>
      <c r="H182" s="10"/>
      <c r="I182" s="10"/>
      <c r="J182" s="10"/>
    </row>
    <row r="183" spans="1:10" s="9" customFormat="1" ht="21.9" customHeight="1">
      <c r="A183" s="13"/>
      <c r="B183" s="13"/>
      <c r="C183" s="13"/>
      <c r="D183" s="13"/>
      <c r="E183" s="13"/>
      <c r="F183" s="10"/>
      <c r="G183" s="10"/>
      <c r="H183" s="10"/>
      <c r="I183" s="10"/>
      <c r="J183" s="10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</row>
    <row r="186" spans="1:10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</row>
    <row r="187" spans="1:10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</row>
    <row r="188" spans="1:10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</row>
    <row r="189" spans="1:10" s="9" customFormat="1" ht="21.9" customHeight="1">
      <c r="A189" s="13"/>
      <c r="B189" s="13"/>
      <c r="C189" s="13"/>
      <c r="D189" s="13"/>
      <c r="E189" s="13"/>
      <c r="F189" s="12"/>
      <c r="G189" s="12"/>
      <c r="H189" s="12"/>
      <c r="I189" s="12"/>
      <c r="J189" s="12"/>
    </row>
    <row r="190" spans="1:10" s="9" customFormat="1" ht="21.9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8"/>
      <c r="G195" s="8"/>
      <c r="H195" s="8"/>
      <c r="I195" s="8"/>
      <c r="J195" s="8"/>
    </row>
    <row r="196" spans="1:10" s="9" customFormat="1" ht="21.9" customHeight="1">
      <c r="A196" s="13"/>
      <c r="B196" s="13"/>
      <c r="C196" s="13"/>
      <c r="D196" s="13"/>
      <c r="E196" s="13"/>
      <c r="F196" s="8"/>
      <c r="G196" s="8"/>
      <c r="H196" s="8"/>
      <c r="I196" s="8"/>
      <c r="J196" s="8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3"/>
      <c r="B199" s="13"/>
      <c r="C199" s="13"/>
      <c r="D199" s="13"/>
      <c r="E199" s="13"/>
      <c r="F199" s="11"/>
      <c r="G199" s="11"/>
      <c r="H199" s="11"/>
      <c r="I199" s="11"/>
      <c r="J199" s="11"/>
    </row>
    <row r="200" spans="1:10" s="9" customFormat="1" ht="21.9" customHeight="1">
      <c r="A200" s="13"/>
      <c r="B200" s="13"/>
      <c r="C200" s="13"/>
      <c r="D200" s="13"/>
      <c r="E200" s="13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1"/>
      <c r="G202" s="11"/>
      <c r="H202" s="11"/>
      <c r="I202" s="11"/>
      <c r="J202" s="11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12"/>
      <c r="G207" s="12"/>
      <c r="H207" s="12"/>
      <c r="I207" s="12"/>
      <c r="J207" s="12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8"/>
      <c r="G209" s="8"/>
      <c r="H209" s="8"/>
      <c r="I209" s="8"/>
      <c r="J209" s="8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12"/>
      <c r="G211" s="12"/>
      <c r="H211" s="12"/>
      <c r="I211" s="12"/>
      <c r="J211" s="12"/>
    </row>
    <row r="212" spans="1:10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8"/>
      <c r="G217" s="8"/>
      <c r="H217" s="8"/>
      <c r="I217" s="8"/>
      <c r="J217" s="8"/>
    </row>
    <row r="218" spans="1:10" s="9" customFormat="1" ht="21.9" customHeight="1">
      <c r="A218" s="15"/>
      <c r="B218" s="15"/>
      <c r="C218" s="15"/>
      <c r="D218" s="15"/>
      <c r="E218" s="15"/>
      <c r="F218" s="8"/>
      <c r="G218" s="8"/>
      <c r="H218" s="8"/>
      <c r="I218" s="8"/>
      <c r="J218" s="8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11"/>
      <c r="G223" s="11"/>
      <c r="H223" s="11"/>
      <c r="I223" s="11"/>
      <c r="J223" s="11"/>
    </row>
    <row r="224" spans="1:10" s="9" customFormat="1" ht="21.9" customHeight="1">
      <c r="A224" s="15"/>
      <c r="B224" s="15"/>
      <c r="C224" s="15"/>
      <c r="D224" s="15"/>
      <c r="E224" s="15"/>
      <c r="F224" s="11"/>
      <c r="G224" s="11"/>
      <c r="H224" s="11"/>
      <c r="I224" s="11"/>
      <c r="J224" s="11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</row>
    <row r="231" spans="1:10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</row>
    <row r="232" spans="1:10" s="9" customFormat="1" ht="21.9" customHeight="1">
      <c r="A232" s="6"/>
      <c r="B232" s="6"/>
      <c r="C232" s="6"/>
      <c r="D232" s="6"/>
      <c r="E232" s="6"/>
      <c r="F232" s="12"/>
      <c r="G232" s="12"/>
      <c r="H232" s="12"/>
      <c r="I232" s="12"/>
      <c r="J232" s="12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11"/>
      <c r="G234" s="11"/>
      <c r="H234" s="11"/>
      <c r="I234" s="11"/>
      <c r="J234" s="11"/>
    </row>
    <row r="235" spans="1:10" s="9" customFormat="1" ht="21.9" customHeight="1">
      <c r="A235" s="6"/>
      <c r="B235" s="6"/>
      <c r="C235" s="6"/>
      <c r="D235" s="6"/>
      <c r="E235" s="6"/>
      <c r="F235" s="12"/>
      <c r="G235" s="12"/>
      <c r="H235" s="12"/>
      <c r="I235" s="12"/>
      <c r="J235" s="12"/>
    </row>
    <row r="236" spans="1:10" s="9" customFormat="1" ht="21.9" customHeight="1">
      <c r="A236" s="6"/>
      <c r="B236" s="6"/>
      <c r="C236" s="6"/>
      <c r="D236" s="6"/>
      <c r="E236" s="6"/>
      <c r="F236" s="8"/>
      <c r="G236" s="8"/>
      <c r="H236" s="8"/>
      <c r="I236" s="8"/>
      <c r="J236" s="8"/>
    </row>
    <row r="237" spans="1:10" s="9" customFormat="1" ht="21.9" customHeight="1">
      <c r="A237" s="6"/>
      <c r="B237" s="6"/>
      <c r="C237" s="6"/>
      <c r="D237" s="6"/>
      <c r="E237" s="6"/>
      <c r="F237" s="8"/>
      <c r="G237" s="8"/>
      <c r="H237" s="8"/>
      <c r="I237" s="8"/>
      <c r="J237" s="8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2"/>
      <c r="G239" s="12"/>
      <c r="H239" s="12"/>
      <c r="I239" s="12"/>
      <c r="J239" s="12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</row>
    <row r="247" spans="1:10" s="9" customFormat="1" ht="21.9" customHeight="1">
      <c r="A247" s="6"/>
      <c r="B247" s="6"/>
      <c r="C247" s="6"/>
      <c r="D247" s="6"/>
      <c r="E247" s="6"/>
      <c r="F247" s="11"/>
      <c r="G247" s="11"/>
      <c r="H247" s="11"/>
      <c r="I247" s="11"/>
      <c r="J247" s="11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21.9" customHeight="1">
      <c r="A252" s="6"/>
      <c r="B252" s="6"/>
      <c r="C252" s="6"/>
      <c r="D252" s="6"/>
      <c r="E252" s="6"/>
      <c r="F252" s="8"/>
      <c r="G252" s="8"/>
      <c r="H252" s="8"/>
      <c r="I252" s="8"/>
      <c r="J252" s="8"/>
    </row>
    <row r="253" spans="1:10" s="9" customFormat="1" ht="21.9" customHeight="1">
      <c r="A253" s="6"/>
      <c r="B253" s="6"/>
      <c r="C253" s="6"/>
      <c r="D253" s="6"/>
      <c r="E253" s="6"/>
      <c r="F253" s="8"/>
      <c r="G253" s="8"/>
      <c r="H253" s="8"/>
      <c r="I253" s="8"/>
      <c r="J253" s="8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0"/>
      <c r="G255" s="10"/>
      <c r="H255" s="10"/>
      <c r="I255" s="10"/>
      <c r="J255" s="10"/>
    </row>
    <row r="256" spans="1:10" s="9" customFormat="1" ht="13.2">
      <c r="A256" s="6"/>
      <c r="B256" s="6"/>
      <c r="C256" s="6"/>
      <c r="D256" s="6"/>
      <c r="E256" s="6"/>
      <c r="F256" s="12"/>
      <c r="G256" s="12"/>
      <c r="H256" s="12"/>
      <c r="I256" s="12"/>
      <c r="J256" s="12"/>
    </row>
    <row r="257" spans="1:10" s="9" customFormat="1" ht="13.2">
      <c r="A257" s="6"/>
      <c r="B257" s="6"/>
      <c r="C257" s="6"/>
      <c r="D257" s="6"/>
      <c r="E257" s="6"/>
      <c r="F257" s="12"/>
      <c r="G257" s="12"/>
      <c r="H257" s="12"/>
      <c r="I257" s="12"/>
      <c r="J257" s="12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8"/>
      <c r="G260" s="8"/>
      <c r="H260" s="8"/>
      <c r="I260" s="8"/>
      <c r="J260" s="8"/>
    </row>
    <row r="261" spans="1:10" s="9" customFormat="1" ht="13.2">
      <c r="A261" s="6"/>
      <c r="B261" s="6"/>
      <c r="C261" s="6"/>
      <c r="D261" s="6"/>
      <c r="E261" s="6"/>
      <c r="F261" s="8"/>
      <c r="G261" s="8"/>
      <c r="H261" s="8"/>
      <c r="I261" s="8"/>
      <c r="J261" s="8"/>
    </row>
    <row r="262" spans="1:10" s="9" customFormat="1" ht="13.2">
      <c r="A262" s="6"/>
      <c r="B262" s="6"/>
      <c r="C262" s="6"/>
      <c r="D262" s="6"/>
      <c r="E262" s="6"/>
      <c r="F262" s="11"/>
      <c r="G262" s="11"/>
      <c r="H262" s="11"/>
      <c r="I262" s="11"/>
      <c r="J262" s="11"/>
    </row>
    <row r="263" spans="1:10" s="9" customFormat="1" ht="13.2">
      <c r="A263" s="6"/>
      <c r="B263" s="6"/>
      <c r="C263" s="6"/>
      <c r="D263" s="6"/>
      <c r="E263" s="6"/>
      <c r="F263" s="12"/>
      <c r="G263" s="12"/>
      <c r="H263" s="12"/>
      <c r="I263" s="12"/>
      <c r="J263" s="12"/>
    </row>
    <row r="264" spans="1:10" s="9" customFormat="1" ht="13.2">
      <c r="A264" s="6"/>
      <c r="B264" s="6"/>
      <c r="C264" s="6"/>
      <c r="D264" s="6"/>
      <c r="E264" s="6"/>
      <c r="F264" s="10"/>
      <c r="G264" s="10"/>
      <c r="H264" s="10"/>
      <c r="I264" s="10"/>
      <c r="J264" s="10"/>
    </row>
    <row r="265" spans="1:10" s="9" customFormat="1" ht="13.2">
      <c r="A265" s="6"/>
      <c r="B265" s="6"/>
      <c r="C265" s="6"/>
      <c r="D265" s="6"/>
      <c r="E265" s="6"/>
      <c r="F265" s="11"/>
      <c r="G265" s="11"/>
      <c r="H265" s="11"/>
      <c r="I265" s="11"/>
      <c r="J265" s="11"/>
    </row>
    <row r="266" spans="1:10" s="9" customFormat="1" ht="13.2">
      <c r="A266" s="6"/>
      <c r="B266" s="6"/>
      <c r="C266" s="6"/>
      <c r="D266" s="6"/>
      <c r="E266" s="6"/>
      <c r="F266" s="8"/>
      <c r="G266" s="8"/>
      <c r="H266" s="8"/>
      <c r="I266" s="8"/>
      <c r="J266" s="8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7"/>
      <c r="G269" s="7"/>
      <c r="H269" s="7"/>
      <c r="I269" s="7"/>
      <c r="J269" s="7"/>
    </row>
    <row r="270" spans="1:10" s="9" customFormat="1" ht="13.2">
      <c r="A270" s="6"/>
      <c r="B270" s="6"/>
      <c r="C270" s="6"/>
      <c r="D270" s="6"/>
      <c r="E270" s="6"/>
      <c r="F270" s="7"/>
      <c r="G270" s="7"/>
      <c r="H270" s="7"/>
      <c r="I270" s="7"/>
      <c r="J270" s="7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</row>
    <row r="278" spans="1:10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11"/>
      <c r="G280" s="11"/>
      <c r="H280" s="11"/>
      <c r="I280" s="11"/>
      <c r="J280" s="11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12"/>
      <c r="G283" s="12"/>
      <c r="H283" s="12"/>
      <c r="I283" s="12"/>
      <c r="J283" s="12"/>
    </row>
    <row r="284" spans="1:10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12"/>
      <c r="G286" s="12"/>
      <c r="H286" s="12"/>
      <c r="I286" s="12"/>
      <c r="J286" s="12"/>
    </row>
    <row r="287" spans="1:10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11"/>
      <c r="G289" s="11"/>
      <c r="H289" s="11"/>
      <c r="I289" s="11"/>
      <c r="J289" s="11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11"/>
      <c r="G293" s="11"/>
      <c r="H293" s="11"/>
      <c r="I293" s="11"/>
      <c r="J293" s="11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</row>
    <row r="299" spans="1:10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</row>
    <row r="300" spans="1:10" s="9" customFormat="1" ht="13.2">
      <c r="A300" s="6"/>
      <c r="B300" s="6"/>
      <c r="C300" s="6"/>
      <c r="D300" s="6"/>
      <c r="E300" s="6"/>
      <c r="F300" s="10"/>
      <c r="G300" s="10"/>
      <c r="H300" s="10"/>
      <c r="I300" s="10"/>
      <c r="J300" s="10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11"/>
      <c r="G303" s="11"/>
      <c r="H303" s="11"/>
      <c r="I303" s="11"/>
      <c r="J303" s="11"/>
    </row>
    <row r="304" spans="1:10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</row>
    <row r="305" spans="1:10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</row>
    <row r="306" spans="1:10" s="9" customFormat="1" ht="13.2">
      <c r="A306" s="6"/>
      <c r="B306" s="6"/>
      <c r="C306" s="6"/>
      <c r="D306" s="6"/>
      <c r="E306" s="6"/>
      <c r="F306" s="11"/>
      <c r="G306" s="11"/>
      <c r="H306" s="11"/>
      <c r="I306" s="11"/>
      <c r="J306" s="11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 s="9" customFormat="1" ht="13.2">
      <c r="A309" s="6"/>
      <c r="B309" s="6"/>
      <c r="C309" s="6"/>
      <c r="D309" s="6"/>
      <c r="E309" s="6"/>
      <c r="F309" s="11"/>
      <c r="G309" s="11"/>
      <c r="H309" s="11"/>
      <c r="I309" s="11"/>
      <c r="J309" s="11"/>
    </row>
    <row r="310" spans="1:10" s="9" customFormat="1" ht="13.2">
      <c r="A310" s="6"/>
      <c r="B310" s="6"/>
      <c r="C310" s="6"/>
      <c r="D310" s="6"/>
      <c r="E310" s="6"/>
      <c r="F310" s="11"/>
      <c r="G310" s="11"/>
      <c r="H310" s="11"/>
      <c r="I310" s="11"/>
      <c r="J310" s="11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</row>
    <row r="315" spans="1:10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</row>
    <row r="316" spans="1:10" s="9" customFormat="1" ht="13.2">
      <c r="A316" s="6"/>
      <c r="B316" s="6"/>
      <c r="C316" s="6"/>
      <c r="D316" s="6"/>
      <c r="E316" s="6"/>
      <c r="F316" s="7"/>
      <c r="G316" s="7"/>
      <c r="H316" s="7"/>
      <c r="I316" s="7"/>
      <c r="J316" s="7"/>
    </row>
    <row r="317" spans="1:10" s="9" customFormat="1" ht="13.2">
      <c r="A317" s="6"/>
      <c r="B317" s="6"/>
      <c r="C317" s="6"/>
      <c r="D317" s="6"/>
      <c r="E317" s="6"/>
      <c r="F317" s="7"/>
      <c r="G317" s="7"/>
      <c r="H317" s="7"/>
      <c r="I317" s="7"/>
      <c r="J317" s="7"/>
    </row>
    <row r="318" spans="1:10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</row>
    <row r="319" spans="1:10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8"/>
      <c r="G321" s="8"/>
      <c r="H321" s="8"/>
      <c r="I321" s="8"/>
      <c r="J321" s="8"/>
    </row>
    <row r="322" spans="1:10" s="9" customFormat="1" ht="13.2">
      <c r="A322" s="6"/>
      <c r="B322" s="6"/>
      <c r="C322" s="6"/>
      <c r="D322" s="6"/>
      <c r="E322" s="6"/>
      <c r="F322" s="7"/>
      <c r="G322" s="7"/>
      <c r="H322" s="7"/>
      <c r="I322" s="7"/>
      <c r="J322" s="7"/>
    </row>
    <row r="323" spans="1:10" s="9" customFormat="1" ht="13.2">
      <c r="A323" s="6"/>
      <c r="B323" s="6"/>
      <c r="C323" s="6"/>
      <c r="D323" s="6"/>
      <c r="E323" s="6"/>
      <c r="F323" s="7"/>
      <c r="G323" s="7"/>
      <c r="H323" s="7"/>
      <c r="I323" s="7"/>
      <c r="J323" s="7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</row>
    <row r="330" spans="1:10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</row>
    <row r="331" spans="1:10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</row>
    <row r="332" spans="1:10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</row>
    <row r="359" spans="1:10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10"/>
      <c r="G361" s="10"/>
      <c r="H361" s="10"/>
      <c r="I361" s="10"/>
      <c r="J361" s="10"/>
    </row>
    <row r="362" spans="1:10" s="9" customFormat="1" ht="13.2">
      <c r="A362" s="6"/>
      <c r="B362" s="6"/>
      <c r="C362" s="6"/>
      <c r="D362" s="6"/>
      <c r="E362" s="6"/>
      <c r="F362" s="10"/>
      <c r="G362" s="10"/>
      <c r="H362" s="10"/>
      <c r="I362" s="10"/>
      <c r="J362" s="10"/>
    </row>
    <row r="363" spans="1:10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</row>
    <row r="364" spans="1:10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10"/>
      <c r="G366" s="10"/>
      <c r="H366" s="10"/>
      <c r="I366" s="10"/>
      <c r="J366" s="10"/>
    </row>
    <row r="367" spans="1:10" s="9" customFormat="1" ht="13.2">
      <c r="A367" s="6"/>
      <c r="B367" s="6"/>
      <c r="C367" s="6"/>
      <c r="D367" s="6"/>
      <c r="E367" s="6"/>
      <c r="F367" s="10"/>
      <c r="G367" s="10"/>
      <c r="H367" s="10"/>
      <c r="I367" s="10"/>
      <c r="J367" s="10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</row>
    <row r="370" spans="1:10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</row>
    <row r="371" spans="1:10" s="9" customFormat="1" ht="13.2">
      <c r="A371" s="6"/>
      <c r="B371" s="6"/>
      <c r="C371" s="6"/>
      <c r="D371" s="6"/>
      <c r="E371" s="6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2"/>
      <c r="G378" s="12"/>
      <c r="H378" s="12"/>
      <c r="I378" s="12"/>
      <c r="J378" s="12"/>
    </row>
    <row r="379" spans="1:10" s="9" customFormat="1" ht="13.2">
      <c r="A379" s="13"/>
      <c r="B379" s="13"/>
      <c r="C379" s="13"/>
      <c r="D379" s="13"/>
      <c r="E379" s="13"/>
      <c r="F379" s="12"/>
      <c r="G379" s="12"/>
      <c r="H379" s="12"/>
      <c r="I379" s="12"/>
      <c r="J379" s="12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1"/>
      <c r="G382" s="11"/>
      <c r="H382" s="11"/>
      <c r="I382" s="11"/>
      <c r="J382" s="11"/>
    </row>
    <row r="383" spans="1:10" s="9" customFormat="1" ht="13.2">
      <c r="A383" s="13"/>
      <c r="B383" s="13"/>
      <c r="C383" s="13"/>
      <c r="D383" s="13"/>
      <c r="E383" s="13"/>
      <c r="F383" s="11"/>
      <c r="G383" s="11"/>
      <c r="H383" s="11"/>
      <c r="I383" s="11"/>
      <c r="J383" s="11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8"/>
      <c r="G387" s="8"/>
      <c r="H387" s="8"/>
      <c r="I387" s="8"/>
      <c r="J387" s="8"/>
    </row>
    <row r="388" spans="1:10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</row>
    <row r="389" spans="1:10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4"/>
      <c r="G395" s="14"/>
      <c r="H395" s="14"/>
      <c r="I395" s="14"/>
      <c r="J395" s="14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0"/>
      <c r="G397" s="10"/>
      <c r="H397" s="10"/>
      <c r="I397" s="10"/>
      <c r="J397" s="10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14"/>
      <c r="G399" s="14"/>
      <c r="H399" s="14"/>
      <c r="I399" s="14"/>
      <c r="J399" s="14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8"/>
      <c r="G401" s="8"/>
      <c r="H401" s="8"/>
      <c r="I401" s="8"/>
      <c r="J401" s="8"/>
    </row>
    <row r="402" spans="1:10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</row>
    <row r="403" spans="1:10" s="9" customFormat="1" ht="13.2">
      <c r="A403" s="13"/>
      <c r="B403" s="13"/>
      <c r="C403" s="13"/>
      <c r="D403" s="13"/>
      <c r="E403" s="13"/>
      <c r="F403" s="10"/>
      <c r="G403" s="10"/>
      <c r="H403" s="10"/>
      <c r="I403" s="10"/>
      <c r="J403" s="10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2"/>
      <c r="G408" s="12"/>
      <c r="H408" s="12"/>
      <c r="I408" s="12"/>
      <c r="J408" s="12"/>
    </row>
    <row r="409" spans="1:10" s="9" customFormat="1" ht="13.2">
      <c r="A409" s="13"/>
      <c r="B409" s="13"/>
      <c r="C409" s="13"/>
      <c r="D409" s="13"/>
      <c r="E409" s="13"/>
      <c r="F409" s="12"/>
      <c r="G409" s="12"/>
      <c r="H409" s="12"/>
      <c r="I409" s="12"/>
      <c r="J409" s="12"/>
    </row>
    <row r="410" spans="1:10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</row>
    <row r="416" spans="1:10" s="9" customFormat="1" ht="13.2">
      <c r="A416" s="13"/>
      <c r="B416" s="13"/>
      <c r="C416" s="13"/>
      <c r="D416" s="13"/>
      <c r="E416" s="13"/>
      <c r="F416" s="8"/>
      <c r="G416" s="8"/>
      <c r="H416" s="8"/>
      <c r="I416" s="8"/>
      <c r="J416" s="8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0"/>
      <c r="G419" s="10"/>
      <c r="H419" s="10"/>
      <c r="I419" s="10"/>
      <c r="J419" s="10"/>
    </row>
    <row r="420" spans="1:10" s="9" customFormat="1" ht="13.2">
      <c r="A420" s="13"/>
      <c r="B420" s="13"/>
      <c r="C420" s="13"/>
      <c r="D420" s="13"/>
      <c r="E420" s="13"/>
      <c r="F420" s="10"/>
      <c r="G420" s="10"/>
      <c r="H420" s="10"/>
      <c r="I420" s="10"/>
      <c r="J420" s="10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</row>
    <row r="423" spans="1:10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</row>
    <row r="424" spans="1:10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</row>
    <row r="425" spans="1:10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</row>
    <row r="426" spans="1:10" s="9" customFormat="1" ht="13.2">
      <c r="A426" s="13"/>
      <c r="B426" s="13"/>
      <c r="C426" s="13"/>
      <c r="D426" s="13"/>
      <c r="E426" s="13"/>
      <c r="F426" s="12"/>
      <c r="G426" s="12"/>
      <c r="H426" s="12"/>
      <c r="I426" s="12"/>
      <c r="J426" s="12"/>
    </row>
    <row r="427" spans="1:10" s="9" customFormat="1" ht="13.2">
      <c r="A427" s="13"/>
      <c r="B427" s="13"/>
      <c r="C427" s="13"/>
      <c r="D427" s="13"/>
      <c r="E427" s="13"/>
      <c r="F427" s="12"/>
      <c r="G427" s="12"/>
      <c r="H427" s="12"/>
      <c r="I427" s="12"/>
      <c r="J427" s="12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8"/>
      <c r="G432" s="8"/>
      <c r="H432" s="8"/>
      <c r="I432" s="8"/>
      <c r="J432" s="8"/>
    </row>
    <row r="433" spans="1:10" s="9" customFormat="1" ht="13.2">
      <c r="A433" s="13"/>
      <c r="B433" s="13"/>
      <c r="C433" s="13"/>
      <c r="D433" s="13"/>
      <c r="E433" s="13"/>
      <c r="F433" s="8"/>
      <c r="G433" s="8"/>
      <c r="H433" s="8"/>
      <c r="I433" s="8"/>
      <c r="J433" s="8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3"/>
      <c r="B436" s="13"/>
      <c r="C436" s="13"/>
      <c r="D436" s="13"/>
      <c r="E436" s="13"/>
      <c r="F436" s="11"/>
      <c r="G436" s="11"/>
      <c r="H436" s="11"/>
      <c r="I436" s="11"/>
      <c r="J436" s="11"/>
    </row>
    <row r="437" spans="1:10" s="9" customFormat="1" ht="13.2">
      <c r="A437" s="13"/>
      <c r="B437" s="13"/>
      <c r="C437" s="13"/>
      <c r="D437" s="13"/>
      <c r="E437" s="13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1"/>
      <c r="G439" s="11"/>
      <c r="H439" s="11"/>
      <c r="I439" s="11"/>
      <c r="J439" s="11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12"/>
      <c r="G444" s="12"/>
      <c r="H444" s="12"/>
      <c r="I444" s="12"/>
      <c r="J444" s="12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8"/>
      <c r="G446" s="8"/>
      <c r="H446" s="8"/>
      <c r="I446" s="8"/>
      <c r="J446" s="8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12"/>
      <c r="G448" s="12"/>
      <c r="H448" s="12"/>
      <c r="I448" s="12"/>
      <c r="J448" s="12"/>
    </row>
    <row r="449" spans="1:10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8"/>
      <c r="G454" s="8"/>
      <c r="H454" s="8"/>
      <c r="I454" s="8"/>
      <c r="J454" s="8"/>
    </row>
    <row r="455" spans="1:10" s="9" customFormat="1" ht="13.2">
      <c r="A455" s="15"/>
      <c r="B455" s="15"/>
      <c r="C455" s="15"/>
      <c r="D455" s="15"/>
      <c r="E455" s="15"/>
      <c r="F455" s="8"/>
      <c r="G455" s="8"/>
      <c r="H455" s="8"/>
      <c r="I455" s="8"/>
      <c r="J455" s="8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11"/>
      <c r="G460" s="11"/>
      <c r="H460" s="11"/>
      <c r="I460" s="11"/>
      <c r="J460" s="11"/>
    </row>
    <row r="461" spans="1:10" s="9" customFormat="1" ht="13.2">
      <c r="A461" s="15"/>
      <c r="B461" s="15"/>
      <c r="C461" s="15"/>
      <c r="D461" s="15"/>
      <c r="E461" s="15"/>
      <c r="F461" s="11"/>
      <c r="G461" s="11"/>
      <c r="H461" s="11"/>
      <c r="I461" s="11"/>
      <c r="J461" s="11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</row>
    <row r="468" spans="1:10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</row>
    <row r="469" spans="1:10" s="9" customFormat="1" ht="13.2">
      <c r="A469" s="6"/>
      <c r="B469" s="6"/>
      <c r="C469" s="6"/>
      <c r="D469" s="6"/>
      <c r="E469" s="6"/>
      <c r="F469" s="12"/>
      <c r="G469" s="12"/>
      <c r="H469" s="12"/>
      <c r="I469" s="12"/>
      <c r="J469" s="12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11"/>
      <c r="G471" s="11"/>
      <c r="H471" s="11"/>
      <c r="I471" s="11"/>
      <c r="J471" s="11"/>
    </row>
    <row r="472" spans="1:10" s="9" customFormat="1" ht="13.2">
      <c r="A472" s="6"/>
      <c r="B472" s="6"/>
      <c r="C472" s="6"/>
      <c r="D472" s="6"/>
      <c r="E472" s="6"/>
      <c r="F472" s="12"/>
      <c r="G472" s="12"/>
      <c r="H472" s="12"/>
      <c r="I472" s="12"/>
      <c r="J472" s="12"/>
    </row>
    <row r="473" spans="1:10" s="9" customFormat="1" ht="13.2">
      <c r="A473" s="6"/>
      <c r="B473" s="6"/>
      <c r="C473" s="6"/>
      <c r="D473" s="6"/>
      <c r="E473" s="6"/>
      <c r="F473" s="8"/>
      <c r="G473" s="8"/>
      <c r="H473" s="8"/>
      <c r="I473" s="8"/>
      <c r="J473" s="8"/>
    </row>
    <row r="474" spans="1:10" s="9" customFormat="1" ht="13.2">
      <c r="A474" s="6"/>
      <c r="B474" s="6"/>
      <c r="C474" s="6"/>
      <c r="D474" s="6"/>
      <c r="E474" s="6"/>
      <c r="F474" s="8"/>
      <c r="G474" s="8"/>
      <c r="H474" s="8"/>
      <c r="I474" s="8"/>
      <c r="J474" s="8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2"/>
      <c r="G476" s="12"/>
      <c r="H476" s="12"/>
      <c r="I476" s="12"/>
      <c r="J476" s="12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</row>
    <row r="484" spans="1:10" s="9" customFormat="1" ht="13.2">
      <c r="A484" s="6"/>
      <c r="B484" s="6"/>
      <c r="C484" s="6"/>
      <c r="D484" s="6"/>
      <c r="E484" s="6"/>
      <c r="F484" s="11"/>
      <c r="G484" s="11"/>
      <c r="H484" s="11"/>
      <c r="I484" s="11"/>
      <c r="J484" s="11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8"/>
      <c r="G489" s="8"/>
      <c r="H489" s="8"/>
      <c r="I489" s="8"/>
      <c r="J489" s="8"/>
    </row>
    <row r="490" spans="1:10" s="9" customFormat="1" ht="13.2">
      <c r="A490" s="6"/>
      <c r="B490" s="6"/>
      <c r="C490" s="6"/>
      <c r="D490" s="6"/>
      <c r="E490" s="6"/>
      <c r="F490" s="8"/>
      <c r="G490" s="8"/>
      <c r="H490" s="8"/>
      <c r="I490" s="8"/>
      <c r="J490" s="8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0"/>
      <c r="G492" s="10"/>
      <c r="H492" s="10"/>
      <c r="I492" s="10"/>
      <c r="J492" s="10"/>
    </row>
    <row r="493" spans="1:10" s="9" customFormat="1" ht="13.2">
      <c r="A493" s="6"/>
      <c r="B493" s="6"/>
      <c r="C493" s="6"/>
      <c r="D493" s="6"/>
      <c r="E493" s="6"/>
      <c r="F493" s="12"/>
      <c r="G493" s="12"/>
      <c r="H493" s="12"/>
      <c r="I493" s="12"/>
      <c r="J493" s="12"/>
    </row>
    <row r="494" spans="1:10" s="9" customFormat="1" ht="13.2">
      <c r="A494" s="6"/>
      <c r="B494" s="6"/>
      <c r="C494" s="6"/>
      <c r="D494" s="6"/>
      <c r="E494" s="6"/>
      <c r="F494" s="12"/>
      <c r="G494" s="12"/>
      <c r="H494" s="12"/>
      <c r="I494" s="12"/>
      <c r="J494" s="12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</row>
    <row r="498" spans="1:10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</row>
    <row r="499" spans="1:10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</row>
    <row r="500" spans="1:10" s="9" customFormat="1" ht="13.2">
      <c r="A500" s="6"/>
      <c r="B500" s="6"/>
      <c r="C500" s="6"/>
      <c r="D500" s="6"/>
      <c r="E500" s="6"/>
      <c r="F500" s="12"/>
      <c r="G500" s="12"/>
      <c r="H500" s="12"/>
      <c r="I500" s="12"/>
      <c r="J500" s="12"/>
    </row>
    <row r="501" spans="1:10" s="9" customFormat="1" ht="13.2">
      <c r="A501" s="6"/>
      <c r="B501" s="6"/>
      <c r="C501" s="6"/>
      <c r="D501" s="6"/>
      <c r="E501" s="6"/>
      <c r="F501" s="10"/>
      <c r="G501" s="10"/>
      <c r="H501" s="10"/>
      <c r="I501" s="10"/>
      <c r="J501" s="10"/>
    </row>
    <row r="502" spans="1:10" s="9" customFormat="1" ht="13.2">
      <c r="A502" s="6"/>
      <c r="B502" s="6"/>
      <c r="C502" s="6"/>
      <c r="D502" s="6"/>
      <c r="E502" s="6"/>
      <c r="F502" s="11"/>
      <c r="G502" s="11"/>
      <c r="H502" s="11"/>
      <c r="I502" s="11"/>
      <c r="J502" s="11"/>
    </row>
    <row r="503" spans="1:10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7"/>
      <c r="G506" s="7"/>
      <c r="H506" s="7"/>
      <c r="I506" s="7"/>
      <c r="J506" s="7"/>
    </row>
    <row r="507" spans="1:10" s="9" customFormat="1" ht="13.2">
      <c r="A507" s="6"/>
      <c r="B507" s="6"/>
      <c r="C507" s="6"/>
      <c r="D507" s="6"/>
      <c r="E507" s="6"/>
      <c r="F507" s="7"/>
      <c r="G507" s="7"/>
      <c r="H507" s="7"/>
      <c r="I507" s="7"/>
      <c r="J507" s="7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</row>
    <row r="515" spans="1:10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11"/>
      <c r="G517" s="11"/>
      <c r="H517" s="11"/>
      <c r="I517" s="11"/>
      <c r="J517" s="11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12"/>
      <c r="G520" s="12"/>
      <c r="H520" s="12"/>
      <c r="I520" s="12"/>
      <c r="J520" s="12"/>
    </row>
    <row r="521" spans="1:10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12"/>
      <c r="G523" s="12"/>
      <c r="H523" s="12"/>
      <c r="I523" s="12"/>
      <c r="J523" s="12"/>
    </row>
    <row r="524" spans="1:10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11"/>
      <c r="G526" s="11"/>
      <c r="H526" s="11"/>
      <c r="I526" s="11"/>
      <c r="J526" s="11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11"/>
      <c r="G530" s="11"/>
      <c r="H530" s="11"/>
      <c r="I530" s="11"/>
      <c r="J530" s="11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</row>
    <row r="536" spans="1:10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</row>
    <row r="537" spans="1:10" s="9" customFormat="1" ht="13.2">
      <c r="A537" s="6"/>
      <c r="B537" s="6"/>
      <c r="C537" s="6"/>
      <c r="D537" s="6"/>
      <c r="E537" s="6"/>
      <c r="F537" s="10"/>
      <c r="G537" s="10"/>
      <c r="H537" s="10"/>
      <c r="I537" s="10"/>
      <c r="J537" s="10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11"/>
      <c r="G540" s="11"/>
      <c r="H540" s="11"/>
      <c r="I540" s="11"/>
      <c r="J540" s="11"/>
    </row>
    <row r="541" spans="1:10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</row>
    <row r="542" spans="1:10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</row>
    <row r="543" spans="1:10" s="9" customFormat="1" ht="13.2">
      <c r="A543" s="6"/>
      <c r="B543" s="6"/>
      <c r="C543" s="6"/>
      <c r="D543" s="6"/>
      <c r="E543" s="6"/>
      <c r="F543" s="11"/>
      <c r="G543" s="11"/>
      <c r="H543" s="11"/>
      <c r="I543" s="11"/>
      <c r="J543" s="11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spans="1:10" s="9" customFormat="1" ht="13.2">
      <c r="A546" s="6"/>
      <c r="B546" s="6"/>
      <c r="C546" s="6"/>
      <c r="D546" s="6"/>
      <c r="E546" s="6"/>
      <c r="F546" s="11"/>
      <c r="G546" s="11"/>
      <c r="H546" s="11"/>
      <c r="I546" s="11"/>
      <c r="J546" s="11"/>
    </row>
    <row r="547" spans="1:10" s="9" customFormat="1" ht="13.2">
      <c r="A547" s="6"/>
      <c r="B547" s="6"/>
      <c r="C547" s="6"/>
      <c r="D547" s="6"/>
      <c r="E547" s="6"/>
      <c r="F547" s="11"/>
      <c r="G547" s="11"/>
      <c r="H547" s="11"/>
      <c r="I547" s="11"/>
      <c r="J547" s="11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</row>
    <row r="552" spans="1:10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</row>
    <row r="553" spans="1:10" s="9" customFormat="1" ht="13.2">
      <c r="A553" s="6"/>
      <c r="B553" s="6"/>
      <c r="C553" s="6"/>
      <c r="D553" s="6"/>
      <c r="E553" s="6"/>
      <c r="F553" s="7"/>
      <c r="G553" s="7"/>
      <c r="H553" s="7"/>
      <c r="I553" s="7"/>
      <c r="J553" s="7"/>
    </row>
    <row r="554" spans="1:10" s="9" customFormat="1" ht="13.2">
      <c r="A554" s="6"/>
      <c r="B554" s="6"/>
      <c r="C554" s="6"/>
      <c r="D554" s="6"/>
      <c r="E554" s="6"/>
      <c r="F554" s="7"/>
      <c r="G554" s="7"/>
      <c r="H554" s="7"/>
      <c r="I554" s="7"/>
      <c r="J554" s="7"/>
    </row>
    <row r="555" spans="1:10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</row>
    <row r="556" spans="1:10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8"/>
      <c r="G558" s="8"/>
      <c r="H558" s="8"/>
      <c r="I558" s="8"/>
      <c r="J558" s="8"/>
    </row>
    <row r="559" spans="1:10" s="9" customFormat="1" ht="13.2">
      <c r="A559" s="6"/>
      <c r="B559" s="6"/>
      <c r="C559" s="6"/>
      <c r="D559" s="6"/>
      <c r="E559" s="6"/>
      <c r="F559" s="7"/>
      <c r="G559" s="7"/>
      <c r="H559" s="7"/>
      <c r="I559" s="7"/>
      <c r="J559" s="7"/>
    </row>
    <row r="560" spans="1:10" s="9" customFormat="1" ht="13.2">
      <c r="A560" s="6"/>
      <c r="B560" s="6"/>
      <c r="C560" s="6"/>
      <c r="D560" s="6"/>
      <c r="E560" s="6"/>
      <c r="F560" s="7"/>
      <c r="G560" s="7"/>
      <c r="H560" s="7"/>
      <c r="I560" s="7"/>
      <c r="J560" s="7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</row>
    <row r="567" spans="1:10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</row>
    <row r="568" spans="1:10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</row>
    <row r="569" spans="1:10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</row>
    <row r="596" spans="1:10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10"/>
      <c r="G598" s="10"/>
      <c r="H598" s="10"/>
      <c r="I598" s="10"/>
      <c r="J598" s="10"/>
    </row>
    <row r="599" spans="1:10" s="9" customFormat="1" ht="13.2">
      <c r="A599" s="6"/>
      <c r="B599" s="6"/>
      <c r="C599" s="6"/>
      <c r="D599" s="6"/>
      <c r="E599" s="6"/>
      <c r="F599" s="10"/>
      <c r="G599" s="10"/>
      <c r="H599" s="10"/>
      <c r="I599" s="10"/>
      <c r="J599" s="10"/>
    </row>
    <row r="600" spans="1:10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</row>
    <row r="601" spans="1:10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10"/>
      <c r="G603" s="10"/>
      <c r="H603" s="10"/>
      <c r="I603" s="10"/>
      <c r="J603" s="10"/>
    </row>
    <row r="604" spans="1:10" s="9" customFormat="1" ht="13.2">
      <c r="A604" s="6"/>
      <c r="B604" s="6"/>
      <c r="C604" s="6"/>
      <c r="D604" s="6"/>
      <c r="E604" s="6"/>
      <c r="F604" s="10"/>
      <c r="G604" s="10"/>
      <c r="H604" s="10"/>
      <c r="I604" s="10"/>
      <c r="J604" s="10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</row>
    <row r="607" spans="1:10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 ht="13.2">
      <c r="A613" s="6"/>
      <c r="B613" s="6"/>
      <c r="C613" s="6"/>
      <c r="D613" s="6"/>
      <c r="E613" s="6"/>
      <c r="F613" s="12"/>
      <c r="G613" s="12"/>
      <c r="H613" s="12"/>
      <c r="I613" s="12"/>
      <c r="J613" s="12"/>
    </row>
    <row r="614" spans="1:12" s="9" customFormat="1" ht="13.2">
      <c r="A614" s="6"/>
      <c r="B614" s="6"/>
      <c r="C614" s="6"/>
      <c r="D614" s="6"/>
      <c r="E614" s="6"/>
      <c r="F614" s="12"/>
      <c r="G614" s="12"/>
      <c r="H614" s="12"/>
      <c r="I614" s="12"/>
      <c r="J614" s="12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s="9" customForma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s="9" customForma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</sheetData>
  <mergeCells count="131">
    <mergeCell ref="A10:A11"/>
    <mergeCell ref="B10:F11"/>
    <mergeCell ref="G10:I11"/>
    <mergeCell ref="J10:K10"/>
    <mergeCell ref="L10:L11"/>
    <mergeCell ref="B3:H3"/>
    <mergeCell ref="K3:L3"/>
    <mergeCell ref="B4:H4"/>
    <mergeCell ref="K4:L4"/>
    <mergeCell ref="B5:H5"/>
    <mergeCell ref="K5:L5"/>
    <mergeCell ref="B12:F12"/>
    <mergeCell ref="G12:I12"/>
    <mergeCell ref="B13:F13"/>
    <mergeCell ref="G13:I13"/>
    <mergeCell ref="B14:F14"/>
    <mergeCell ref="G14:I14"/>
    <mergeCell ref="K6:L6"/>
    <mergeCell ref="B7:H7"/>
    <mergeCell ref="K9:L9"/>
    <mergeCell ref="B18:F18"/>
    <mergeCell ref="G18:I18"/>
    <mergeCell ref="B19:F19"/>
    <mergeCell ref="G19:I19"/>
    <mergeCell ref="B20:F20"/>
    <mergeCell ref="G20:I20"/>
    <mergeCell ref="B15:F15"/>
    <mergeCell ref="G15:I15"/>
    <mergeCell ref="B16:F16"/>
    <mergeCell ref="G16:I16"/>
    <mergeCell ref="B17:F17"/>
    <mergeCell ref="G17:I17"/>
    <mergeCell ref="B24:F24"/>
    <mergeCell ref="G24:I24"/>
    <mergeCell ref="B25:F25"/>
    <mergeCell ref="G25:I25"/>
    <mergeCell ref="B26:F26"/>
    <mergeCell ref="G26:I26"/>
    <mergeCell ref="B21:F21"/>
    <mergeCell ref="G21:I21"/>
    <mergeCell ref="B22:F22"/>
    <mergeCell ref="G22:I22"/>
    <mergeCell ref="B23:F23"/>
    <mergeCell ref="G23:I23"/>
    <mergeCell ref="B30:F30"/>
    <mergeCell ref="G30:I30"/>
    <mergeCell ref="B31:F31"/>
    <mergeCell ref="G31:I31"/>
    <mergeCell ref="B32:F32"/>
    <mergeCell ref="G32:I32"/>
    <mergeCell ref="B27:F27"/>
    <mergeCell ref="G27:I27"/>
    <mergeCell ref="B28:F28"/>
    <mergeCell ref="G28:I28"/>
    <mergeCell ref="B29:F29"/>
    <mergeCell ref="G29:I29"/>
    <mergeCell ref="B38:F38"/>
    <mergeCell ref="G38:H38"/>
    <mergeCell ref="B39:F39"/>
    <mergeCell ref="G39:H39"/>
    <mergeCell ref="B40:F40"/>
    <mergeCell ref="G40:I40"/>
    <mergeCell ref="B33:F33"/>
    <mergeCell ref="B35:F35"/>
    <mergeCell ref="G35:H35"/>
    <mergeCell ref="B36:F36"/>
    <mergeCell ref="G36:H36"/>
    <mergeCell ref="B37:F37"/>
    <mergeCell ref="G37:H37"/>
    <mergeCell ref="A45:F45"/>
    <mergeCell ref="H45:L45"/>
    <mergeCell ref="A46:F46"/>
    <mergeCell ref="H46:L46"/>
    <mergeCell ref="A47:F47"/>
    <mergeCell ref="H47:L47"/>
    <mergeCell ref="A42:F42"/>
    <mergeCell ref="H42:L42"/>
    <mergeCell ref="A43:F43"/>
    <mergeCell ref="H43:L43"/>
    <mergeCell ref="A44:F44"/>
    <mergeCell ref="H44:L44"/>
    <mergeCell ref="A51:F51"/>
    <mergeCell ref="H51:L51"/>
    <mergeCell ref="A52:F52"/>
    <mergeCell ref="H52:L52"/>
    <mergeCell ref="H53:J53"/>
    <mergeCell ref="K53:L53"/>
    <mergeCell ref="A48:F48"/>
    <mergeCell ref="H48:L48"/>
    <mergeCell ref="A49:F49"/>
    <mergeCell ref="H49:L49"/>
    <mergeCell ref="A50:F50"/>
    <mergeCell ref="H50:L50"/>
    <mergeCell ref="A57:F57"/>
    <mergeCell ref="H57:I57"/>
    <mergeCell ref="A58:F58"/>
    <mergeCell ref="H58:I58"/>
    <mergeCell ref="A59:F59"/>
    <mergeCell ref="H59:I59"/>
    <mergeCell ref="A54:F54"/>
    <mergeCell ref="H54:I54"/>
    <mergeCell ref="A55:F55"/>
    <mergeCell ref="H55:I55"/>
    <mergeCell ref="A56:F56"/>
    <mergeCell ref="H56:I56"/>
    <mergeCell ref="A63:F63"/>
    <mergeCell ref="H63:I63"/>
    <mergeCell ref="A64:F64"/>
    <mergeCell ref="H64:I64"/>
    <mergeCell ref="B68:C68"/>
    <mergeCell ref="D68:E68"/>
    <mergeCell ref="F68:G68"/>
    <mergeCell ref="H68:I68"/>
    <mergeCell ref="A60:F60"/>
    <mergeCell ref="H60:I60"/>
    <mergeCell ref="A61:F61"/>
    <mergeCell ref="H61:I61"/>
    <mergeCell ref="A62:F62"/>
    <mergeCell ref="H62:I62"/>
    <mergeCell ref="A74:C74"/>
    <mergeCell ref="E74:H74"/>
    <mergeCell ref="J74:L74"/>
    <mergeCell ref="A75:C75"/>
    <mergeCell ref="E75:H75"/>
    <mergeCell ref="J75:L75"/>
    <mergeCell ref="J68:K68"/>
    <mergeCell ref="B69:C70"/>
    <mergeCell ref="D69:E70"/>
    <mergeCell ref="F69:G70"/>
    <mergeCell ref="H69:I70"/>
    <mergeCell ref="J69:K70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6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O620"/>
  <sheetViews>
    <sheetView view="pageBreakPreview" topLeftCell="A61" zoomScaleNormal="100" zoomScaleSheetLayoutView="100" workbookViewId="0">
      <selection activeCell="B25" activeCellId="3" sqref="J69:K70 B27:F27 B25:F25 B25:F2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 t="s">
        <v>1</v>
      </c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3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4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6</v>
      </c>
      <c r="L5" s="557"/>
    </row>
    <row r="6" spans="1:15" s="16" customFormat="1" ht="16.5" customHeight="1">
      <c r="A6" s="69"/>
      <c r="B6" s="78" t="s">
        <v>7</v>
      </c>
      <c r="C6" s="78"/>
      <c r="D6" s="78"/>
      <c r="E6" s="78"/>
      <c r="F6" s="78"/>
      <c r="G6" s="78"/>
      <c r="H6" s="78"/>
      <c r="I6" s="21" t="s">
        <v>8</v>
      </c>
      <c r="J6" s="21"/>
      <c r="K6" s="560" t="s">
        <v>66</v>
      </c>
      <c r="L6" s="561"/>
    </row>
    <row r="7" spans="1:15" s="16" customFormat="1" ht="16.5" customHeight="1">
      <c r="A7" s="22" t="s">
        <v>10</v>
      </c>
      <c r="B7" s="556" t="s">
        <v>11</v>
      </c>
      <c r="C7" s="556"/>
      <c r="D7" s="556"/>
      <c r="E7" s="556"/>
      <c r="F7" s="556"/>
      <c r="G7" s="556"/>
      <c r="H7" s="556"/>
    </row>
    <row r="8" spans="1:15" s="16" customFormat="1" ht="16.5" customHeight="1">
      <c r="A8" s="22"/>
      <c r="B8" s="23"/>
      <c r="C8" s="23"/>
      <c r="D8" s="23"/>
      <c r="E8" s="23"/>
      <c r="F8" s="23"/>
      <c r="G8" s="23"/>
      <c r="J8" s="59"/>
      <c r="K8" s="62"/>
      <c r="L8" s="62"/>
    </row>
    <row r="9" spans="1:15" ht="16.5" customHeight="1">
      <c r="A9" s="24" t="s">
        <v>12</v>
      </c>
      <c r="B9" s="3"/>
      <c r="C9" s="3"/>
      <c r="D9" s="3"/>
      <c r="E9" s="3"/>
      <c r="F9" s="3"/>
      <c r="G9" s="3"/>
      <c r="H9" s="3"/>
      <c r="I9" s="3"/>
      <c r="J9" s="3"/>
      <c r="K9" s="555"/>
      <c r="L9" s="555"/>
    </row>
    <row r="10" spans="1:15" s="2" customFormat="1" ht="16.5" customHeight="1">
      <c r="A10" s="552" t="s">
        <v>13</v>
      </c>
      <c r="B10" s="552" t="s">
        <v>14</v>
      </c>
      <c r="C10" s="552"/>
      <c r="D10" s="552"/>
      <c r="E10" s="552"/>
      <c r="F10" s="552"/>
      <c r="G10" s="552" t="s">
        <v>15</v>
      </c>
      <c r="H10" s="552"/>
      <c r="I10" s="552"/>
      <c r="J10" s="553" t="s">
        <v>16</v>
      </c>
      <c r="K10" s="553"/>
      <c r="L10" s="552" t="s">
        <v>17</v>
      </c>
    </row>
    <row r="11" spans="1:15" s="2" customFormat="1" ht="16.5" customHeight="1">
      <c r="A11" s="552"/>
      <c r="B11" s="552"/>
      <c r="C11" s="552"/>
      <c r="D11" s="552"/>
      <c r="E11" s="552"/>
      <c r="F11" s="552"/>
      <c r="G11" s="552"/>
      <c r="H11" s="552"/>
      <c r="I11" s="552"/>
      <c r="J11" s="60" t="s">
        <v>18</v>
      </c>
      <c r="K11" s="20" t="s">
        <v>19</v>
      </c>
      <c r="L11" s="552"/>
    </row>
    <row r="12" spans="1:15" s="18" customFormat="1" ht="16.5" customHeight="1">
      <c r="A12" s="79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 t="str">
        <f>swa!A43</f>
        <v>105(1)</v>
      </c>
      <c r="B13" s="558" t="str">
        <f>swa!B43:E43</f>
        <v>Sub-Grade Preparation(Common Materials)</v>
      </c>
      <c r="C13" s="558"/>
      <c r="D13" s="558"/>
      <c r="E13" s="558"/>
      <c r="F13" s="558"/>
      <c r="G13" s="559" t="s">
        <v>20</v>
      </c>
      <c r="H13" s="559"/>
      <c r="I13" s="559"/>
      <c r="J13" s="216">
        <f>N18</f>
        <v>337.5</v>
      </c>
      <c r="K13" s="53"/>
      <c r="L13" s="55" t="s">
        <v>21</v>
      </c>
    </row>
    <row r="14" spans="1:15" s="18" customFormat="1" ht="16.5" customHeight="1">
      <c r="A14" s="215" t="str">
        <f>swa!A45</f>
        <v>200(1)</v>
      </c>
      <c r="B14" s="558" t="str">
        <f>swa!B45:E45</f>
        <v>Aggregate Subbase Course</v>
      </c>
      <c r="C14" s="558"/>
      <c r="D14" s="558"/>
      <c r="E14" s="558"/>
      <c r="F14" s="558"/>
      <c r="G14" s="559" t="s">
        <v>20</v>
      </c>
      <c r="H14" s="559"/>
      <c r="I14" s="559"/>
      <c r="J14" s="216">
        <f>J13*8.1*0.2</f>
        <v>546.75</v>
      </c>
      <c r="K14" s="53"/>
      <c r="L14" s="55" t="s">
        <v>22</v>
      </c>
    </row>
    <row r="15" spans="1:15" s="18" customFormat="1" ht="16.5" customHeight="1">
      <c r="A15" s="215" t="str">
        <f>swa!A47</f>
        <v>311(1)c</v>
      </c>
      <c r="B15" s="558" t="str">
        <f>swa!B47:E47</f>
        <v>Portland Cement Concrete Pavement, 230mm</v>
      </c>
      <c r="C15" s="558"/>
      <c r="D15" s="558"/>
      <c r="E15" s="558"/>
      <c r="F15" s="558"/>
      <c r="G15" s="559" t="s">
        <v>20</v>
      </c>
      <c r="H15" s="559"/>
      <c r="I15" s="559"/>
      <c r="J15" s="216">
        <f>N18</f>
        <v>337.5</v>
      </c>
      <c r="K15" s="53"/>
      <c r="L15" s="55" t="s">
        <v>21</v>
      </c>
      <c r="N15" s="18">
        <f>8*9</f>
        <v>72</v>
      </c>
    </row>
    <row r="16" spans="1:15" s="18" customFormat="1" ht="16.5" customHeight="1">
      <c r="A16" s="215"/>
      <c r="B16" s="558"/>
      <c r="C16" s="558"/>
      <c r="D16" s="558"/>
      <c r="E16" s="558"/>
      <c r="F16" s="558"/>
      <c r="G16" s="559"/>
      <c r="H16" s="559"/>
      <c r="I16" s="559"/>
      <c r="J16" s="216"/>
      <c r="K16" s="53"/>
      <c r="L16" s="55"/>
      <c r="N16" s="18">
        <f>75*1.5</f>
        <v>112.5</v>
      </c>
      <c r="O16" s="18">
        <f>102/1.5</f>
        <v>68</v>
      </c>
    </row>
    <row r="17" spans="1:14" s="18" customFormat="1" ht="16.5" customHeight="1">
      <c r="A17" s="215"/>
      <c r="B17" s="558"/>
      <c r="C17" s="558"/>
      <c r="D17" s="558"/>
      <c r="E17" s="558"/>
      <c r="F17" s="558"/>
      <c r="G17" s="559"/>
      <c r="H17" s="559"/>
      <c r="I17" s="559"/>
      <c r="J17" s="53"/>
      <c r="K17" s="53"/>
      <c r="L17" s="55"/>
      <c r="N17" s="18">
        <v>3</v>
      </c>
    </row>
    <row r="18" spans="1:14" s="18" customFormat="1" ht="16.5" customHeight="1">
      <c r="A18" s="54"/>
      <c r="B18" s="558"/>
      <c r="C18" s="558"/>
      <c r="D18" s="558"/>
      <c r="E18" s="558"/>
      <c r="F18" s="558"/>
      <c r="G18" s="559"/>
      <c r="H18" s="559"/>
      <c r="I18" s="559"/>
      <c r="J18" s="53"/>
      <c r="K18" s="53"/>
      <c r="L18" s="55"/>
      <c r="N18" s="18">
        <f>N16*3</f>
        <v>337.5</v>
      </c>
    </row>
    <row r="19" spans="1:14" s="18" customFormat="1" ht="16.5" customHeight="1">
      <c r="A19" s="54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4" s="18" customFormat="1" ht="16.5" customHeight="1">
      <c r="A20" s="54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4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4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4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4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4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4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4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4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4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4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4" s="18" customFormat="1" ht="16.5" customHeight="1">
      <c r="A31" s="61"/>
      <c r="B31" s="562"/>
      <c r="C31" s="562"/>
      <c r="D31" s="562"/>
      <c r="E31" s="562"/>
      <c r="F31" s="562"/>
      <c r="G31" s="559"/>
      <c r="H31" s="559"/>
      <c r="I31" s="559"/>
      <c r="J31" s="53"/>
      <c r="K31" s="53"/>
      <c r="L31" s="55"/>
    </row>
    <row r="32" spans="1:14" s="18" customFormat="1" ht="16.5" customHeight="1">
      <c r="A32" s="61"/>
      <c r="B32" s="562"/>
      <c r="C32" s="562"/>
      <c r="D32" s="562"/>
      <c r="E32" s="562"/>
      <c r="F32" s="562"/>
      <c r="G32" s="559"/>
      <c r="H32" s="559"/>
      <c r="I32" s="559"/>
      <c r="J32" s="53"/>
      <c r="K32" s="53"/>
      <c r="L32" s="55"/>
    </row>
    <row r="33" spans="1:12" s="18" customFormat="1" ht="16.5" customHeight="1">
      <c r="A33" s="66"/>
      <c r="B33" s="566"/>
      <c r="C33" s="566"/>
      <c r="D33" s="566"/>
      <c r="E33" s="566"/>
      <c r="F33" s="566"/>
      <c r="G33" s="66"/>
      <c r="H33" s="41"/>
      <c r="I33" s="41"/>
      <c r="J33" s="42"/>
      <c r="K33" s="43"/>
      <c r="L33" s="3"/>
    </row>
    <row r="34" spans="1:12" s="18" customFormat="1" ht="16.5" customHeight="1">
      <c r="A34" s="26" t="s">
        <v>23</v>
      </c>
      <c r="B34" s="67"/>
      <c r="C34" s="67"/>
      <c r="D34" s="67"/>
      <c r="E34" s="67"/>
      <c r="F34" s="17"/>
      <c r="G34" s="17"/>
      <c r="H34" s="17"/>
      <c r="I34" s="17"/>
      <c r="J34" s="17"/>
      <c r="K34" s="3"/>
      <c r="L34" s="3"/>
    </row>
    <row r="35" spans="1:12" s="25" customFormat="1" ht="16.5" customHeight="1">
      <c r="A35" s="19" t="s">
        <v>13</v>
      </c>
      <c r="B35" s="567" t="s">
        <v>14</v>
      </c>
      <c r="C35" s="567"/>
      <c r="D35" s="567"/>
      <c r="E35" s="567"/>
      <c r="F35" s="567"/>
      <c r="G35" s="568" t="s">
        <v>24</v>
      </c>
      <c r="H35" s="568"/>
      <c r="I35" s="63" t="s">
        <v>17</v>
      </c>
      <c r="J35" s="60" t="s">
        <v>25</v>
      </c>
      <c r="K35" s="60" t="s">
        <v>26</v>
      </c>
      <c r="L35" s="60" t="s">
        <v>27</v>
      </c>
    </row>
    <row r="36" spans="1:12" s="18" customFormat="1" ht="16.5" customHeight="1">
      <c r="A36" s="75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65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65"/>
      <c r="B38" s="563"/>
      <c r="C38" s="563"/>
      <c r="D38" s="563"/>
      <c r="E38" s="563"/>
      <c r="F38" s="563"/>
      <c r="G38" s="564"/>
      <c r="H38" s="564"/>
      <c r="I38" s="64"/>
      <c r="J38" s="64"/>
      <c r="K38" s="55"/>
      <c r="L38" s="55"/>
    </row>
    <row r="39" spans="1:12" s="52" customFormat="1" ht="16.5" customHeight="1">
      <c r="A39" s="65"/>
      <c r="B39" s="563"/>
      <c r="C39" s="563"/>
      <c r="D39" s="563"/>
      <c r="E39" s="563"/>
      <c r="F39" s="563"/>
      <c r="G39" s="564"/>
      <c r="H39" s="564"/>
      <c r="I39" s="64"/>
      <c r="J39" s="64"/>
      <c r="K39" s="55"/>
      <c r="L39" s="55"/>
    </row>
    <row r="40" spans="1:12" s="52" customFormat="1" ht="16.5" customHeight="1">
      <c r="A40" s="32"/>
      <c r="B40" s="565"/>
      <c r="C40" s="565"/>
      <c r="D40" s="565"/>
      <c r="E40" s="565"/>
      <c r="F40" s="565"/>
      <c r="G40" s="565"/>
      <c r="H40" s="565"/>
      <c r="I40" s="565"/>
      <c r="J40" s="17"/>
      <c r="K40" s="3"/>
      <c r="L40" s="3"/>
    </row>
    <row r="41" spans="1:12" s="51" customFormat="1" ht="16.5" customHeight="1">
      <c r="A41" s="34" t="s">
        <v>28</v>
      </c>
      <c r="B41" s="34"/>
      <c r="C41" s="34"/>
      <c r="D41" s="34"/>
      <c r="E41" s="34"/>
      <c r="F41" s="17"/>
      <c r="G41" s="38"/>
      <c r="H41" s="36" t="s">
        <v>29</v>
      </c>
      <c r="I41" s="34"/>
      <c r="J41" s="34"/>
      <c r="K41" s="34"/>
      <c r="L41" s="34"/>
    </row>
    <row r="42" spans="1:12" s="51" customFormat="1" ht="16.5" customHeight="1">
      <c r="A42" s="569" t="s">
        <v>30</v>
      </c>
      <c r="B42" s="569"/>
      <c r="C42" s="569"/>
      <c r="D42" s="569"/>
      <c r="E42" s="569"/>
      <c r="F42" s="569"/>
      <c r="G42" s="56"/>
      <c r="H42" s="569"/>
      <c r="I42" s="569"/>
      <c r="J42" s="569"/>
      <c r="K42" s="569"/>
      <c r="L42" s="569"/>
    </row>
    <row r="43" spans="1:12" s="51" customFormat="1" ht="16.5" customHeight="1">
      <c r="A43" s="571" t="s">
        <v>31</v>
      </c>
      <c r="B43" s="571"/>
      <c r="C43" s="571"/>
      <c r="D43" s="571"/>
      <c r="E43" s="571"/>
      <c r="F43" s="571"/>
      <c r="G43" s="56"/>
      <c r="H43" s="569"/>
      <c r="I43" s="569"/>
      <c r="J43" s="569"/>
      <c r="K43" s="569"/>
      <c r="L43" s="569"/>
    </row>
    <row r="44" spans="1:12" s="51" customFormat="1" ht="16.5" customHeight="1">
      <c r="A44" s="571" t="s">
        <v>32</v>
      </c>
      <c r="B44" s="571"/>
      <c r="C44" s="571"/>
      <c r="D44" s="571"/>
      <c r="E44" s="571"/>
      <c r="F44" s="571"/>
      <c r="G44" s="57"/>
      <c r="H44" s="569"/>
      <c r="I44" s="569"/>
      <c r="J44" s="569"/>
      <c r="K44" s="569"/>
      <c r="L44" s="569"/>
    </row>
    <row r="45" spans="1:12" s="51" customFormat="1" ht="16.5" customHeight="1">
      <c r="A45" s="569" t="s">
        <v>33</v>
      </c>
      <c r="B45" s="569"/>
      <c r="C45" s="569"/>
      <c r="D45" s="569"/>
      <c r="E45" s="569"/>
      <c r="F45" s="569"/>
      <c r="G45" s="57"/>
      <c r="H45" s="569"/>
      <c r="I45" s="569"/>
      <c r="J45" s="569"/>
      <c r="K45" s="569"/>
      <c r="L45" s="569"/>
    </row>
    <row r="46" spans="1:12" s="51" customFormat="1" ht="16.5" customHeight="1">
      <c r="A46" s="570"/>
      <c r="B46" s="570"/>
      <c r="C46" s="570"/>
      <c r="D46" s="570"/>
      <c r="E46" s="570"/>
      <c r="F46" s="570"/>
      <c r="G46" s="39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7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6"/>
      <c r="H49" s="569"/>
      <c r="I49" s="569"/>
      <c r="J49" s="569"/>
      <c r="K49" s="569"/>
      <c r="L49" s="569"/>
    </row>
    <row r="50" spans="1:12" s="3" customFormat="1" ht="16.5" customHeight="1">
      <c r="A50" s="571"/>
      <c r="B50" s="571"/>
      <c r="C50" s="571"/>
      <c r="D50" s="571"/>
      <c r="E50" s="571"/>
      <c r="F50" s="571"/>
      <c r="G50" s="56"/>
      <c r="H50" s="569"/>
      <c r="I50" s="569"/>
      <c r="J50" s="569"/>
      <c r="K50" s="569"/>
      <c r="L50" s="569"/>
    </row>
    <row r="51" spans="1:12" s="3" customFormat="1" ht="16.5" customHeight="1">
      <c r="A51" s="571"/>
      <c r="B51" s="571"/>
      <c r="C51" s="571"/>
      <c r="D51" s="571"/>
      <c r="E51" s="571"/>
      <c r="F51" s="571"/>
      <c r="G51" s="57"/>
      <c r="H51" s="569"/>
      <c r="I51" s="569"/>
      <c r="J51" s="569"/>
      <c r="K51" s="569"/>
      <c r="L51" s="569"/>
    </row>
    <row r="52" spans="1:12" s="3" customFormat="1" ht="16.5" customHeight="1">
      <c r="A52" s="572"/>
      <c r="B52" s="572"/>
      <c r="C52" s="572"/>
      <c r="D52" s="572"/>
      <c r="E52" s="572"/>
      <c r="F52" s="572"/>
      <c r="G52" s="57"/>
      <c r="H52" s="572"/>
      <c r="I52" s="572"/>
      <c r="J52" s="572"/>
      <c r="K52" s="572"/>
      <c r="L52" s="572"/>
    </row>
    <row r="53" spans="1:12" s="3" customFormat="1" ht="16.5" customHeight="1">
      <c r="A53" s="70" t="s">
        <v>34</v>
      </c>
      <c r="B53" s="5"/>
      <c r="C53" s="4"/>
      <c r="H53" s="573" t="s">
        <v>35</v>
      </c>
      <c r="I53" s="573"/>
      <c r="J53" s="573"/>
      <c r="K53" s="573" t="s">
        <v>36</v>
      </c>
      <c r="L53" s="573"/>
    </row>
    <row r="54" spans="1:12" s="3" customFormat="1" ht="16.5" customHeight="1">
      <c r="A54" s="576"/>
      <c r="B54" s="576"/>
      <c r="C54" s="576"/>
      <c r="D54" s="576"/>
      <c r="E54" s="576"/>
      <c r="F54" s="576"/>
      <c r="G54" s="71"/>
      <c r="H54" s="577" t="s">
        <v>14</v>
      </c>
      <c r="I54" s="577"/>
      <c r="J54" s="74" t="s">
        <v>24</v>
      </c>
      <c r="K54" s="74" t="s">
        <v>14</v>
      </c>
      <c r="L54" s="74" t="s">
        <v>24</v>
      </c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 t="s">
        <v>37</v>
      </c>
      <c r="I55" s="575"/>
      <c r="J55" s="55">
        <v>1</v>
      </c>
      <c r="K55" s="76" t="s">
        <v>38</v>
      </c>
      <c r="L55" s="55">
        <v>2</v>
      </c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 t="s">
        <v>39</v>
      </c>
      <c r="I56" s="575"/>
      <c r="J56" s="55">
        <v>1</v>
      </c>
      <c r="K56" s="76" t="s">
        <v>40</v>
      </c>
      <c r="L56" s="55">
        <v>2</v>
      </c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 t="s">
        <v>41</v>
      </c>
      <c r="I57" s="575"/>
      <c r="J57" s="55">
        <v>8</v>
      </c>
      <c r="K57" s="76" t="s">
        <v>42</v>
      </c>
      <c r="L57" s="55">
        <v>1</v>
      </c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 t="s">
        <v>43</v>
      </c>
      <c r="I58" s="575"/>
      <c r="J58" s="55">
        <v>12</v>
      </c>
      <c r="K58" s="76" t="s">
        <v>44</v>
      </c>
      <c r="L58" s="55">
        <v>1</v>
      </c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55"/>
      <c r="K59" s="77"/>
      <c r="L59" s="55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574"/>
      <c r="B63" s="574"/>
      <c r="C63" s="574"/>
      <c r="D63" s="574"/>
      <c r="E63" s="574"/>
      <c r="F63" s="574"/>
      <c r="G63" s="72"/>
      <c r="H63" s="575"/>
      <c r="I63" s="575"/>
      <c r="J63" s="73"/>
      <c r="K63" s="77"/>
      <c r="L63" s="73"/>
    </row>
    <row r="64" spans="1:12" s="3" customFormat="1" ht="16.5" customHeight="1">
      <c r="A64" s="574"/>
      <c r="B64" s="574"/>
      <c r="C64" s="574"/>
      <c r="D64" s="574"/>
      <c r="E64" s="574"/>
      <c r="F64" s="574"/>
      <c r="G64" s="72"/>
      <c r="H64" s="575"/>
      <c r="I64" s="575"/>
      <c r="J64" s="73"/>
      <c r="K64" s="77"/>
      <c r="L64" s="73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6"/>
      <c r="J65" s="46"/>
      <c r="K65" s="47"/>
      <c r="L65" s="46"/>
    </row>
    <row r="66" spans="1:14" s="3" customFormat="1" ht="16.5" customHeight="1">
      <c r="A66" s="45" t="s">
        <v>45</v>
      </c>
      <c r="B66" s="46"/>
      <c r="C66" s="46"/>
      <c r="D66" s="46"/>
      <c r="E66" s="44"/>
      <c r="F66" s="46"/>
      <c r="G66" s="46"/>
      <c r="H66" s="46"/>
      <c r="I66" s="46"/>
      <c r="J66" s="46"/>
      <c r="K66" s="47"/>
      <c r="L66" s="46"/>
    </row>
    <row r="67" spans="1:14" s="3" customFormat="1" ht="16.5" customHeight="1">
      <c r="A67" s="45"/>
      <c r="B67" s="46"/>
      <c r="C67" s="46"/>
      <c r="D67" s="46"/>
      <c r="E67" s="44"/>
      <c r="F67" s="46"/>
      <c r="G67" s="46"/>
      <c r="H67" s="46"/>
      <c r="I67" s="48"/>
      <c r="J67" s="48"/>
      <c r="K67" s="47"/>
      <c r="L67" s="46"/>
    </row>
    <row r="68" spans="1:14" s="3" customFormat="1" ht="31.5" customHeight="1">
      <c r="A68" s="46" t="s">
        <v>46</v>
      </c>
      <c r="B68" s="578" t="s">
        <v>47</v>
      </c>
      <c r="C68" s="579"/>
      <c r="D68" s="578" t="s">
        <v>48</v>
      </c>
      <c r="E68" s="579"/>
      <c r="F68" s="578" t="s">
        <v>49</v>
      </c>
      <c r="G68" s="579"/>
      <c r="H68" s="578" t="s">
        <v>50</v>
      </c>
      <c r="I68" s="579"/>
      <c r="J68" s="578" t="s">
        <v>51</v>
      </c>
      <c r="K68" s="579"/>
      <c r="L68" s="49"/>
    </row>
    <row r="69" spans="1:14" s="3" customFormat="1" ht="16.5" customHeight="1">
      <c r="A69" s="50"/>
      <c r="B69" s="583">
        <v>0.91010000000000002</v>
      </c>
      <c r="C69" s="584"/>
      <c r="D69" s="587"/>
      <c r="E69" s="588"/>
      <c r="F69" s="583">
        <v>0.74319999999999997</v>
      </c>
      <c r="G69" s="584"/>
      <c r="H69" s="583">
        <f>F69-B69</f>
        <v>-0.16690000000000005</v>
      </c>
      <c r="I69" s="584"/>
      <c r="J69" s="587" t="s">
        <v>52</v>
      </c>
      <c r="K69" s="588"/>
      <c r="L69" s="49"/>
    </row>
    <row r="70" spans="1:14" s="22" customFormat="1" ht="16.5" customHeight="1">
      <c r="A70" s="50"/>
      <c r="B70" s="585"/>
      <c r="C70" s="586"/>
      <c r="D70" s="589"/>
      <c r="E70" s="590"/>
      <c r="F70" s="585"/>
      <c r="G70" s="586"/>
      <c r="H70" s="585"/>
      <c r="I70" s="586"/>
      <c r="J70" s="589"/>
      <c r="K70" s="590"/>
      <c r="L70" s="49"/>
    </row>
    <row r="71" spans="1:14" s="22" customFormat="1" ht="16.5" customHeight="1">
      <c r="A71" s="35"/>
      <c r="B71" s="27"/>
      <c r="C71" s="27"/>
      <c r="D71" s="27"/>
      <c r="E71" s="35"/>
      <c r="F71" s="58"/>
      <c r="G71" s="58"/>
      <c r="H71" s="58"/>
      <c r="I71" s="58"/>
      <c r="J71" s="68"/>
      <c r="K71" s="68"/>
      <c r="L71" s="3"/>
    </row>
    <row r="72" spans="1:14" s="22" customFormat="1" ht="16.5" customHeight="1">
      <c r="A72" s="35" t="s">
        <v>53</v>
      </c>
      <c r="B72" s="27"/>
      <c r="C72" s="27"/>
      <c r="D72" s="27"/>
      <c r="E72" s="35" t="s">
        <v>54</v>
      </c>
      <c r="F72" s="58"/>
      <c r="G72" s="58"/>
      <c r="H72" s="58"/>
      <c r="I72" s="58"/>
      <c r="J72" s="68" t="s">
        <v>55</v>
      </c>
      <c r="K72" s="68"/>
      <c r="L72" s="3"/>
    </row>
    <row r="73" spans="1:14" s="22" customFormat="1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3"/>
      <c r="K73" s="3"/>
      <c r="L73" s="3"/>
    </row>
    <row r="74" spans="1:14" s="22" customFormat="1" ht="16.5" customHeight="1">
      <c r="A74" s="580" t="s">
        <v>63</v>
      </c>
      <c r="B74" s="580"/>
      <c r="C74" s="580"/>
      <c r="D74" s="27"/>
      <c r="E74" s="580" t="s">
        <v>57</v>
      </c>
      <c r="F74" s="580"/>
      <c r="G74" s="580"/>
      <c r="H74" s="580"/>
      <c r="I74" s="58"/>
      <c r="J74" s="580" t="s">
        <v>58</v>
      </c>
      <c r="K74" s="580"/>
      <c r="L74" s="580"/>
      <c r="N74" s="218">
        <f>'2-5-8-2024'!B69+1.27</f>
        <v>2.1135000000000002</v>
      </c>
    </row>
    <row r="75" spans="1:14" s="3" customFormat="1" ht="16.5" customHeight="1">
      <c r="A75" s="581" t="s">
        <v>59</v>
      </c>
      <c r="B75" s="581"/>
      <c r="C75" s="581"/>
      <c r="D75" s="27"/>
      <c r="E75" s="581" t="s">
        <v>60</v>
      </c>
      <c r="F75" s="581"/>
      <c r="G75" s="581"/>
      <c r="H75" s="581"/>
      <c r="I75" s="58"/>
      <c r="J75" s="582" t="s">
        <v>61</v>
      </c>
      <c r="K75" s="582"/>
      <c r="L75" s="582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</row>
    <row r="77" spans="1:14" s="3" customFormat="1" ht="16.5" customHeight="1">
      <c r="A77" s="37"/>
      <c r="B77" s="27"/>
      <c r="C77" s="27"/>
      <c r="D77" s="27"/>
      <c r="E77" s="27"/>
      <c r="F77" s="29"/>
      <c r="G77" s="29"/>
      <c r="H77" s="29"/>
      <c r="I77" s="29"/>
      <c r="J77" s="29"/>
    </row>
    <row r="78" spans="1:14" s="3" customFormat="1" ht="16.5" customHeight="1">
      <c r="A78" s="37"/>
      <c r="B78" s="27"/>
      <c r="C78" s="27"/>
      <c r="D78" s="27"/>
      <c r="E78" s="27"/>
      <c r="F78" s="29"/>
      <c r="G78" s="29"/>
      <c r="H78" s="29"/>
      <c r="I78" s="29"/>
      <c r="J78" s="29"/>
      <c r="N78" s="3">
        <f>84.35+1.27</f>
        <v>85.61999999999999</v>
      </c>
    </row>
    <row r="79" spans="1:14" s="3" customFormat="1" ht="16.5" customHeight="1">
      <c r="A79" s="37"/>
      <c r="B79" s="27"/>
      <c r="C79" s="27"/>
      <c r="D79" s="27"/>
      <c r="E79" s="27"/>
      <c r="F79" s="30"/>
      <c r="G79" s="30"/>
      <c r="H79" s="30"/>
      <c r="I79" s="30"/>
      <c r="J79" s="30"/>
    </row>
    <row r="80" spans="1:14" s="3" customFormat="1" ht="16.5" customHeight="1">
      <c r="A80" s="37"/>
      <c r="B80" s="27"/>
      <c r="C80" s="27"/>
      <c r="D80" s="27"/>
      <c r="E80" s="27"/>
      <c r="F80" s="30"/>
      <c r="G80" s="30"/>
      <c r="H80" s="30"/>
      <c r="I80" s="30"/>
      <c r="J80" s="30"/>
    </row>
    <row r="81" spans="1:10" s="3" customFormat="1" ht="15" customHeight="1">
      <c r="A81" s="27"/>
      <c r="B81" s="27"/>
      <c r="C81" s="27"/>
      <c r="D81" s="27"/>
      <c r="E81" s="27"/>
      <c r="F81" s="29"/>
      <c r="G81" s="29"/>
      <c r="H81" s="29"/>
      <c r="I81" s="29"/>
      <c r="J81" s="29"/>
    </row>
    <row r="82" spans="1:10" s="3" customFormat="1" ht="15" customHeight="1">
      <c r="A82" s="27"/>
      <c r="B82" s="27"/>
      <c r="C82" s="27"/>
      <c r="D82" s="27"/>
      <c r="E82" s="27"/>
      <c r="F82" s="28"/>
      <c r="G82" s="28"/>
      <c r="H82" s="28"/>
      <c r="I82" s="28"/>
      <c r="J82" s="28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5" customHeight="1">
      <c r="A84" s="27"/>
      <c r="B84" s="27"/>
      <c r="C84" s="27"/>
      <c r="D84" s="27"/>
      <c r="E84" s="27"/>
      <c r="F84" s="29"/>
      <c r="G84" s="29"/>
      <c r="H84" s="29"/>
      <c r="I84" s="29"/>
      <c r="J84" s="29"/>
    </row>
    <row r="85" spans="1:10" s="3" customFormat="1" ht="15" customHeight="1">
      <c r="A85" s="27"/>
      <c r="B85" s="27"/>
      <c r="C85" s="27"/>
      <c r="D85" s="27"/>
      <c r="E85" s="27"/>
      <c r="F85" s="30"/>
      <c r="G85" s="30"/>
      <c r="H85" s="30"/>
      <c r="I85" s="30"/>
      <c r="J85" s="30"/>
    </row>
    <row r="86" spans="1:10" s="3" customFormat="1" ht="17.399999999999999">
      <c r="A86" s="27"/>
      <c r="B86" s="27"/>
      <c r="C86" s="27"/>
      <c r="D86" s="27"/>
      <c r="E86" s="27"/>
      <c r="F86" s="30"/>
      <c r="G86" s="30"/>
      <c r="H86" s="30"/>
      <c r="I86" s="30"/>
      <c r="J86" s="30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29"/>
      <c r="G92" s="29"/>
      <c r="H92" s="29"/>
      <c r="I92" s="29"/>
      <c r="J92" s="29"/>
    </row>
    <row r="93" spans="1:10" s="3" customFormat="1" ht="21.9" customHeight="1">
      <c r="A93" s="27"/>
      <c r="B93" s="27"/>
      <c r="C93" s="27"/>
      <c r="D93" s="27"/>
      <c r="E93" s="27"/>
      <c r="F93" s="29"/>
      <c r="G93" s="29"/>
      <c r="H93" s="29"/>
      <c r="I93" s="29"/>
      <c r="J93" s="29"/>
    </row>
    <row r="94" spans="1:10" s="3" customFormat="1" ht="21.9" customHeight="1">
      <c r="A94" s="27"/>
      <c r="B94" s="27"/>
      <c r="C94" s="27"/>
      <c r="D94" s="27"/>
      <c r="E94" s="27"/>
      <c r="F94" s="30"/>
      <c r="G94" s="30"/>
      <c r="H94" s="30"/>
      <c r="I94" s="30"/>
      <c r="J94" s="30"/>
    </row>
    <row r="95" spans="1:10" s="3" customFormat="1" ht="21.9" customHeight="1">
      <c r="A95" s="27"/>
      <c r="B95" s="27"/>
      <c r="C95" s="27"/>
      <c r="D95" s="27"/>
      <c r="E95" s="27"/>
      <c r="F95" s="30"/>
      <c r="G95" s="30"/>
      <c r="H95" s="30"/>
      <c r="I95" s="30"/>
      <c r="J95" s="30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29"/>
      <c r="G121" s="29"/>
      <c r="H121" s="29"/>
      <c r="I121" s="29"/>
      <c r="J121" s="29"/>
    </row>
    <row r="122" spans="1:10" s="3" customFormat="1" ht="21.9" customHeight="1">
      <c r="A122" s="27"/>
      <c r="B122" s="27"/>
      <c r="C122" s="27"/>
      <c r="D122" s="27"/>
      <c r="E122" s="27"/>
      <c r="F122" s="29"/>
      <c r="G122" s="29"/>
      <c r="H122" s="29"/>
      <c r="I122" s="29"/>
      <c r="J122" s="29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4"/>
      <c r="G124" s="4"/>
      <c r="H124" s="4"/>
      <c r="I124" s="4"/>
      <c r="J124" s="4"/>
    </row>
    <row r="125" spans="1:10" s="3" customFormat="1" ht="21.9" customHeight="1">
      <c r="A125" s="27"/>
      <c r="B125" s="27"/>
      <c r="C125" s="27"/>
      <c r="D125" s="27"/>
      <c r="E125" s="27"/>
      <c r="F125" s="4"/>
      <c r="G125" s="4"/>
      <c r="H125" s="4"/>
      <c r="I125" s="4"/>
      <c r="J125" s="4"/>
    </row>
    <row r="126" spans="1:10" s="3" customFormat="1" ht="21.9" customHeight="1">
      <c r="A126" s="27"/>
      <c r="B126" s="27"/>
      <c r="C126" s="27"/>
      <c r="D126" s="27"/>
      <c r="E126" s="27"/>
      <c r="F126" s="29"/>
      <c r="G126" s="29"/>
      <c r="H126" s="29"/>
      <c r="I126" s="29"/>
      <c r="J126" s="29"/>
    </row>
    <row r="127" spans="1:10" s="3" customFormat="1" ht="21.9" customHeight="1">
      <c r="A127" s="27"/>
      <c r="B127" s="27"/>
      <c r="C127" s="27"/>
      <c r="D127" s="27"/>
      <c r="E127" s="27"/>
      <c r="F127" s="29"/>
      <c r="G127" s="29"/>
      <c r="H127" s="29"/>
      <c r="I127" s="29"/>
      <c r="J127" s="29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4"/>
      <c r="G129" s="4"/>
      <c r="H129" s="4"/>
      <c r="I129" s="4"/>
      <c r="J129" s="4"/>
    </row>
    <row r="130" spans="1:10" s="3" customFormat="1" ht="21.9" customHeight="1">
      <c r="A130" s="27"/>
      <c r="B130" s="27"/>
      <c r="C130" s="27"/>
      <c r="D130" s="27"/>
      <c r="E130" s="27"/>
      <c r="F130" s="4"/>
      <c r="G130" s="4"/>
      <c r="H130" s="4"/>
      <c r="I130" s="4"/>
      <c r="J130" s="4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29"/>
      <c r="G132" s="29"/>
      <c r="H132" s="29"/>
      <c r="I132" s="29"/>
      <c r="J132" s="29"/>
    </row>
    <row r="133" spans="1:10" s="3" customFormat="1" ht="21.9" customHeight="1">
      <c r="A133" s="27"/>
      <c r="B133" s="27"/>
      <c r="C133" s="27"/>
      <c r="D133" s="27"/>
      <c r="E133" s="27"/>
      <c r="F133" s="29"/>
      <c r="G133" s="29"/>
      <c r="H133" s="29"/>
      <c r="I133" s="29"/>
      <c r="J133" s="29"/>
    </row>
    <row r="134" spans="1:10" s="3" customFormat="1" ht="21.9" customHeight="1">
      <c r="A134" s="27"/>
      <c r="B134" s="27"/>
      <c r="C134" s="27"/>
      <c r="D134" s="27"/>
      <c r="E134" s="27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31"/>
      <c r="G141" s="31"/>
      <c r="H141" s="31"/>
      <c r="I141" s="31"/>
      <c r="J141" s="31"/>
    </row>
    <row r="142" spans="1:10" s="3" customFormat="1" ht="21.9" customHeight="1">
      <c r="A142" s="32"/>
      <c r="B142" s="32"/>
      <c r="C142" s="32"/>
      <c r="D142" s="32"/>
      <c r="E142" s="32"/>
      <c r="F142" s="31"/>
      <c r="G142" s="31"/>
      <c r="H142" s="31"/>
      <c r="I142" s="31"/>
      <c r="J142" s="31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28"/>
      <c r="G145" s="28"/>
      <c r="H145" s="28"/>
      <c r="I145" s="28"/>
      <c r="J145" s="28"/>
    </row>
    <row r="146" spans="1:12" s="3" customFormat="1" ht="21.9" customHeight="1">
      <c r="A146" s="32"/>
      <c r="B146" s="32"/>
      <c r="C146" s="32"/>
      <c r="D146" s="32"/>
      <c r="E146" s="32"/>
      <c r="F146" s="28"/>
      <c r="G146" s="28"/>
      <c r="H146" s="28"/>
      <c r="I146" s="28"/>
      <c r="J146" s="28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31"/>
      <c r="G148" s="31"/>
      <c r="H148" s="31"/>
      <c r="I148" s="31"/>
      <c r="J148" s="31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29"/>
      <c r="G150" s="29"/>
      <c r="H150" s="29"/>
      <c r="I150" s="29"/>
      <c r="J150" s="29"/>
    </row>
    <row r="151" spans="1:12" s="3" customFormat="1" ht="21.9" customHeight="1">
      <c r="A151" s="32"/>
      <c r="B151" s="32"/>
      <c r="C151" s="32"/>
      <c r="D151" s="32"/>
      <c r="E151" s="32"/>
      <c r="F151" s="31"/>
      <c r="G151" s="31"/>
      <c r="H151" s="31"/>
      <c r="I151" s="31"/>
      <c r="J151" s="31"/>
    </row>
    <row r="152" spans="1:12" s="3" customFormat="1" ht="21.9" customHeight="1">
      <c r="A152" s="32"/>
      <c r="B152" s="32"/>
      <c r="C152" s="32"/>
      <c r="D152" s="32"/>
      <c r="E152" s="32"/>
      <c r="F152" s="31"/>
      <c r="G152" s="31"/>
      <c r="H152" s="31"/>
      <c r="I152" s="31"/>
      <c r="J152" s="31"/>
    </row>
    <row r="153" spans="1:12" s="3" customFormat="1" ht="21.9" customHeight="1">
      <c r="A153" s="32"/>
      <c r="B153" s="32"/>
      <c r="C153" s="32"/>
      <c r="D153" s="32"/>
      <c r="E153" s="32"/>
      <c r="F153" s="33"/>
      <c r="G153" s="33"/>
      <c r="H153" s="33"/>
      <c r="I153" s="33"/>
      <c r="J153" s="33"/>
    </row>
    <row r="154" spans="1:12" s="3" customFormat="1" ht="21.9" customHeight="1">
      <c r="A154" s="32"/>
      <c r="B154" s="32"/>
      <c r="C154" s="32"/>
      <c r="D154" s="32"/>
      <c r="E154" s="32"/>
      <c r="F154" s="33"/>
      <c r="G154" s="33"/>
      <c r="H154" s="33"/>
      <c r="I154" s="33"/>
      <c r="J154" s="33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4"/>
      <c r="G158" s="14"/>
      <c r="H158" s="14"/>
      <c r="I158" s="14"/>
      <c r="J158" s="14"/>
      <c r="K158" s="9"/>
      <c r="L158" s="9"/>
    </row>
    <row r="159" spans="1:12" s="3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  <c r="K159" s="9"/>
      <c r="L159" s="9"/>
    </row>
    <row r="160" spans="1:12" s="3" customFormat="1" ht="21.9" customHeight="1">
      <c r="A160" s="13"/>
      <c r="B160" s="13"/>
      <c r="C160" s="13"/>
      <c r="D160" s="13"/>
      <c r="E160" s="13"/>
      <c r="F160" s="10"/>
      <c r="G160" s="10"/>
      <c r="H160" s="10"/>
      <c r="I160" s="10"/>
      <c r="J160" s="10"/>
      <c r="K160" s="9"/>
      <c r="L160" s="9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14"/>
      <c r="G162" s="14"/>
      <c r="H162" s="14"/>
      <c r="I162" s="14"/>
      <c r="J162" s="14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8"/>
      <c r="G164" s="8"/>
      <c r="H164" s="8"/>
      <c r="I164" s="8"/>
      <c r="J164" s="8"/>
    </row>
    <row r="165" spans="1:10" s="9" customFormat="1" ht="21.9" customHeight="1">
      <c r="A165" s="13"/>
      <c r="B165" s="13"/>
      <c r="C165" s="13"/>
      <c r="D165" s="13"/>
      <c r="E165" s="13"/>
      <c r="F165" s="14"/>
      <c r="G165" s="14"/>
      <c r="H165" s="14"/>
      <c r="I165" s="14"/>
      <c r="J165" s="14"/>
    </row>
    <row r="166" spans="1:10" s="9" customFormat="1" ht="21.9" customHeight="1">
      <c r="A166" s="13"/>
      <c r="B166" s="13"/>
      <c r="C166" s="13"/>
      <c r="D166" s="13"/>
      <c r="E166" s="13"/>
      <c r="F166" s="10"/>
      <c r="G166" s="10"/>
      <c r="H166" s="10"/>
      <c r="I166" s="10"/>
      <c r="J166" s="10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2"/>
      <c r="G171" s="12"/>
      <c r="H171" s="12"/>
      <c r="I171" s="12"/>
      <c r="J171" s="12"/>
    </row>
    <row r="172" spans="1:10" s="9" customFormat="1" ht="21.9" customHeight="1">
      <c r="A172" s="13"/>
      <c r="B172" s="13"/>
      <c r="C172" s="13"/>
      <c r="D172" s="13"/>
      <c r="E172" s="13"/>
      <c r="F172" s="12"/>
      <c r="G172" s="12"/>
      <c r="H172" s="12"/>
      <c r="I172" s="12"/>
      <c r="J172" s="12"/>
    </row>
    <row r="173" spans="1:10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8"/>
      <c r="G178" s="8"/>
      <c r="H178" s="8"/>
      <c r="I178" s="8"/>
      <c r="J178" s="8"/>
    </row>
    <row r="179" spans="1:10" s="9" customFormat="1" ht="21.9" customHeight="1">
      <c r="A179" s="13"/>
      <c r="B179" s="13"/>
      <c r="C179" s="13"/>
      <c r="D179" s="13"/>
      <c r="E179" s="13"/>
      <c r="F179" s="8"/>
      <c r="G179" s="8"/>
      <c r="H179" s="8"/>
      <c r="I179" s="8"/>
      <c r="J179" s="8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0"/>
      <c r="G182" s="10"/>
      <c r="H182" s="10"/>
      <c r="I182" s="10"/>
      <c r="J182" s="10"/>
    </row>
    <row r="183" spans="1:10" s="9" customFormat="1" ht="21.9" customHeight="1">
      <c r="A183" s="13"/>
      <c r="B183" s="13"/>
      <c r="C183" s="13"/>
      <c r="D183" s="13"/>
      <c r="E183" s="13"/>
      <c r="F183" s="10"/>
      <c r="G183" s="10"/>
      <c r="H183" s="10"/>
      <c r="I183" s="10"/>
      <c r="J183" s="10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</row>
    <row r="186" spans="1:10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</row>
    <row r="187" spans="1:10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</row>
    <row r="188" spans="1:10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</row>
    <row r="189" spans="1:10" s="9" customFormat="1" ht="21.9" customHeight="1">
      <c r="A189" s="13"/>
      <c r="B189" s="13"/>
      <c r="C189" s="13"/>
      <c r="D189" s="13"/>
      <c r="E189" s="13"/>
      <c r="F189" s="12"/>
      <c r="G189" s="12"/>
      <c r="H189" s="12"/>
      <c r="I189" s="12"/>
      <c r="J189" s="12"/>
    </row>
    <row r="190" spans="1:10" s="9" customFormat="1" ht="21.9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8"/>
      <c r="G195" s="8"/>
      <c r="H195" s="8"/>
      <c r="I195" s="8"/>
      <c r="J195" s="8"/>
    </row>
    <row r="196" spans="1:10" s="9" customFormat="1" ht="21.9" customHeight="1">
      <c r="A196" s="13"/>
      <c r="B196" s="13"/>
      <c r="C196" s="13"/>
      <c r="D196" s="13"/>
      <c r="E196" s="13"/>
      <c r="F196" s="8"/>
      <c r="G196" s="8"/>
      <c r="H196" s="8"/>
      <c r="I196" s="8"/>
      <c r="J196" s="8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3"/>
      <c r="B199" s="13"/>
      <c r="C199" s="13"/>
      <c r="D199" s="13"/>
      <c r="E199" s="13"/>
      <c r="F199" s="11"/>
      <c r="G199" s="11"/>
      <c r="H199" s="11"/>
      <c r="I199" s="11"/>
      <c r="J199" s="11"/>
    </row>
    <row r="200" spans="1:10" s="9" customFormat="1" ht="21.9" customHeight="1">
      <c r="A200" s="13"/>
      <c r="B200" s="13"/>
      <c r="C200" s="13"/>
      <c r="D200" s="13"/>
      <c r="E200" s="13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1"/>
      <c r="G202" s="11"/>
      <c r="H202" s="11"/>
      <c r="I202" s="11"/>
      <c r="J202" s="11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12"/>
      <c r="G207" s="12"/>
      <c r="H207" s="12"/>
      <c r="I207" s="12"/>
      <c r="J207" s="12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8"/>
      <c r="G209" s="8"/>
      <c r="H209" s="8"/>
      <c r="I209" s="8"/>
      <c r="J209" s="8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12"/>
      <c r="G211" s="12"/>
      <c r="H211" s="12"/>
      <c r="I211" s="12"/>
      <c r="J211" s="12"/>
    </row>
    <row r="212" spans="1:10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8"/>
      <c r="G217" s="8"/>
      <c r="H217" s="8"/>
      <c r="I217" s="8"/>
      <c r="J217" s="8"/>
    </row>
    <row r="218" spans="1:10" s="9" customFormat="1" ht="21.9" customHeight="1">
      <c r="A218" s="15"/>
      <c r="B218" s="15"/>
      <c r="C218" s="15"/>
      <c r="D218" s="15"/>
      <c r="E218" s="15"/>
      <c r="F218" s="8"/>
      <c r="G218" s="8"/>
      <c r="H218" s="8"/>
      <c r="I218" s="8"/>
      <c r="J218" s="8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11"/>
      <c r="G223" s="11"/>
      <c r="H223" s="11"/>
      <c r="I223" s="11"/>
      <c r="J223" s="11"/>
    </row>
    <row r="224" spans="1:10" s="9" customFormat="1" ht="21.9" customHeight="1">
      <c r="A224" s="15"/>
      <c r="B224" s="15"/>
      <c r="C224" s="15"/>
      <c r="D224" s="15"/>
      <c r="E224" s="15"/>
      <c r="F224" s="11"/>
      <c r="G224" s="11"/>
      <c r="H224" s="11"/>
      <c r="I224" s="11"/>
      <c r="J224" s="11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</row>
    <row r="231" spans="1:10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</row>
    <row r="232" spans="1:10" s="9" customFormat="1" ht="21.9" customHeight="1">
      <c r="A232" s="6"/>
      <c r="B232" s="6"/>
      <c r="C232" s="6"/>
      <c r="D232" s="6"/>
      <c r="E232" s="6"/>
      <c r="F232" s="12"/>
      <c r="G232" s="12"/>
      <c r="H232" s="12"/>
      <c r="I232" s="12"/>
      <c r="J232" s="12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11"/>
      <c r="G234" s="11"/>
      <c r="H234" s="11"/>
      <c r="I234" s="11"/>
      <c r="J234" s="11"/>
    </row>
    <row r="235" spans="1:10" s="9" customFormat="1" ht="21.9" customHeight="1">
      <c r="A235" s="6"/>
      <c r="B235" s="6"/>
      <c r="C235" s="6"/>
      <c r="D235" s="6"/>
      <c r="E235" s="6"/>
      <c r="F235" s="12"/>
      <c r="G235" s="12"/>
      <c r="H235" s="12"/>
      <c r="I235" s="12"/>
      <c r="J235" s="12"/>
    </row>
    <row r="236" spans="1:10" s="9" customFormat="1" ht="21.9" customHeight="1">
      <c r="A236" s="6"/>
      <c r="B236" s="6"/>
      <c r="C236" s="6"/>
      <c r="D236" s="6"/>
      <c r="E236" s="6"/>
      <c r="F236" s="8"/>
      <c r="G236" s="8"/>
      <c r="H236" s="8"/>
      <c r="I236" s="8"/>
      <c r="J236" s="8"/>
    </row>
    <row r="237" spans="1:10" s="9" customFormat="1" ht="21.9" customHeight="1">
      <c r="A237" s="6"/>
      <c r="B237" s="6"/>
      <c r="C237" s="6"/>
      <c r="D237" s="6"/>
      <c r="E237" s="6"/>
      <c r="F237" s="8"/>
      <c r="G237" s="8"/>
      <c r="H237" s="8"/>
      <c r="I237" s="8"/>
      <c r="J237" s="8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2"/>
      <c r="G239" s="12"/>
      <c r="H239" s="12"/>
      <c r="I239" s="12"/>
      <c r="J239" s="12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</row>
    <row r="247" spans="1:10" s="9" customFormat="1" ht="21.9" customHeight="1">
      <c r="A247" s="6"/>
      <c r="B247" s="6"/>
      <c r="C247" s="6"/>
      <c r="D247" s="6"/>
      <c r="E247" s="6"/>
      <c r="F247" s="11"/>
      <c r="G247" s="11"/>
      <c r="H247" s="11"/>
      <c r="I247" s="11"/>
      <c r="J247" s="11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21.9" customHeight="1">
      <c r="A252" s="6"/>
      <c r="B252" s="6"/>
      <c r="C252" s="6"/>
      <c r="D252" s="6"/>
      <c r="E252" s="6"/>
      <c r="F252" s="8"/>
      <c r="G252" s="8"/>
      <c r="H252" s="8"/>
      <c r="I252" s="8"/>
      <c r="J252" s="8"/>
    </row>
    <row r="253" spans="1:10" s="9" customFormat="1" ht="21.9" customHeight="1">
      <c r="A253" s="6"/>
      <c r="B253" s="6"/>
      <c r="C253" s="6"/>
      <c r="D253" s="6"/>
      <c r="E253" s="6"/>
      <c r="F253" s="8"/>
      <c r="G253" s="8"/>
      <c r="H253" s="8"/>
      <c r="I253" s="8"/>
      <c r="J253" s="8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0"/>
      <c r="G255" s="10"/>
      <c r="H255" s="10"/>
      <c r="I255" s="10"/>
      <c r="J255" s="10"/>
    </row>
    <row r="256" spans="1:10" s="9" customFormat="1" ht="13.2">
      <c r="A256" s="6"/>
      <c r="B256" s="6"/>
      <c r="C256" s="6"/>
      <c r="D256" s="6"/>
      <c r="E256" s="6"/>
      <c r="F256" s="12"/>
      <c r="G256" s="12"/>
      <c r="H256" s="12"/>
      <c r="I256" s="12"/>
      <c r="J256" s="12"/>
    </row>
    <row r="257" spans="1:10" s="9" customFormat="1" ht="13.2">
      <c r="A257" s="6"/>
      <c r="B257" s="6"/>
      <c r="C257" s="6"/>
      <c r="D257" s="6"/>
      <c r="E257" s="6"/>
      <c r="F257" s="12"/>
      <c r="G257" s="12"/>
      <c r="H257" s="12"/>
      <c r="I257" s="12"/>
      <c r="J257" s="12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8"/>
      <c r="G260" s="8"/>
      <c r="H260" s="8"/>
      <c r="I260" s="8"/>
      <c r="J260" s="8"/>
    </row>
    <row r="261" spans="1:10" s="9" customFormat="1" ht="13.2">
      <c r="A261" s="6"/>
      <c r="B261" s="6"/>
      <c r="C261" s="6"/>
      <c r="D261" s="6"/>
      <c r="E261" s="6"/>
      <c r="F261" s="8"/>
      <c r="G261" s="8"/>
      <c r="H261" s="8"/>
      <c r="I261" s="8"/>
      <c r="J261" s="8"/>
    </row>
    <row r="262" spans="1:10" s="9" customFormat="1" ht="13.2">
      <c r="A262" s="6"/>
      <c r="B262" s="6"/>
      <c r="C262" s="6"/>
      <c r="D262" s="6"/>
      <c r="E262" s="6"/>
      <c r="F262" s="11"/>
      <c r="G262" s="11"/>
      <c r="H262" s="11"/>
      <c r="I262" s="11"/>
      <c r="J262" s="11"/>
    </row>
    <row r="263" spans="1:10" s="9" customFormat="1" ht="13.2">
      <c r="A263" s="6"/>
      <c r="B263" s="6"/>
      <c r="C263" s="6"/>
      <c r="D263" s="6"/>
      <c r="E263" s="6"/>
      <c r="F263" s="12"/>
      <c r="G263" s="12"/>
      <c r="H263" s="12"/>
      <c r="I263" s="12"/>
      <c r="J263" s="12"/>
    </row>
    <row r="264" spans="1:10" s="9" customFormat="1" ht="13.2">
      <c r="A264" s="6"/>
      <c r="B264" s="6"/>
      <c r="C264" s="6"/>
      <c r="D264" s="6"/>
      <c r="E264" s="6"/>
      <c r="F264" s="10"/>
      <c r="G264" s="10"/>
      <c r="H264" s="10"/>
      <c r="I264" s="10"/>
      <c r="J264" s="10"/>
    </row>
    <row r="265" spans="1:10" s="9" customFormat="1" ht="13.2">
      <c r="A265" s="6"/>
      <c r="B265" s="6"/>
      <c r="C265" s="6"/>
      <c r="D265" s="6"/>
      <c r="E265" s="6"/>
      <c r="F265" s="11"/>
      <c r="G265" s="11"/>
      <c r="H265" s="11"/>
      <c r="I265" s="11"/>
      <c r="J265" s="11"/>
    </row>
    <row r="266" spans="1:10" s="9" customFormat="1" ht="13.2">
      <c r="A266" s="6"/>
      <c r="B266" s="6"/>
      <c r="C266" s="6"/>
      <c r="D266" s="6"/>
      <c r="E266" s="6"/>
      <c r="F266" s="8"/>
      <c r="G266" s="8"/>
      <c r="H266" s="8"/>
      <c r="I266" s="8"/>
      <c r="J266" s="8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7"/>
      <c r="G269" s="7"/>
      <c r="H269" s="7"/>
      <c r="I269" s="7"/>
      <c r="J269" s="7"/>
    </row>
    <row r="270" spans="1:10" s="9" customFormat="1" ht="13.2">
      <c r="A270" s="6"/>
      <c r="B270" s="6"/>
      <c r="C270" s="6"/>
      <c r="D270" s="6"/>
      <c r="E270" s="6"/>
      <c r="F270" s="7"/>
      <c r="G270" s="7"/>
      <c r="H270" s="7"/>
      <c r="I270" s="7"/>
      <c r="J270" s="7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</row>
    <row r="278" spans="1:10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11"/>
      <c r="G280" s="11"/>
      <c r="H280" s="11"/>
      <c r="I280" s="11"/>
      <c r="J280" s="11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12"/>
      <c r="G283" s="12"/>
      <c r="H283" s="12"/>
      <c r="I283" s="12"/>
      <c r="J283" s="12"/>
    </row>
    <row r="284" spans="1:10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12"/>
      <c r="G286" s="12"/>
      <c r="H286" s="12"/>
      <c r="I286" s="12"/>
      <c r="J286" s="12"/>
    </row>
    <row r="287" spans="1:10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11"/>
      <c r="G289" s="11"/>
      <c r="H289" s="11"/>
      <c r="I289" s="11"/>
      <c r="J289" s="11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11"/>
      <c r="G293" s="11"/>
      <c r="H293" s="11"/>
      <c r="I293" s="11"/>
      <c r="J293" s="11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</row>
    <row r="299" spans="1:10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</row>
    <row r="300" spans="1:10" s="9" customFormat="1" ht="13.2">
      <c r="A300" s="6"/>
      <c r="B300" s="6"/>
      <c r="C300" s="6"/>
      <c r="D300" s="6"/>
      <c r="E300" s="6"/>
      <c r="F300" s="10"/>
      <c r="G300" s="10"/>
      <c r="H300" s="10"/>
      <c r="I300" s="10"/>
      <c r="J300" s="10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11"/>
      <c r="G303" s="11"/>
      <c r="H303" s="11"/>
      <c r="I303" s="11"/>
      <c r="J303" s="11"/>
    </row>
    <row r="304" spans="1:10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</row>
    <row r="305" spans="1:10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</row>
    <row r="306" spans="1:10" s="9" customFormat="1" ht="13.2">
      <c r="A306" s="6"/>
      <c r="B306" s="6"/>
      <c r="C306" s="6"/>
      <c r="D306" s="6"/>
      <c r="E306" s="6"/>
      <c r="F306" s="11"/>
      <c r="G306" s="11"/>
      <c r="H306" s="11"/>
      <c r="I306" s="11"/>
      <c r="J306" s="11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 s="9" customFormat="1" ht="13.2">
      <c r="A309" s="6"/>
      <c r="B309" s="6"/>
      <c r="C309" s="6"/>
      <c r="D309" s="6"/>
      <c r="E309" s="6"/>
      <c r="F309" s="11"/>
      <c r="G309" s="11"/>
      <c r="H309" s="11"/>
      <c r="I309" s="11"/>
      <c r="J309" s="11"/>
    </row>
    <row r="310" spans="1:10" s="9" customFormat="1" ht="13.2">
      <c r="A310" s="6"/>
      <c r="B310" s="6"/>
      <c r="C310" s="6"/>
      <c r="D310" s="6"/>
      <c r="E310" s="6"/>
      <c r="F310" s="11"/>
      <c r="G310" s="11"/>
      <c r="H310" s="11"/>
      <c r="I310" s="11"/>
      <c r="J310" s="11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</row>
    <row r="315" spans="1:10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</row>
    <row r="316" spans="1:10" s="9" customFormat="1" ht="13.2">
      <c r="A316" s="6"/>
      <c r="B316" s="6"/>
      <c r="C316" s="6"/>
      <c r="D316" s="6"/>
      <c r="E316" s="6"/>
      <c r="F316" s="7"/>
      <c r="G316" s="7"/>
      <c r="H316" s="7"/>
      <c r="I316" s="7"/>
      <c r="J316" s="7"/>
    </row>
    <row r="317" spans="1:10" s="9" customFormat="1" ht="13.2">
      <c r="A317" s="6"/>
      <c r="B317" s="6"/>
      <c r="C317" s="6"/>
      <c r="D317" s="6"/>
      <c r="E317" s="6"/>
      <c r="F317" s="7"/>
      <c r="G317" s="7"/>
      <c r="H317" s="7"/>
      <c r="I317" s="7"/>
      <c r="J317" s="7"/>
    </row>
    <row r="318" spans="1:10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</row>
    <row r="319" spans="1:10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8"/>
      <c r="G321" s="8"/>
      <c r="H321" s="8"/>
      <c r="I321" s="8"/>
      <c r="J321" s="8"/>
    </row>
    <row r="322" spans="1:10" s="9" customFormat="1" ht="13.2">
      <c r="A322" s="6"/>
      <c r="B322" s="6"/>
      <c r="C322" s="6"/>
      <c r="D322" s="6"/>
      <c r="E322" s="6"/>
      <c r="F322" s="7"/>
      <c r="G322" s="7"/>
      <c r="H322" s="7"/>
      <c r="I322" s="7"/>
      <c r="J322" s="7"/>
    </row>
    <row r="323" spans="1:10" s="9" customFormat="1" ht="13.2">
      <c r="A323" s="6"/>
      <c r="B323" s="6"/>
      <c r="C323" s="6"/>
      <c r="D323" s="6"/>
      <c r="E323" s="6"/>
      <c r="F323" s="7"/>
      <c r="G323" s="7"/>
      <c r="H323" s="7"/>
      <c r="I323" s="7"/>
      <c r="J323" s="7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</row>
    <row r="330" spans="1:10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</row>
    <row r="331" spans="1:10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</row>
    <row r="332" spans="1:10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</row>
    <row r="359" spans="1:10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10"/>
      <c r="G361" s="10"/>
      <c r="H361" s="10"/>
      <c r="I361" s="10"/>
      <c r="J361" s="10"/>
    </row>
    <row r="362" spans="1:10" s="9" customFormat="1" ht="13.2">
      <c r="A362" s="6"/>
      <c r="B362" s="6"/>
      <c r="C362" s="6"/>
      <c r="D362" s="6"/>
      <c r="E362" s="6"/>
      <c r="F362" s="10"/>
      <c r="G362" s="10"/>
      <c r="H362" s="10"/>
      <c r="I362" s="10"/>
      <c r="J362" s="10"/>
    </row>
    <row r="363" spans="1:10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</row>
    <row r="364" spans="1:10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10"/>
      <c r="G366" s="10"/>
      <c r="H366" s="10"/>
      <c r="I366" s="10"/>
      <c r="J366" s="10"/>
    </row>
    <row r="367" spans="1:10" s="9" customFormat="1" ht="13.2">
      <c r="A367" s="6"/>
      <c r="B367" s="6"/>
      <c r="C367" s="6"/>
      <c r="D367" s="6"/>
      <c r="E367" s="6"/>
      <c r="F367" s="10"/>
      <c r="G367" s="10"/>
      <c r="H367" s="10"/>
      <c r="I367" s="10"/>
      <c r="J367" s="10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</row>
    <row r="370" spans="1:10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</row>
    <row r="371" spans="1:10" s="9" customFormat="1" ht="13.2">
      <c r="A371" s="6"/>
      <c r="B371" s="6"/>
      <c r="C371" s="6"/>
      <c r="D371" s="6"/>
      <c r="E371" s="6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2"/>
      <c r="G378" s="12"/>
      <c r="H378" s="12"/>
      <c r="I378" s="12"/>
      <c r="J378" s="12"/>
    </row>
    <row r="379" spans="1:10" s="9" customFormat="1" ht="13.2">
      <c r="A379" s="13"/>
      <c r="B379" s="13"/>
      <c r="C379" s="13"/>
      <c r="D379" s="13"/>
      <c r="E379" s="13"/>
      <c r="F379" s="12"/>
      <c r="G379" s="12"/>
      <c r="H379" s="12"/>
      <c r="I379" s="12"/>
      <c r="J379" s="12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1"/>
      <c r="G382" s="11"/>
      <c r="H382" s="11"/>
      <c r="I382" s="11"/>
      <c r="J382" s="11"/>
    </row>
    <row r="383" spans="1:10" s="9" customFormat="1" ht="13.2">
      <c r="A383" s="13"/>
      <c r="B383" s="13"/>
      <c r="C383" s="13"/>
      <c r="D383" s="13"/>
      <c r="E383" s="13"/>
      <c r="F383" s="11"/>
      <c r="G383" s="11"/>
      <c r="H383" s="11"/>
      <c r="I383" s="11"/>
      <c r="J383" s="11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8"/>
      <c r="G387" s="8"/>
      <c r="H387" s="8"/>
      <c r="I387" s="8"/>
      <c r="J387" s="8"/>
    </row>
    <row r="388" spans="1:10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</row>
    <row r="389" spans="1:10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4"/>
      <c r="G395" s="14"/>
      <c r="H395" s="14"/>
      <c r="I395" s="14"/>
      <c r="J395" s="14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0"/>
      <c r="G397" s="10"/>
      <c r="H397" s="10"/>
      <c r="I397" s="10"/>
      <c r="J397" s="10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14"/>
      <c r="G399" s="14"/>
      <c r="H399" s="14"/>
      <c r="I399" s="14"/>
      <c r="J399" s="14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8"/>
      <c r="G401" s="8"/>
      <c r="H401" s="8"/>
      <c r="I401" s="8"/>
      <c r="J401" s="8"/>
    </row>
    <row r="402" spans="1:10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</row>
    <row r="403" spans="1:10" s="9" customFormat="1" ht="13.2">
      <c r="A403" s="13"/>
      <c r="B403" s="13"/>
      <c r="C403" s="13"/>
      <c r="D403" s="13"/>
      <c r="E403" s="13"/>
      <c r="F403" s="10"/>
      <c r="G403" s="10"/>
      <c r="H403" s="10"/>
      <c r="I403" s="10"/>
      <c r="J403" s="10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2"/>
      <c r="G408" s="12"/>
      <c r="H408" s="12"/>
      <c r="I408" s="12"/>
      <c r="J408" s="12"/>
    </row>
    <row r="409" spans="1:10" s="9" customFormat="1" ht="13.2">
      <c r="A409" s="13"/>
      <c r="B409" s="13"/>
      <c r="C409" s="13"/>
      <c r="D409" s="13"/>
      <c r="E409" s="13"/>
      <c r="F409" s="12"/>
      <c r="G409" s="12"/>
      <c r="H409" s="12"/>
      <c r="I409" s="12"/>
      <c r="J409" s="12"/>
    </row>
    <row r="410" spans="1:10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</row>
    <row r="416" spans="1:10" s="9" customFormat="1" ht="13.2">
      <c r="A416" s="13"/>
      <c r="B416" s="13"/>
      <c r="C416" s="13"/>
      <c r="D416" s="13"/>
      <c r="E416" s="13"/>
      <c r="F416" s="8"/>
      <c r="G416" s="8"/>
      <c r="H416" s="8"/>
      <c r="I416" s="8"/>
      <c r="J416" s="8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0"/>
      <c r="G419" s="10"/>
      <c r="H419" s="10"/>
      <c r="I419" s="10"/>
      <c r="J419" s="10"/>
    </row>
    <row r="420" spans="1:10" s="9" customFormat="1" ht="13.2">
      <c r="A420" s="13"/>
      <c r="B420" s="13"/>
      <c r="C420" s="13"/>
      <c r="D420" s="13"/>
      <c r="E420" s="13"/>
      <c r="F420" s="10"/>
      <c r="G420" s="10"/>
      <c r="H420" s="10"/>
      <c r="I420" s="10"/>
      <c r="J420" s="10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</row>
    <row r="423" spans="1:10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</row>
    <row r="424" spans="1:10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</row>
    <row r="425" spans="1:10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</row>
    <row r="426" spans="1:10" s="9" customFormat="1" ht="13.2">
      <c r="A426" s="13"/>
      <c r="B426" s="13"/>
      <c r="C426" s="13"/>
      <c r="D426" s="13"/>
      <c r="E426" s="13"/>
      <c r="F426" s="12"/>
      <c r="G426" s="12"/>
      <c r="H426" s="12"/>
      <c r="I426" s="12"/>
      <c r="J426" s="12"/>
    </row>
    <row r="427" spans="1:10" s="9" customFormat="1" ht="13.2">
      <c r="A427" s="13"/>
      <c r="B427" s="13"/>
      <c r="C427" s="13"/>
      <c r="D427" s="13"/>
      <c r="E427" s="13"/>
      <c r="F427" s="12"/>
      <c r="G427" s="12"/>
      <c r="H427" s="12"/>
      <c r="I427" s="12"/>
      <c r="J427" s="12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8"/>
      <c r="G432" s="8"/>
      <c r="H432" s="8"/>
      <c r="I432" s="8"/>
      <c r="J432" s="8"/>
    </row>
    <row r="433" spans="1:10" s="9" customFormat="1" ht="13.2">
      <c r="A433" s="13"/>
      <c r="B433" s="13"/>
      <c r="C433" s="13"/>
      <c r="D433" s="13"/>
      <c r="E433" s="13"/>
      <c r="F433" s="8"/>
      <c r="G433" s="8"/>
      <c r="H433" s="8"/>
      <c r="I433" s="8"/>
      <c r="J433" s="8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3"/>
      <c r="B436" s="13"/>
      <c r="C436" s="13"/>
      <c r="D436" s="13"/>
      <c r="E436" s="13"/>
      <c r="F436" s="11"/>
      <c r="G436" s="11"/>
      <c r="H436" s="11"/>
      <c r="I436" s="11"/>
      <c r="J436" s="11"/>
    </row>
    <row r="437" spans="1:10" s="9" customFormat="1" ht="13.2">
      <c r="A437" s="13"/>
      <c r="B437" s="13"/>
      <c r="C437" s="13"/>
      <c r="D437" s="13"/>
      <c r="E437" s="13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1"/>
      <c r="G439" s="11"/>
      <c r="H439" s="11"/>
      <c r="I439" s="11"/>
      <c r="J439" s="11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12"/>
      <c r="G444" s="12"/>
      <c r="H444" s="12"/>
      <c r="I444" s="12"/>
      <c r="J444" s="12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8"/>
      <c r="G446" s="8"/>
      <c r="H446" s="8"/>
      <c r="I446" s="8"/>
      <c r="J446" s="8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12"/>
      <c r="G448" s="12"/>
      <c r="H448" s="12"/>
      <c r="I448" s="12"/>
      <c r="J448" s="12"/>
    </row>
    <row r="449" spans="1:10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8"/>
      <c r="G454" s="8"/>
      <c r="H454" s="8"/>
      <c r="I454" s="8"/>
      <c r="J454" s="8"/>
    </row>
    <row r="455" spans="1:10" s="9" customFormat="1" ht="13.2">
      <c r="A455" s="15"/>
      <c r="B455" s="15"/>
      <c r="C455" s="15"/>
      <c r="D455" s="15"/>
      <c r="E455" s="15"/>
      <c r="F455" s="8"/>
      <c r="G455" s="8"/>
      <c r="H455" s="8"/>
      <c r="I455" s="8"/>
      <c r="J455" s="8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11"/>
      <c r="G460" s="11"/>
      <c r="H460" s="11"/>
      <c r="I460" s="11"/>
      <c r="J460" s="11"/>
    </row>
    <row r="461" spans="1:10" s="9" customFormat="1" ht="13.2">
      <c r="A461" s="15"/>
      <c r="B461" s="15"/>
      <c r="C461" s="15"/>
      <c r="D461" s="15"/>
      <c r="E461" s="15"/>
      <c r="F461" s="11"/>
      <c r="G461" s="11"/>
      <c r="H461" s="11"/>
      <c r="I461" s="11"/>
      <c r="J461" s="11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</row>
    <row r="468" spans="1:10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</row>
    <row r="469" spans="1:10" s="9" customFormat="1" ht="13.2">
      <c r="A469" s="6"/>
      <c r="B469" s="6"/>
      <c r="C469" s="6"/>
      <c r="D469" s="6"/>
      <c r="E469" s="6"/>
      <c r="F469" s="12"/>
      <c r="G469" s="12"/>
      <c r="H469" s="12"/>
      <c r="I469" s="12"/>
      <c r="J469" s="12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11"/>
      <c r="G471" s="11"/>
      <c r="H471" s="11"/>
      <c r="I471" s="11"/>
      <c r="J471" s="11"/>
    </row>
    <row r="472" spans="1:10" s="9" customFormat="1" ht="13.2">
      <c r="A472" s="6"/>
      <c r="B472" s="6"/>
      <c r="C472" s="6"/>
      <c r="D472" s="6"/>
      <c r="E472" s="6"/>
      <c r="F472" s="12"/>
      <c r="G472" s="12"/>
      <c r="H472" s="12"/>
      <c r="I472" s="12"/>
      <c r="J472" s="12"/>
    </row>
    <row r="473" spans="1:10" s="9" customFormat="1" ht="13.2">
      <c r="A473" s="6"/>
      <c r="B473" s="6"/>
      <c r="C473" s="6"/>
      <c r="D473" s="6"/>
      <c r="E473" s="6"/>
      <c r="F473" s="8"/>
      <c r="G473" s="8"/>
      <c r="H473" s="8"/>
      <c r="I473" s="8"/>
      <c r="J473" s="8"/>
    </row>
    <row r="474" spans="1:10" s="9" customFormat="1" ht="13.2">
      <c r="A474" s="6"/>
      <c r="B474" s="6"/>
      <c r="C474" s="6"/>
      <c r="D474" s="6"/>
      <c r="E474" s="6"/>
      <c r="F474" s="8"/>
      <c r="G474" s="8"/>
      <c r="H474" s="8"/>
      <c r="I474" s="8"/>
      <c r="J474" s="8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2"/>
      <c r="G476" s="12"/>
      <c r="H476" s="12"/>
      <c r="I476" s="12"/>
      <c r="J476" s="12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</row>
    <row r="484" spans="1:10" s="9" customFormat="1" ht="13.2">
      <c r="A484" s="6"/>
      <c r="B484" s="6"/>
      <c r="C484" s="6"/>
      <c r="D484" s="6"/>
      <c r="E484" s="6"/>
      <c r="F484" s="11"/>
      <c r="G484" s="11"/>
      <c r="H484" s="11"/>
      <c r="I484" s="11"/>
      <c r="J484" s="11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8"/>
      <c r="G489" s="8"/>
      <c r="H489" s="8"/>
      <c r="I489" s="8"/>
      <c r="J489" s="8"/>
    </row>
    <row r="490" spans="1:10" s="9" customFormat="1" ht="13.2">
      <c r="A490" s="6"/>
      <c r="B490" s="6"/>
      <c r="C490" s="6"/>
      <c r="D490" s="6"/>
      <c r="E490" s="6"/>
      <c r="F490" s="8"/>
      <c r="G490" s="8"/>
      <c r="H490" s="8"/>
      <c r="I490" s="8"/>
      <c r="J490" s="8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0"/>
      <c r="G492" s="10"/>
      <c r="H492" s="10"/>
      <c r="I492" s="10"/>
      <c r="J492" s="10"/>
    </row>
    <row r="493" spans="1:10" s="9" customFormat="1" ht="13.2">
      <c r="A493" s="6"/>
      <c r="B493" s="6"/>
      <c r="C493" s="6"/>
      <c r="D493" s="6"/>
      <c r="E493" s="6"/>
      <c r="F493" s="12"/>
      <c r="G493" s="12"/>
      <c r="H493" s="12"/>
      <c r="I493" s="12"/>
      <c r="J493" s="12"/>
    </row>
    <row r="494" spans="1:10" s="9" customFormat="1" ht="13.2">
      <c r="A494" s="6"/>
      <c r="B494" s="6"/>
      <c r="C494" s="6"/>
      <c r="D494" s="6"/>
      <c r="E494" s="6"/>
      <c r="F494" s="12"/>
      <c r="G494" s="12"/>
      <c r="H494" s="12"/>
      <c r="I494" s="12"/>
      <c r="J494" s="12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</row>
    <row r="498" spans="1:10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</row>
    <row r="499" spans="1:10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</row>
    <row r="500" spans="1:10" s="9" customFormat="1" ht="13.2">
      <c r="A500" s="6"/>
      <c r="B500" s="6"/>
      <c r="C500" s="6"/>
      <c r="D500" s="6"/>
      <c r="E500" s="6"/>
      <c r="F500" s="12"/>
      <c r="G500" s="12"/>
      <c r="H500" s="12"/>
      <c r="I500" s="12"/>
      <c r="J500" s="12"/>
    </row>
    <row r="501" spans="1:10" s="9" customFormat="1" ht="13.2">
      <c r="A501" s="6"/>
      <c r="B501" s="6"/>
      <c r="C501" s="6"/>
      <c r="D501" s="6"/>
      <c r="E501" s="6"/>
      <c r="F501" s="10"/>
      <c r="G501" s="10"/>
      <c r="H501" s="10"/>
      <c r="I501" s="10"/>
      <c r="J501" s="10"/>
    </row>
    <row r="502" spans="1:10" s="9" customFormat="1" ht="13.2">
      <c r="A502" s="6"/>
      <c r="B502" s="6"/>
      <c r="C502" s="6"/>
      <c r="D502" s="6"/>
      <c r="E502" s="6"/>
      <c r="F502" s="11"/>
      <c r="G502" s="11"/>
      <c r="H502" s="11"/>
      <c r="I502" s="11"/>
      <c r="J502" s="11"/>
    </row>
    <row r="503" spans="1:10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7"/>
      <c r="G506" s="7"/>
      <c r="H506" s="7"/>
      <c r="I506" s="7"/>
      <c r="J506" s="7"/>
    </row>
    <row r="507" spans="1:10" s="9" customFormat="1" ht="13.2">
      <c r="A507" s="6"/>
      <c r="B507" s="6"/>
      <c r="C507" s="6"/>
      <c r="D507" s="6"/>
      <c r="E507" s="6"/>
      <c r="F507" s="7"/>
      <c r="G507" s="7"/>
      <c r="H507" s="7"/>
      <c r="I507" s="7"/>
      <c r="J507" s="7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</row>
    <row r="515" spans="1:10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11"/>
      <c r="G517" s="11"/>
      <c r="H517" s="11"/>
      <c r="I517" s="11"/>
      <c r="J517" s="11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12"/>
      <c r="G520" s="12"/>
      <c r="H520" s="12"/>
      <c r="I520" s="12"/>
      <c r="J520" s="12"/>
    </row>
    <row r="521" spans="1:10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12"/>
      <c r="G523" s="12"/>
      <c r="H523" s="12"/>
      <c r="I523" s="12"/>
      <c r="J523" s="12"/>
    </row>
    <row r="524" spans="1:10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11"/>
      <c r="G526" s="11"/>
      <c r="H526" s="11"/>
      <c r="I526" s="11"/>
      <c r="J526" s="11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11"/>
      <c r="G530" s="11"/>
      <c r="H530" s="11"/>
      <c r="I530" s="11"/>
      <c r="J530" s="11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</row>
    <row r="536" spans="1:10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</row>
    <row r="537" spans="1:10" s="9" customFormat="1" ht="13.2">
      <c r="A537" s="6"/>
      <c r="B537" s="6"/>
      <c r="C537" s="6"/>
      <c r="D537" s="6"/>
      <c r="E537" s="6"/>
      <c r="F537" s="10"/>
      <c r="G537" s="10"/>
      <c r="H537" s="10"/>
      <c r="I537" s="10"/>
      <c r="J537" s="10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11"/>
      <c r="G540" s="11"/>
      <c r="H540" s="11"/>
      <c r="I540" s="11"/>
      <c r="J540" s="11"/>
    </row>
    <row r="541" spans="1:10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</row>
    <row r="542" spans="1:10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</row>
    <row r="543" spans="1:10" s="9" customFormat="1" ht="13.2">
      <c r="A543" s="6"/>
      <c r="B543" s="6"/>
      <c r="C543" s="6"/>
      <c r="D543" s="6"/>
      <c r="E543" s="6"/>
      <c r="F543" s="11"/>
      <c r="G543" s="11"/>
      <c r="H543" s="11"/>
      <c r="I543" s="11"/>
      <c r="J543" s="11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spans="1:10" s="9" customFormat="1" ht="13.2">
      <c r="A546" s="6"/>
      <c r="B546" s="6"/>
      <c r="C546" s="6"/>
      <c r="D546" s="6"/>
      <c r="E546" s="6"/>
      <c r="F546" s="11"/>
      <c r="G546" s="11"/>
      <c r="H546" s="11"/>
      <c r="I546" s="11"/>
      <c r="J546" s="11"/>
    </row>
    <row r="547" spans="1:10" s="9" customFormat="1" ht="13.2">
      <c r="A547" s="6"/>
      <c r="B547" s="6"/>
      <c r="C547" s="6"/>
      <c r="D547" s="6"/>
      <c r="E547" s="6"/>
      <c r="F547" s="11"/>
      <c r="G547" s="11"/>
      <c r="H547" s="11"/>
      <c r="I547" s="11"/>
      <c r="J547" s="11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</row>
    <row r="552" spans="1:10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</row>
    <row r="553" spans="1:10" s="9" customFormat="1" ht="13.2">
      <c r="A553" s="6"/>
      <c r="B553" s="6"/>
      <c r="C553" s="6"/>
      <c r="D553" s="6"/>
      <c r="E553" s="6"/>
      <c r="F553" s="7"/>
      <c r="G553" s="7"/>
      <c r="H553" s="7"/>
      <c r="I553" s="7"/>
      <c r="J553" s="7"/>
    </row>
    <row r="554" spans="1:10" s="9" customFormat="1" ht="13.2">
      <c r="A554" s="6"/>
      <c r="B554" s="6"/>
      <c r="C554" s="6"/>
      <c r="D554" s="6"/>
      <c r="E554" s="6"/>
      <c r="F554" s="7"/>
      <c r="G554" s="7"/>
      <c r="H554" s="7"/>
      <c r="I554" s="7"/>
      <c r="J554" s="7"/>
    </row>
    <row r="555" spans="1:10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</row>
    <row r="556" spans="1:10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8"/>
      <c r="G558" s="8"/>
      <c r="H558" s="8"/>
      <c r="I558" s="8"/>
      <c r="J558" s="8"/>
    </row>
    <row r="559" spans="1:10" s="9" customFormat="1" ht="13.2">
      <c r="A559" s="6"/>
      <c r="B559" s="6"/>
      <c r="C559" s="6"/>
      <c r="D559" s="6"/>
      <c r="E559" s="6"/>
      <c r="F559" s="7"/>
      <c r="G559" s="7"/>
      <c r="H559" s="7"/>
      <c r="I559" s="7"/>
      <c r="J559" s="7"/>
    </row>
    <row r="560" spans="1:10" s="9" customFormat="1" ht="13.2">
      <c r="A560" s="6"/>
      <c r="B560" s="6"/>
      <c r="C560" s="6"/>
      <c r="D560" s="6"/>
      <c r="E560" s="6"/>
      <c r="F560" s="7"/>
      <c r="G560" s="7"/>
      <c r="H560" s="7"/>
      <c r="I560" s="7"/>
      <c r="J560" s="7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</row>
    <row r="567" spans="1:10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</row>
    <row r="568" spans="1:10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</row>
    <row r="569" spans="1:10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</row>
    <row r="596" spans="1:10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10"/>
      <c r="G598" s="10"/>
      <c r="H598" s="10"/>
      <c r="I598" s="10"/>
      <c r="J598" s="10"/>
    </row>
    <row r="599" spans="1:10" s="9" customFormat="1" ht="13.2">
      <c r="A599" s="6"/>
      <c r="B599" s="6"/>
      <c r="C599" s="6"/>
      <c r="D599" s="6"/>
      <c r="E599" s="6"/>
      <c r="F599" s="10"/>
      <c r="G599" s="10"/>
      <c r="H599" s="10"/>
      <c r="I599" s="10"/>
      <c r="J599" s="10"/>
    </row>
    <row r="600" spans="1:10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</row>
    <row r="601" spans="1:10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10"/>
      <c r="G603" s="10"/>
      <c r="H603" s="10"/>
      <c r="I603" s="10"/>
      <c r="J603" s="10"/>
    </row>
    <row r="604" spans="1:10" s="9" customFormat="1" ht="13.2">
      <c r="A604" s="6"/>
      <c r="B604" s="6"/>
      <c r="C604" s="6"/>
      <c r="D604" s="6"/>
      <c r="E604" s="6"/>
      <c r="F604" s="10"/>
      <c r="G604" s="10"/>
      <c r="H604" s="10"/>
      <c r="I604" s="10"/>
      <c r="J604" s="10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</row>
    <row r="607" spans="1:10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 ht="13.2">
      <c r="A613" s="6"/>
      <c r="B613" s="6"/>
      <c r="C613" s="6"/>
      <c r="D613" s="6"/>
      <c r="E613" s="6"/>
      <c r="F613" s="12"/>
      <c r="G613" s="12"/>
      <c r="H613" s="12"/>
      <c r="I613" s="12"/>
      <c r="J613" s="12"/>
    </row>
    <row r="614" spans="1:12" s="9" customFormat="1" ht="13.2">
      <c r="A614" s="6"/>
      <c r="B614" s="6"/>
      <c r="C614" s="6"/>
      <c r="D614" s="6"/>
      <c r="E614" s="6"/>
      <c r="F614" s="12"/>
      <c r="G614" s="12"/>
      <c r="H614" s="12"/>
      <c r="I614" s="12"/>
      <c r="J614" s="12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s="9" customForma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s="9" customForma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</sheetData>
  <mergeCells count="131">
    <mergeCell ref="A74:C74"/>
    <mergeCell ref="E74:H74"/>
    <mergeCell ref="J74:L74"/>
    <mergeCell ref="A75:C75"/>
    <mergeCell ref="E75:H75"/>
    <mergeCell ref="J75:L75"/>
    <mergeCell ref="J68:K68"/>
    <mergeCell ref="B69:C70"/>
    <mergeCell ref="D69:E70"/>
    <mergeCell ref="F69:G70"/>
    <mergeCell ref="H69:I70"/>
    <mergeCell ref="J69:K70"/>
    <mergeCell ref="A63:F63"/>
    <mergeCell ref="H63:I63"/>
    <mergeCell ref="A64:F64"/>
    <mergeCell ref="H64:I64"/>
    <mergeCell ref="B68:C68"/>
    <mergeCell ref="D68:E68"/>
    <mergeCell ref="F68:G68"/>
    <mergeCell ref="H68:I68"/>
    <mergeCell ref="A60:F60"/>
    <mergeCell ref="H60:I60"/>
    <mergeCell ref="A61:F61"/>
    <mergeCell ref="H61:I61"/>
    <mergeCell ref="A62:F62"/>
    <mergeCell ref="H62:I62"/>
    <mergeCell ref="A57:F57"/>
    <mergeCell ref="H57:I57"/>
    <mergeCell ref="A58:F58"/>
    <mergeCell ref="H58:I58"/>
    <mergeCell ref="A59:F59"/>
    <mergeCell ref="H59:I59"/>
    <mergeCell ref="A54:F54"/>
    <mergeCell ref="H54:I54"/>
    <mergeCell ref="A55:F55"/>
    <mergeCell ref="H55:I55"/>
    <mergeCell ref="A56:F56"/>
    <mergeCell ref="H56:I56"/>
    <mergeCell ref="A51:F51"/>
    <mergeCell ref="H51:L51"/>
    <mergeCell ref="A52:F52"/>
    <mergeCell ref="H52:L52"/>
    <mergeCell ref="H53:J53"/>
    <mergeCell ref="K53:L53"/>
    <mergeCell ref="A48:F48"/>
    <mergeCell ref="H48:L48"/>
    <mergeCell ref="A49:F49"/>
    <mergeCell ref="H49:L49"/>
    <mergeCell ref="A50:F50"/>
    <mergeCell ref="H50:L50"/>
    <mergeCell ref="A45:F45"/>
    <mergeCell ref="H45:L45"/>
    <mergeCell ref="A46:F46"/>
    <mergeCell ref="H46:L46"/>
    <mergeCell ref="A47:F47"/>
    <mergeCell ref="H47:L47"/>
    <mergeCell ref="A42:F42"/>
    <mergeCell ref="H42:L42"/>
    <mergeCell ref="A43:F43"/>
    <mergeCell ref="H43:L43"/>
    <mergeCell ref="A44:F44"/>
    <mergeCell ref="H44:L44"/>
    <mergeCell ref="B38:F38"/>
    <mergeCell ref="G38:H38"/>
    <mergeCell ref="B39:F39"/>
    <mergeCell ref="G39:H39"/>
    <mergeCell ref="B40:F40"/>
    <mergeCell ref="G40:I40"/>
    <mergeCell ref="B33:F33"/>
    <mergeCell ref="B35:F35"/>
    <mergeCell ref="G35:H35"/>
    <mergeCell ref="B36:F36"/>
    <mergeCell ref="G36:H36"/>
    <mergeCell ref="B37:F37"/>
    <mergeCell ref="G37:H37"/>
    <mergeCell ref="B30:F30"/>
    <mergeCell ref="G30:I30"/>
    <mergeCell ref="B31:F31"/>
    <mergeCell ref="G31:I31"/>
    <mergeCell ref="B32:F32"/>
    <mergeCell ref="G32:I32"/>
    <mergeCell ref="B27:F27"/>
    <mergeCell ref="G27:I27"/>
    <mergeCell ref="B28:F28"/>
    <mergeCell ref="G28:I28"/>
    <mergeCell ref="B29:F29"/>
    <mergeCell ref="G29:I29"/>
    <mergeCell ref="B24:F24"/>
    <mergeCell ref="G24:I24"/>
    <mergeCell ref="B25:F25"/>
    <mergeCell ref="G25:I25"/>
    <mergeCell ref="B26:F26"/>
    <mergeCell ref="G26:I26"/>
    <mergeCell ref="B21:F21"/>
    <mergeCell ref="G21:I21"/>
    <mergeCell ref="B22:F22"/>
    <mergeCell ref="G22:I22"/>
    <mergeCell ref="B23:F23"/>
    <mergeCell ref="G23:I23"/>
    <mergeCell ref="B18:F18"/>
    <mergeCell ref="G18:I18"/>
    <mergeCell ref="B19:F19"/>
    <mergeCell ref="G19:I19"/>
    <mergeCell ref="B20:F20"/>
    <mergeCell ref="G20:I20"/>
    <mergeCell ref="B15:F15"/>
    <mergeCell ref="G15:I15"/>
    <mergeCell ref="B16:F16"/>
    <mergeCell ref="G16:I16"/>
    <mergeCell ref="B17:F17"/>
    <mergeCell ref="G17:I17"/>
    <mergeCell ref="B12:F12"/>
    <mergeCell ref="G12:I12"/>
    <mergeCell ref="B13:F13"/>
    <mergeCell ref="G13:I13"/>
    <mergeCell ref="B14:F14"/>
    <mergeCell ref="G14:I14"/>
    <mergeCell ref="K6:L6"/>
    <mergeCell ref="B7:H7"/>
    <mergeCell ref="K9:L9"/>
    <mergeCell ref="A10:A11"/>
    <mergeCell ref="B10:F11"/>
    <mergeCell ref="G10:I11"/>
    <mergeCell ref="J10:K10"/>
    <mergeCell ref="L10:L11"/>
    <mergeCell ref="B3:H3"/>
    <mergeCell ref="K3:L3"/>
    <mergeCell ref="B4:H4"/>
    <mergeCell ref="K4:L4"/>
    <mergeCell ref="B5:H5"/>
    <mergeCell ref="K5:L5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6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O620"/>
  <sheetViews>
    <sheetView zoomScale="70" zoomScaleNormal="70" workbookViewId="0">
      <selection activeCell="B25" activeCellId="3" sqref="J69:K70 B27:F27 B25:F25 B25:F25"/>
    </sheetView>
  </sheetViews>
  <sheetFormatPr defaultColWidth="9.109375" defaultRowHeight="13.8"/>
  <cols>
    <col min="1" max="1" width="17.332031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3.3320312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9.44140625" style="1" customWidth="1"/>
    <col min="11" max="11" width="17" style="1" customWidth="1"/>
    <col min="12" max="12" width="23.3320312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 t="s">
        <v>1</v>
      </c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3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4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6</v>
      </c>
      <c r="L5" s="557"/>
    </row>
    <row r="6" spans="1:15" s="16" customFormat="1" ht="16.5" customHeight="1">
      <c r="A6" s="69"/>
      <c r="B6" s="78" t="s">
        <v>7</v>
      </c>
      <c r="C6" s="78"/>
      <c r="D6" s="78"/>
      <c r="E6" s="78"/>
      <c r="F6" s="78"/>
      <c r="G6" s="78"/>
      <c r="H6" s="78"/>
      <c r="I6" s="21" t="s">
        <v>8</v>
      </c>
      <c r="J6" s="21"/>
      <c r="K6" s="560" t="s">
        <v>67</v>
      </c>
      <c r="L6" s="561"/>
    </row>
    <row r="7" spans="1:15" s="16" customFormat="1" ht="16.5" customHeight="1">
      <c r="A7" s="22" t="s">
        <v>10</v>
      </c>
      <c r="B7" s="556" t="s">
        <v>11</v>
      </c>
      <c r="C7" s="556"/>
      <c r="D7" s="556"/>
      <c r="E7" s="556"/>
      <c r="F7" s="556"/>
      <c r="G7" s="556"/>
      <c r="H7" s="556"/>
    </row>
    <row r="8" spans="1:15" s="16" customFormat="1" ht="16.5" customHeight="1">
      <c r="A8" s="22"/>
      <c r="B8" s="23"/>
      <c r="C8" s="23"/>
      <c r="D8" s="23"/>
      <c r="E8" s="23"/>
      <c r="F8" s="23"/>
      <c r="G8" s="23"/>
      <c r="J8" s="59"/>
      <c r="K8" s="62"/>
      <c r="L8" s="62"/>
    </row>
    <row r="9" spans="1:15" ht="16.5" customHeight="1">
      <c r="A9" s="24" t="s">
        <v>12</v>
      </c>
      <c r="B9" s="3"/>
      <c r="C9" s="3"/>
      <c r="D9" s="3"/>
      <c r="E9" s="3"/>
      <c r="F9" s="3"/>
      <c r="G9" s="3"/>
      <c r="H9" s="3"/>
      <c r="I9" s="3"/>
      <c r="J9" s="3"/>
      <c r="K9" s="555"/>
      <c r="L9" s="555"/>
    </row>
    <row r="10" spans="1:15" s="2" customFormat="1" ht="16.5" customHeight="1">
      <c r="A10" s="552" t="s">
        <v>13</v>
      </c>
      <c r="B10" s="552" t="s">
        <v>14</v>
      </c>
      <c r="C10" s="552"/>
      <c r="D10" s="552"/>
      <c r="E10" s="552"/>
      <c r="F10" s="552"/>
      <c r="G10" s="552" t="s">
        <v>15</v>
      </c>
      <c r="H10" s="552"/>
      <c r="I10" s="552"/>
      <c r="J10" s="553" t="s">
        <v>16</v>
      </c>
      <c r="K10" s="553"/>
      <c r="L10" s="552" t="s">
        <v>17</v>
      </c>
    </row>
    <row r="11" spans="1:15" s="2" customFormat="1" ht="16.5" customHeight="1">
      <c r="A11" s="552"/>
      <c r="B11" s="552"/>
      <c r="C11" s="552"/>
      <c r="D11" s="552"/>
      <c r="E11" s="552"/>
      <c r="F11" s="552"/>
      <c r="G11" s="552"/>
      <c r="H11" s="552"/>
      <c r="I11" s="552"/>
      <c r="J11" s="60" t="s">
        <v>18</v>
      </c>
      <c r="K11" s="20" t="s">
        <v>19</v>
      </c>
      <c r="L11" s="552"/>
    </row>
    <row r="12" spans="1:15" s="18" customFormat="1" ht="16.5" customHeight="1">
      <c r="A12" s="79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 t="str">
        <f>swa!A43</f>
        <v>105(1)</v>
      </c>
      <c r="B13" s="558" t="str">
        <f>swa!B43:E43</f>
        <v>Sub-Grade Preparation(Common Materials)</v>
      </c>
      <c r="C13" s="558"/>
      <c r="D13" s="558"/>
      <c r="E13" s="558"/>
      <c r="F13" s="558"/>
      <c r="G13" s="559" t="s">
        <v>20</v>
      </c>
      <c r="H13" s="559"/>
      <c r="I13" s="559"/>
      <c r="J13" s="216">
        <f>N18</f>
        <v>225</v>
      </c>
      <c r="K13" s="53"/>
      <c r="L13" s="55" t="s">
        <v>21</v>
      </c>
    </row>
    <row r="14" spans="1:15" s="18" customFormat="1" ht="16.5" customHeight="1">
      <c r="A14" s="215" t="str">
        <f>swa!A45</f>
        <v>200(1)</v>
      </c>
      <c r="B14" s="558" t="str">
        <f>swa!B45:E45</f>
        <v>Aggregate Subbase Course</v>
      </c>
      <c r="C14" s="558"/>
      <c r="D14" s="558"/>
      <c r="E14" s="558"/>
      <c r="F14" s="558"/>
      <c r="G14" s="559" t="s">
        <v>20</v>
      </c>
      <c r="H14" s="559"/>
      <c r="I14" s="559"/>
      <c r="J14" s="216">
        <f>J13*8.1*0.2</f>
        <v>364.5</v>
      </c>
      <c r="K14" s="53"/>
      <c r="L14" s="55" t="s">
        <v>22</v>
      </c>
    </row>
    <row r="15" spans="1:15" s="18" customFormat="1" ht="16.5" customHeight="1">
      <c r="A15" s="215" t="str">
        <f>swa!A47</f>
        <v>311(1)c</v>
      </c>
      <c r="B15" s="558" t="str">
        <f>swa!B47:E47</f>
        <v>Portland Cement Concrete Pavement, 230mm</v>
      </c>
      <c r="C15" s="558"/>
      <c r="D15" s="558"/>
      <c r="E15" s="558"/>
      <c r="F15" s="558"/>
      <c r="G15" s="559" t="s">
        <v>20</v>
      </c>
      <c r="H15" s="559"/>
      <c r="I15" s="559"/>
      <c r="J15" s="216">
        <f>N18</f>
        <v>225</v>
      </c>
      <c r="K15" s="53"/>
      <c r="L15" s="55" t="s">
        <v>21</v>
      </c>
      <c r="N15" s="18">
        <f>8*9</f>
        <v>72</v>
      </c>
    </row>
    <row r="16" spans="1:15" s="18" customFormat="1" ht="16.5" customHeight="1">
      <c r="A16" s="215"/>
      <c r="B16" s="558"/>
      <c r="C16" s="558"/>
      <c r="D16" s="558"/>
      <c r="E16" s="558"/>
      <c r="F16" s="558"/>
      <c r="G16" s="559"/>
      <c r="H16" s="559"/>
      <c r="I16" s="559"/>
      <c r="J16" s="216"/>
      <c r="K16" s="53"/>
      <c r="L16" s="55"/>
      <c r="N16" s="18">
        <f>50*1.5</f>
        <v>75</v>
      </c>
      <c r="O16" s="18">
        <f>102/1.5</f>
        <v>68</v>
      </c>
    </row>
    <row r="17" spans="1:14" s="18" customFormat="1" ht="16.5" customHeight="1">
      <c r="A17" s="215"/>
      <c r="B17" s="558"/>
      <c r="C17" s="558"/>
      <c r="D17" s="558"/>
      <c r="E17" s="558"/>
      <c r="F17" s="558"/>
      <c r="G17" s="559"/>
      <c r="H17" s="559"/>
      <c r="I17" s="559"/>
      <c r="J17" s="53"/>
      <c r="K17" s="53"/>
      <c r="L17" s="55"/>
      <c r="N17" s="18">
        <v>3</v>
      </c>
    </row>
    <row r="18" spans="1:14" s="18" customFormat="1" ht="16.5" customHeight="1">
      <c r="A18" s="54"/>
      <c r="B18" s="558"/>
      <c r="C18" s="558"/>
      <c r="D18" s="558"/>
      <c r="E18" s="558"/>
      <c r="F18" s="558"/>
      <c r="G18" s="559"/>
      <c r="H18" s="559"/>
      <c r="I18" s="559"/>
      <c r="J18" s="53"/>
      <c r="K18" s="53"/>
      <c r="L18" s="55"/>
      <c r="N18" s="18">
        <f>N16*3</f>
        <v>225</v>
      </c>
    </row>
    <row r="19" spans="1:14" s="18" customFormat="1" ht="16.5" customHeight="1">
      <c r="A19" s="54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4" s="18" customFormat="1" ht="16.5" customHeight="1">
      <c r="A20" s="54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4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4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4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4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4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4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4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4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4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4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4" s="18" customFormat="1" ht="16.5" customHeight="1">
      <c r="A31" s="61"/>
      <c r="B31" s="562"/>
      <c r="C31" s="562"/>
      <c r="D31" s="562"/>
      <c r="E31" s="562"/>
      <c r="F31" s="562"/>
      <c r="G31" s="559"/>
      <c r="H31" s="559"/>
      <c r="I31" s="559"/>
      <c r="J31" s="53"/>
      <c r="K31" s="53"/>
      <c r="L31" s="55"/>
    </row>
    <row r="32" spans="1:14" s="18" customFormat="1" ht="16.5" customHeight="1">
      <c r="A32" s="61"/>
      <c r="B32" s="562"/>
      <c r="C32" s="562"/>
      <c r="D32" s="562"/>
      <c r="E32" s="562"/>
      <c r="F32" s="562"/>
      <c r="G32" s="559"/>
      <c r="H32" s="559"/>
      <c r="I32" s="559"/>
      <c r="J32" s="53"/>
      <c r="K32" s="53"/>
      <c r="L32" s="55"/>
    </row>
    <row r="33" spans="1:12" s="18" customFormat="1" ht="16.5" customHeight="1">
      <c r="A33" s="66"/>
      <c r="B33" s="566"/>
      <c r="C33" s="566"/>
      <c r="D33" s="566"/>
      <c r="E33" s="566"/>
      <c r="F33" s="566"/>
      <c r="G33" s="66"/>
      <c r="H33" s="41"/>
      <c r="I33" s="41"/>
      <c r="J33" s="42"/>
      <c r="K33" s="43"/>
      <c r="L33" s="3"/>
    </row>
    <row r="34" spans="1:12" s="18" customFormat="1" ht="16.5" customHeight="1">
      <c r="A34" s="26" t="s">
        <v>23</v>
      </c>
      <c r="B34" s="67"/>
      <c r="C34" s="67"/>
      <c r="D34" s="67"/>
      <c r="E34" s="67"/>
      <c r="F34" s="17"/>
      <c r="G34" s="17"/>
      <c r="H34" s="17"/>
      <c r="I34" s="17"/>
      <c r="J34" s="17"/>
      <c r="K34" s="3"/>
      <c r="L34" s="3"/>
    </row>
    <row r="35" spans="1:12" s="25" customFormat="1" ht="16.5" customHeight="1">
      <c r="A35" s="19" t="s">
        <v>13</v>
      </c>
      <c r="B35" s="567" t="s">
        <v>14</v>
      </c>
      <c r="C35" s="567"/>
      <c r="D35" s="567"/>
      <c r="E35" s="567"/>
      <c r="F35" s="567"/>
      <c r="G35" s="568" t="s">
        <v>24</v>
      </c>
      <c r="H35" s="568"/>
      <c r="I35" s="63" t="s">
        <v>17</v>
      </c>
      <c r="J35" s="60" t="s">
        <v>25</v>
      </c>
      <c r="K35" s="60" t="s">
        <v>26</v>
      </c>
      <c r="L35" s="60" t="s">
        <v>27</v>
      </c>
    </row>
    <row r="36" spans="1:12" s="18" customFormat="1" ht="16.5" customHeight="1">
      <c r="A36" s="75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65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65"/>
      <c r="B38" s="563"/>
      <c r="C38" s="563"/>
      <c r="D38" s="563"/>
      <c r="E38" s="563"/>
      <c r="F38" s="563"/>
      <c r="G38" s="564"/>
      <c r="H38" s="564"/>
      <c r="I38" s="64"/>
      <c r="J38" s="64"/>
      <c r="K38" s="55"/>
      <c r="L38" s="55"/>
    </row>
    <row r="39" spans="1:12" s="52" customFormat="1" ht="16.5" customHeight="1">
      <c r="A39" s="65"/>
      <c r="B39" s="563"/>
      <c r="C39" s="563"/>
      <c r="D39" s="563"/>
      <c r="E39" s="563"/>
      <c r="F39" s="563"/>
      <c r="G39" s="564"/>
      <c r="H39" s="564"/>
      <c r="I39" s="64"/>
      <c r="J39" s="64"/>
      <c r="K39" s="55"/>
      <c r="L39" s="55"/>
    </row>
    <row r="40" spans="1:12" s="52" customFormat="1" ht="16.5" customHeight="1">
      <c r="A40" s="32"/>
      <c r="B40" s="565"/>
      <c r="C40" s="565"/>
      <c r="D40" s="565"/>
      <c r="E40" s="565"/>
      <c r="F40" s="565"/>
      <c r="G40" s="565"/>
      <c r="H40" s="565"/>
      <c r="I40" s="565"/>
      <c r="J40" s="17"/>
      <c r="K40" s="3"/>
      <c r="L40" s="3"/>
    </row>
    <row r="41" spans="1:12" s="51" customFormat="1" ht="16.5" customHeight="1">
      <c r="A41" s="34" t="s">
        <v>28</v>
      </c>
      <c r="B41" s="34"/>
      <c r="C41" s="34"/>
      <c r="D41" s="34"/>
      <c r="E41" s="34"/>
      <c r="F41" s="17"/>
      <c r="G41" s="38"/>
      <c r="H41" s="36" t="s">
        <v>29</v>
      </c>
      <c r="I41" s="34"/>
      <c r="J41" s="34"/>
      <c r="K41" s="34"/>
      <c r="L41" s="34"/>
    </row>
    <row r="42" spans="1:12" s="51" customFormat="1" ht="16.5" customHeight="1">
      <c r="A42" s="569" t="s">
        <v>30</v>
      </c>
      <c r="B42" s="569"/>
      <c r="C42" s="569"/>
      <c r="D42" s="569"/>
      <c r="E42" s="569"/>
      <c r="F42" s="569"/>
      <c r="G42" s="56"/>
      <c r="H42" s="569"/>
      <c r="I42" s="569"/>
      <c r="J42" s="569"/>
      <c r="K42" s="569"/>
      <c r="L42" s="569"/>
    </row>
    <row r="43" spans="1:12" s="51" customFormat="1" ht="16.5" customHeight="1">
      <c r="A43" s="571" t="s">
        <v>31</v>
      </c>
      <c r="B43" s="571"/>
      <c r="C43" s="571"/>
      <c r="D43" s="571"/>
      <c r="E43" s="571"/>
      <c r="F43" s="571"/>
      <c r="G43" s="56"/>
      <c r="H43" s="569"/>
      <c r="I43" s="569"/>
      <c r="J43" s="569"/>
      <c r="K43" s="569"/>
      <c r="L43" s="569"/>
    </row>
    <row r="44" spans="1:12" s="51" customFormat="1" ht="16.5" customHeight="1">
      <c r="A44" s="571" t="s">
        <v>32</v>
      </c>
      <c r="B44" s="571"/>
      <c r="C44" s="571"/>
      <c r="D44" s="571"/>
      <c r="E44" s="571"/>
      <c r="F44" s="571"/>
      <c r="G44" s="57"/>
      <c r="H44" s="569"/>
      <c r="I44" s="569"/>
      <c r="J44" s="569"/>
      <c r="K44" s="569"/>
      <c r="L44" s="569"/>
    </row>
    <row r="45" spans="1:12" s="51" customFormat="1" ht="16.5" customHeight="1">
      <c r="A45" s="569" t="s">
        <v>33</v>
      </c>
      <c r="B45" s="569"/>
      <c r="C45" s="569"/>
      <c r="D45" s="569"/>
      <c r="E45" s="569"/>
      <c r="F45" s="569"/>
      <c r="G45" s="57"/>
      <c r="H45" s="569"/>
      <c r="I45" s="569"/>
      <c r="J45" s="569"/>
      <c r="K45" s="569"/>
      <c r="L45" s="569"/>
    </row>
    <row r="46" spans="1:12" s="51" customFormat="1" ht="16.5" customHeight="1">
      <c r="A46" s="570"/>
      <c r="B46" s="570"/>
      <c r="C46" s="570"/>
      <c r="D46" s="570"/>
      <c r="E46" s="570"/>
      <c r="F46" s="570"/>
      <c r="G46" s="39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7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6"/>
      <c r="H49" s="569"/>
      <c r="I49" s="569"/>
      <c r="J49" s="569"/>
      <c r="K49" s="569"/>
      <c r="L49" s="569"/>
    </row>
    <row r="50" spans="1:12" s="3" customFormat="1" ht="16.5" customHeight="1">
      <c r="A50" s="571"/>
      <c r="B50" s="571"/>
      <c r="C50" s="571"/>
      <c r="D50" s="571"/>
      <c r="E50" s="571"/>
      <c r="F50" s="571"/>
      <c r="G50" s="56"/>
      <c r="H50" s="569"/>
      <c r="I50" s="569"/>
      <c r="J50" s="569"/>
      <c r="K50" s="569"/>
      <c r="L50" s="569"/>
    </row>
    <row r="51" spans="1:12" s="3" customFormat="1" ht="16.5" customHeight="1">
      <c r="A51" s="571"/>
      <c r="B51" s="571"/>
      <c r="C51" s="571"/>
      <c r="D51" s="571"/>
      <c r="E51" s="571"/>
      <c r="F51" s="571"/>
      <c r="G51" s="57"/>
      <c r="H51" s="569"/>
      <c r="I51" s="569"/>
      <c r="J51" s="569"/>
      <c r="K51" s="569"/>
      <c r="L51" s="569"/>
    </row>
    <row r="52" spans="1:12" s="3" customFormat="1" ht="16.5" customHeight="1">
      <c r="A52" s="572"/>
      <c r="B52" s="572"/>
      <c r="C52" s="572"/>
      <c r="D52" s="572"/>
      <c r="E52" s="572"/>
      <c r="F52" s="572"/>
      <c r="G52" s="57"/>
      <c r="H52" s="572"/>
      <c r="I52" s="572"/>
      <c r="J52" s="572"/>
      <c r="K52" s="572"/>
      <c r="L52" s="572"/>
    </row>
    <row r="53" spans="1:12" s="3" customFormat="1" ht="16.5" customHeight="1">
      <c r="A53" s="70" t="s">
        <v>34</v>
      </c>
      <c r="B53" s="5"/>
      <c r="C53" s="4"/>
      <c r="H53" s="573" t="s">
        <v>35</v>
      </c>
      <c r="I53" s="573"/>
      <c r="J53" s="573"/>
      <c r="K53" s="573" t="s">
        <v>36</v>
      </c>
      <c r="L53" s="573"/>
    </row>
    <row r="54" spans="1:12" s="3" customFormat="1" ht="16.5" customHeight="1">
      <c r="A54" s="576"/>
      <c r="B54" s="576"/>
      <c r="C54" s="576"/>
      <c r="D54" s="576"/>
      <c r="E54" s="576"/>
      <c r="F54" s="576"/>
      <c r="G54" s="71"/>
      <c r="H54" s="577" t="s">
        <v>14</v>
      </c>
      <c r="I54" s="577"/>
      <c r="J54" s="74" t="s">
        <v>24</v>
      </c>
      <c r="K54" s="74" t="s">
        <v>14</v>
      </c>
      <c r="L54" s="74" t="s">
        <v>24</v>
      </c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 t="s">
        <v>37</v>
      </c>
      <c r="I55" s="575"/>
      <c r="J55" s="55">
        <v>1</v>
      </c>
      <c r="K55" s="76" t="s">
        <v>38</v>
      </c>
      <c r="L55" s="55">
        <v>2</v>
      </c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 t="s">
        <v>39</v>
      </c>
      <c r="I56" s="575"/>
      <c r="J56" s="55">
        <v>1</v>
      </c>
      <c r="K56" s="76" t="s">
        <v>40</v>
      </c>
      <c r="L56" s="55">
        <v>2</v>
      </c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 t="s">
        <v>41</v>
      </c>
      <c r="I57" s="575"/>
      <c r="J57" s="55">
        <v>8</v>
      </c>
      <c r="K57" s="76" t="s">
        <v>42</v>
      </c>
      <c r="L57" s="55">
        <v>1</v>
      </c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 t="s">
        <v>43</v>
      </c>
      <c r="I58" s="575"/>
      <c r="J58" s="55">
        <v>12</v>
      </c>
      <c r="K58" s="76" t="s">
        <v>44</v>
      </c>
      <c r="L58" s="55">
        <v>1</v>
      </c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55"/>
      <c r="K59" s="77"/>
      <c r="L59" s="55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574"/>
      <c r="B63" s="574"/>
      <c r="C63" s="574"/>
      <c r="D63" s="574"/>
      <c r="E63" s="574"/>
      <c r="F63" s="574"/>
      <c r="G63" s="72"/>
      <c r="H63" s="575"/>
      <c r="I63" s="575"/>
      <c r="J63" s="73"/>
      <c r="K63" s="77"/>
      <c r="L63" s="73"/>
    </row>
    <row r="64" spans="1:12" s="3" customFormat="1" ht="16.5" customHeight="1">
      <c r="A64" s="574"/>
      <c r="B64" s="574"/>
      <c r="C64" s="574"/>
      <c r="D64" s="574"/>
      <c r="E64" s="574"/>
      <c r="F64" s="574"/>
      <c r="G64" s="72"/>
      <c r="H64" s="575"/>
      <c r="I64" s="575"/>
      <c r="J64" s="73"/>
      <c r="K64" s="77"/>
      <c r="L64" s="73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6"/>
      <c r="J65" s="46"/>
      <c r="K65" s="47"/>
      <c r="L65" s="46"/>
    </row>
    <row r="66" spans="1:14" s="3" customFormat="1" ht="16.5" customHeight="1">
      <c r="A66" s="45" t="s">
        <v>45</v>
      </c>
      <c r="B66" s="46"/>
      <c r="C66" s="46"/>
      <c r="D66" s="46"/>
      <c r="E66" s="44"/>
      <c r="F66" s="46"/>
      <c r="G66" s="46"/>
      <c r="H66" s="46"/>
      <c r="I66" s="46"/>
      <c r="J66" s="46"/>
      <c r="K66" s="47"/>
      <c r="L66" s="46"/>
    </row>
    <row r="67" spans="1:14" s="3" customFormat="1" ht="16.5" customHeight="1">
      <c r="A67" s="45"/>
      <c r="B67" s="46"/>
      <c r="C67" s="46"/>
      <c r="D67" s="46"/>
      <c r="E67" s="44"/>
      <c r="F67" s="46"/>
      <c r="G67" s="46"/>
      <c r="H67" s="46"/>
      <c r="I67" s="48"/>
      <c r="J67" s="48"/>
      <c r="K67" s="47"/>
      <c r="L67" s="46"/>
    </row>
    <row r="68" spans="1:14" s="3" customFormat="1" ht="31.5" customHeight="1">
      <c r="A68" s="46" t="s">
        <v>46</v>
      </c>
      <c r="B68" s="578" t="s">
        <v>47</v>
      </c>
      <c r="C68" s="579"/>
      <c r="D68" s="578" t="s">
        <v>48</v>
      </c>
      <c r="E68" s="579"/>
      <c r="F68" s="578" t="s">
        <v>49</v>
      </c>
      <c r="G68" s="579"/>
      <c r="H68" s="578" t="s">
        <v>50</v>
      </c>
      <c r="I68" s="579"/>
      <c r="J68" s="578" t="s">
        <v>51</v>
      </c>
      <c r="K68" s="579"/>
      <c r="L68" s="49"/>
    </row>
    <row r="69" spans="1:14" s="3" customFormat="1" ht="16.5" customHeight="1">
      <c r="A69" s="50"/>
      <c r="B69" s="583">
        <v>0.9607</v>
      </c>
      <c r="C69" s="584"/>
      <c r="D69" s="587"/>
      <c r="E69" s="588"/>
      <c r="F69" s="583">
        <v>0.86319999999999997</v>
      </c>
      <c r="G69" s="584"/>
      <c r="H69" s="583">
        <f>F69-B69</f>
        <v>-9.7500000000000031E-2</v>
      </c>
      <c r="I69" s="584"/>
      <c r="J69" s="587" t="s">
        <v>52</v>
      </c>
      <c r="K69" s="588"/>
      <c r="L69" s="49"/>
    </row>
    <row r="70" spans="1:14" s="22" customFormat="1" ht="16.5" customHeight="1">
      <c r="A70" s="50"/>
      <c r="B70" s="585"/>
      <c r="C70" s="586"/>
      <c r="D70" s="589"/>
      <c r="E70" s="590"/>
      <c r="F70" s="585"/>
      <c r="G70" s="586"/>
      <c r="H70" s="585"/>
      <c r="I70" s="586"/>
      <c r="J70" s="589"/>
      <c r="K70" s="590"/>
      <c r="L70" s="49"/>
    </row>
    <row r="71" spans="1:14" s="22" customFormat="1" ht="16.5" customHeight="1">
      <c r="A71" s="35"/>
      <c r="B71" s="27"/>
      <c r="C71" s="27"/>
      <c r="D71" s="27"/>
      <c r="E71" s="35"/>
      <c r="F71" s="58"/>
      <c r="G71" s="58"/>
      <c r="H71" s="58"/>
      <c r="I71" s="58"/>
      <c r="J71" s="68"/>
      <c r="K71" s="68"/>
      <c r="L71" s="3"/>
    </row>
    <row r="72" spans="1:14" s="22" customFormat="1" ht="16.5" customHeight="1">
      <c r="A72" s="35" t="s">
        <v>53</v>
      </c>
      <c r="B72" s="27"/>
      <c r="C72" s="27"/>
      <c r="D72" s="27"/>
      <c r="E72" s="35" t="s">
        <v>54</v>
      </c>
      <c r="F72" s="58"/>
      <c r="G72" s="58"/>
      <c r="H72" s="58"/>
      <c r="I72" s="58"/>
      <c r="J72" s="68" t="s">
        <v>55</v>
      </c>
      <c r="K72" s="68"/>
      <c r="L72" s="3"/>
    </row>
    <row r="73" spans="1:14" s="22" customFormat="1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3"/>
      <c r="K73" s="3"/>
      <c r="L73" s="3"/>
    </row>
    <row r="74" spans="1:14" s="22" customFormat="1" ht="16.5" customHeight="1">
      <c r="A74" s="580" t="s">
        <v>63</v>
      </c>
      <c r="B74" s="580"/>
      <c r="C74" s="580"/>
      <c r="D74" s="27"/>
      <c r="E74" s="580" t="s">
        <v>57</v>
      </c>
      <c r="F74" s="580"/>
      <c r="G74" s="580"/>
      <c r="H74" s="580"/>
      <c r="I74" s="58"/>
      <c r="J74" s="580" t="s">
        <v>68</v>
      </c>
      <c r="K74" s="580"/>
      <c r="L74" s="580"/>
      <c r="N74" s="218">
        <f>'2-5-8-2024'!B69+1.27</f>
        <v>2.1135000000000002</v>
      </c>
    </row>
    <row r="75" spans="1:14" s="3" customFormat="1" ht="16.5" customHeight="1">
      <c r="A75" s="581" t="s">
        <v>59</v>
      </c>
      <c r="B75" s="581"/>
      <c r="C75" s="581"/>
      <c r="D75" s="27"/>
      <c r="E75" s="581" t="s">
        <v>60</v>
      </c>
      <c r="F75" s="581"/>
      <c r="G75" s="581"/>
      <c r="H75" s="581"/>
      <c r="I75" s="58"/>
      <c r="J75" s="582" t="s">
        <v>61</v>
      </c>
      <c r="K75" s="582"/>
      <c r="L75" s="582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</row>
    <row r="77" spans="1:14" s="3" customFormat="1" ht="16.5" customHeight="1">
      <c r="A77" s="37"/>
      <c r="B77" s="27"/>
      <c r="C77" s="27"/>
      <c r="D77" s="27"/>
      <c r="E77" s="27"/>
      <c r="F77" s="29"/>
      <c r="G77" s="29"/>
      <c r="H77" s="29"/>
      <c r="I77" s="29"/>
      <c r="J77" s="29"/>
    </row>
    <row r="78" spans="1:14" s="3" customFormat="1" ht="16.5" customHeight="1">
      <c r="A78" s="37"/>
      <c r="B78" s="27"/>
      <c r="C78" s="27"/>
      <c r="D78" s="27"/>
      <c r="E78" s="27"/>
      <c r="F78" s="29"/>
      <c r="G78" s="29"/>
      <c r="H78" s="29"/>
      <c r="I78" s="29"/>
      <c r="J78" s="29"/>
      <c r="N78" s="3">
        <f>84.35+1.27</f>
        <v>85.61999999999999</v>
      </c>
    </row>
    <row r="79" spans="1:14" s="3" customFormat="1" ht="16.5" customHeight="1">
      <c r="A79" s="37"/>
      <c r="B79" s="27"/>
      <c r="C79" s="27"/>
      <c r="D79" s="27"/>
      <c r="E79" s="27"/>
      <c r="F79" s="30"/>
      <c r="G79" s="30"/>
      <c r="H79" s="30"/>
      <c r="I79" s="30"/>
      <c r="J79" s="30"/>
    </row>
    <row r="80" spans="1:14" s="3" customFormat="1" ht="16.5" customHeight="1">
      <c r="A80" s="37"/>
      <c r="B80" s="27"/>
      <c r="C80" s="27"/>
      <c r="D80" s="27"/>
      <c r="E80" s="27"/>
      <c r="F80" s="30"/>
      <c r="G80" s="30"/>
      <c r="H80" s="30"/>
      <c r="I80" s="30"/>
      <c r="J80" s="30"/>
    </row>
    <row r="81" spans="1:10" s="3" customFormat="1" ht="15" customHeight="1">
      <c r="A81" s="27"/>
      <c r="B81" s="27"/>
      <c r="C81" s="27"/>
      <c r="D81" s="27"/>
      <c r="E81" s="27"/>
      <c r="F81" s="29"/>
      <c r="G81" s="29"/>
      <c r="H81" s="29"/>
      <c r="I81" s="29"/>
      <c r="J81" s="29"/>
    </row>
    <row r="82" spans="1:10" s="3" customFormat="1" ht="15" customHeight="1">
      <c r="A82" s="27"/>
      <c r="B82" s="27"/>
      <c r="C82" s="27"/>
      <c r="D82" s="27"/>
      <c r="E82" s="27"/>
      <c r="F82" s="28"/>
      <c r="G82" s="28"/>
      <c r="H82" s="28"/>
      <c r="I82" s="28"/>
      <c r="J82" s="28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5" customHeight="1">
      <c r="A84" s="27"/>
      <c r="B84" s="27"/>
      <c r="C84" s="27"/>
      <c r="D84" s="27"/>
      <c r="E84" s="27"/>
      <c r="F84" s="29"/>
      <c r="G84" s="29"/>
      <c r="H84" s="29"/>
      <c r="I84" s="29"/>
      <c r="J84" s="29"/>
    </row>
    <row r="85" spans="1:10" s="3" customFormat="1" ht="15" customHeight="1">
      <c r="A85" s="27"/>
      <c r="B85" s="27"/>
      <c r="C85" s="27"/>
      <c r="D85" s="27"/>
      <c r="E85" s="27"/>
      <c r="F85" s="30"/>
      <c r="G85" s="30"/>
      <c r="H85" s="30"/>
      <c r="I85" s="30"/>
      <c r="J85" s="30"/>
    </row>
    <row r="86" spans="1:10" s="3" customFormat="1" ht="17.399999999999999">
      <c r="A86" s="27"/>
      <c r="B86" s="27"/>
      <c r="C86" s="27"/>
      <c r="D86" s="27"/>
      <c r="E86" s="27"/>
      <c r="F86" s="30"/>
      <c r="G86" s="30"/>
      <c r="H86" s="30"/>
      <c r="I86" s="30"/>
      <c r="J86" s="30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29"/>
      <c r="G92" s="29"/>
      <c r="H92" s="29"/>
      <c r="I92" s="29"/>
      <c r="J92" s="29"/>
    </row>
    <row r="93" spans="1:10" s="3" customFormat="1" ht="21.9" customHeight="1">
      <c r="A93" s="27"/>
      <c r="B93" s="27"/>
      <c r="C93" s="27"/>
      <c r="D93" s="27"/>
      <c r="E93" s="27"/>
      <c r="F93" s="29"/>
      <c r="G93" s="29"/>
      <c r="H93" s="29"/>
      <c r="I93" s="29"/>
      <c r="J93" s="29"/>
    </row>
    <row r="94" spans="1:10" s="3" customFormat="1" ht="21.9" customHeight="1">
      <c r="A94" s="27"/>
      <c r="B94" s="27"/>
      <c r="C94" s="27"/>
      <c r="D94" s="27"/>
      <c r="E94" s="27"/>
      <c r="F94" s="30"/>
      <c r="G94" s="30"/>
      <c r="H94" s="30"/>
      <c r="I94" s="30"/>
      <c r="J94" s="30"/>
    </row>
    <row r="95" spans="1:10" s="3" customFormat="1" ht="21.9" customHeight="1">
      <c r="A95" s="27"/>
      <c r="B95" s="27"/>
      <c r="C95" s="27"/>
      <c r="D95" s="27"/>
      <c r="E95" s="27"/>
      <c r="F95" s="30"/>
      <c r="G95" s="30"/>
      <c r="H95" s="30"/>
      <c r="I95" s="30"/>
      <c r="J95" s="30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29"/>
      <c r="G121" s="29"/>
      <c r="H121" s="29"/>
      <c r="I121" s="29"/>
      <c r="J121" s="29"/>
    </row>
    <row r="122" spans="1:10" s="3" customFormat="1" ht="21.9" customHeight="1">
      <c r="A122" s="27"/>
      <c r="B122" s="27"/>
      <c r="C122" s="27"/>
      <c r="D122" s="27"/>
      <c r="E122" s="27"/>
      <c r="F122" s="29"/>
      <c r="G122" s="29"/>
      <c r="H122" s="29"/>
      <c r="I122" s="29"/>
      <c r="J122" s="29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4"/>
      <c r="G124" s="4"/>
      <c r="H124" s="4"/>
      <c r="I124" s="4"/>
      <c r="J124" s="4"/>
    </row>
    <row r="125" spans="1:10" s="3" customFormat="1" ht="21.9" customHeight="1">
      <c r="A125" s="27"/>
      <c r="B125" s="27"/>
      <c r="C125" s="27"/>
      <c r="D125" s="27"/>
      <c r="E125" s="27"/>
      <c r="F125" s="4"/>
      <c r="G125" s="4"/>
      <c r="H125" s="4"/>
      <c r="I125" s="4"/>
      <c r="J125" s="4"/>
    </row>
    <row r="126" spans="1:10" s="3" customFormat="1" ht="21.9" customHeight="1">
      <c r="A126" s="27"/>
      <c r="B126" s="27"/>
      <c r="C126" s="27"/>
      <c r="D126" s="27"/>
      <c r="E126" s="27"/>
      <c r="F126" s="29"/>
      <c r="G126" s="29"/>
      <c r="H126" s="29"/>
      <c r="I126" s="29"/>
      <c r="J126" s="29"/>
    </row>
    <row r="127" spans="1:10" s="3" customFormat="1" ht="21.9" customHeight="1">
      <c r="A127" s="27"/>
      <c r="B127" s="27"/>
      <c r="C127" s="27"/>
      <c r="D127" s="27"/>
      <c r="E127" s="27"/>
      <c r="F127" s="29"/>
      <c r="G127" s="29"/>
      <c r="H127" s="29"/>
      <c r="I127" s="29"/>
      <c r="J127" s="29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4"/>
      <c r="G129" s="4"/>
      <c r="H129" s="4"/>
      <c r="I129" s="4"/>
      <c r="J129" s="4"/>
    </row>
    <row r="130" spans="1:10" s="3" customFormat="1" ht="21.9" customHeight="1">
      <c r="A130" s="27"/>
      <c r="B130" s="27"/>
      <c r="C130" s="27"/>
      <c r="D130" s="27"/>
      <c r="E130" s="27"/>
      <c r="F130" s="4"/>
      <c r="G130" s="4"/>
      <c r="H130" s="4"/>
      <c r="I130" s="4"/>
      <c r="J130" s="4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29"/>
      <c r="G132" s="29"/>
      <c r="H132" s="29"/>
      <c r="I132" s="29"/>
      <c r="J132" s="29"/>
    </row>
    <row r="133" spans="1:10" s="3" customFormat="1" ht="21.9" customHeight="1">
      <c r="A133" s="27"/>
      <c r="B133" s="27"/>
      <c r="C133" s="27"/>
      <c r="D133" s="27"/>
      <c r="E133" s="27"/>
      <c r="F133" s="29"/>
      <c r="G133" s="29"/>
      <c r="H133" s="29"/>
      <c r="I133" s="29"/>
      <c r="J133" s="29"/>
    </row>
    <row r="134" spans="1:10" s="3" customFormat="1" ht="21.9" customHeight="1">
      <c r="A134" s="27"/>
      <c r="B134" s="27"/>
      <c r="C134" s="27"/>
      <c r="D134" s="27"/>
      <c r="E134" s="27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31"/>
      <c r="G141" s="31"/>
      <c r="H141" s="31"/>
      <c r="I141" s="31"/>
      <c r="J141" s="31"/>
    </row>
    <row r="142" spans="1:10" s="3" customFormat="1" ht="21.9" customHeight="1">
      <c r="A142" s="32"/>
      <c r="B142" s="32"/>
      <c r="C142" s="32"/>
      <c r="D142" s="32"/>
      <c r="E142" s="32"/>
      <c r="F142" s="31"/>
      <c r="G142" s="31"/>
      <c r="H142" s="31"/>
      <c r="I142" s="31"/>
      <c r="J142" s="31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28"/>
      <c r="G145" s="28"/>
      <c r="H145" s="28"/>
      <c r="I145" s="28"/>
      <c r="J145" s="28"/>
    </row>
    <row r="146" spans="1:12" s="3" customFormat="1" ht="21.9" customHeight="1">
      <c r="A146" s="32"/>
      <c r="B146" s="32"/>
      <c r="C146" s="32"/>
      <c r="D146" s="32"/>
      <c r="E146" s="32"/>
      <c r="F146" s="28"/>
      <c r="G146" s="28"/>
      <c r="H146" s="28"/>
      <c r="I146" s="28"/>
      <c r="J146" s="28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31"/>
      <c r="G148" s="31"/>
      <c r="H148" s="31"/>
      <c r="I148" s="31"/>
      <c r="J148" s="31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29"/>
      <c r="G150" s="29"/>
      <c r="H150" s="29"/>
      <c r="I150" s="29"/>
      <c r="J150" s="29"/>
    </row>
    <row r="151" spans="1:12" s="3" customFormat="1" ht="21.9" customHeight="1">
      <c r="A151" s="32"/>
      <c r="B151" s="32"/>
      <c r="C151" s="32"/>
      <c r="D151" s="32"/>
      <c r="E151" s="32"/>
      <c r="F151" s="31"/>
      <c r="G151" s="31"/>
      <c r="H151" s="31"/>
      <c r="I151" s="31"/>
      <c r="J151" s="31"/>
    </row>
    <row r="152" spans="1:12" s="3" customFormat="1" ht="21.9" customHeight="1">
      <c r="A152" s="32"/>
      <c r="B152" s="32"/>
      <c r="C152" s="32"/>
      <c r="D152" s="32"/>
      <c r="E152" s="32"/>
      <c r="F152" s="31"/>
      <c r="G152" s="31"/>
      <c r="H152" s="31"/>
      <c r="I152" s="31"/>
      <c r="J152" s="31"/>
    </row>
    <row r="153" spans="1:12" s="3" customFormat="1" ht="21.9" customHeight="1">
      <c r="A153" s="32"/>
      <c r="B153" s="32"/>
      <c r="C153" s="32"/>
      <c r="D153" s="32"/>
      <c r="E153" s="32"/>
      <c r="F153" s="33"/>
      <c r="G153" s="33"/>
      <c r="H153" s="33"/>
      <c r="I153" s="33"/>
      <c r="J153" s="33"/>
    </row>
    <row r="154" spans="1:12" s="3" customFormat="1" ht="21.9" customHeight="1">
      <c r="A154" s="32"/>
      <c r="B154" s="32"/>
      <c r="C154" s="32"/>
      <c r="D154" s="32"/>
      <c r="E154" s="32"/>
      <c r="F154" s="33"/>
      <c r="G154" s="33"/>
      <c r="H154" s="33"/>
      <c r="I154" s="33"/>
      <c r="J154" s="33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4"/>
      <c r="G158" s="14"/>
      <c r="H158" s="14"/>
      <c r="I158" s="14"/>
      <c r="J158" s="14"/>
      <c r="K158" s="9"/>
      <c r="L158" s="9"/>
    </row>
    <row r="159" spans="1:12" s="3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  <c r="K159" s="9"/>
      <c r="L159" s="9"/>
    </row>
    <row r="160" spans="1:12" s="3" customFormat="1" ht="21.9" customHeight="1">
      <c r="A160" s="13"/>
      <c r="B160" s="13"/>
      <c r="C160" s="13"/>
      <c r="D160" s="13"/>
      <c r="E160" s="13"/>
      <c r="F160" s="10"/>
      <c r="G160" s="10"/>
      <c r="H160" s="10"/>
      <c r="I160" s="10"/>
      <c r="J160" s="10"/>
      <c r="K160" s="9"/>
      <c r="L160" s="9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14"/>
      <c r="G162" s="14"/>
      <c r="H162" s="14"/>
      <c r="I162" s="14"/>
      <c r="J162" s="14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8"/>
      <c r="G164" s="8"/>
      <c r="H164" s="8"/>
      <c r="I164" s="8"/>
      <c r="J164" s="8"/>
    </row>
    <row r="165" spans="1:10" s="9" customFormat="1" ht="21.9" customHeight="1">
      <c r="A165" s="13"/>
      <c r="B165" s="13"/>
      <c r="C165" s="13"/>
      <c r="D165" s="13"/>
      <c r="E165" s="13"/>
      <c r="F165" s="14"/>
      <c r="G165" s="14"/>
      <c r="H165" s="14"/>
      <c r="I165" s="14"/>
      <c r="J165" s="14"/>
    </row>
    <row r="166" spans="1:10" s="9" customFormat="1" ht="21.9" customHeight="1">
      <c r="A166" s="13"/>
      <c r="B166" s="13"/>
      <c r="C166" s="13"/>
      <c r="D166" s="13"/>
      <c r="E166" s="13"/>
      <c r="F166" s="10"/>
      <c r="G166" s="10"/>
      <c r="H166" s="10"/>
      <c r="I166" s="10"/>
      <c r="J166" s="10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2"/>
      <c r="G171" s="12"/>
      <c r="H171" s="12"/>
      <c r="I171" s="12"/>
      <c r="J171" s="12"/>
    </row>
    <row r="172" spans="1:10" s="9" customFormat="1" ht="21.9" customHeight="1">
      <c r="A172" s="13"/>
      <c r="B172" s="13"/>
      <c r="C172" s="13"/>
      <c r="D172" s="13"/>
      <c r="E172" s="13"/>
      <c r="F172" s="12"/>
      <c r="G172" s="12"/>
      <c r="H172" s="12"/>
      <c r="I172" s="12"/>
      <c r="J172" s="12"/>
    </row>
    <row r="173" spans="1:10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8"/>
      <c r="G178" s="8"/>
      <c r="H178" s="8"/>
      <c r="I178" s="8"/>
      <c r="J178" s="8"/>
    </row>
    <row r="179" spans="1:10" s="9" customFormat="1" ht="21.9" customHeight="1">
      <c r="A179" s="13"/>
      <c r="B179" s="13"/>
      <c r="C179" s="13"/>
      <c r="D179" s="13"/>
      <c r="E179" s="13"/>
      <c r="F179" s="8"/>
      <c r="G179" s="8"/>
      <c r="H179" s="8"/>
      <c r="I179" s="8"/>
      <c r="J179" s="8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0"/>
      <c r="G182" s="10"/>
      <c r="H182" s="10"/>
      <c r="I182" s="10"/>
      <c r="J182" s="10"/>
    </row>
    <row r="183" spans="1:10" s="9" customFormat="1" ht="21.9" customHeight="1">
      <c r="A183" s="13"/>
      <c r="B183" s="13"/>
      <c r="C183" s="13"/>
      <c r="D183" s="13"/>
      <c r="E183" s="13"/>
      <c r="F183" s="10"/>
      <c r="G183" s="10"/>
      <c r="H183" s="10"/>
      <c r="I183" s="10"/>
      <c r="J183" s="10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</row>
    <row r="186" spans="1:10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</row>
    <row r="187" spans="1:10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</row>
    <row r="188" spans="1:10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</row>
    <row r="189" spans="1:10" s="9" customFormat="1" ht="21.9" customHeight="1">
      <c r="A189" s="13"/>
      <c r="B189" s="13"/>
      <c r="C189" s="13"/>
      <c r="D189" s="13"/>
      <c r="E189" s="13"/>
      <c r="F189" s="12"/>
      <c r="G189" s="12"/>
      <c r="H189" s="12"/>
      <c r="I189" s="12"/>
      <c r="J189" s="12"/>
    </row>
    <row r="190" spans="1:10" s="9" customFormat="1" ht="21.9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8"/>
      <c r="G195" s="8"/>
      <c r="H195" s="8"/>
      <c r="I195" s="8"/>
      <c r="J195" s="8"/>
    </row>
    <row r="196" spans="1:10" s="9" customFormat="1" ht="21.9" customHeight="1">
      <c r="A196" s="13"/>
      <c r="B196" s="13"/>
      <c r="C196" s="13"/>
      <c r="D196" s="13"/>
      <c r="E196" s="13"/>
      <c r="F196" s="8"/>
      <c r="G196" s="8"/>
      <c r="H196" s="8"/>
      <c r="I196" s="8"/>
      <c r="J196" s="8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3"/>
      <c r="B199" s="13"/>
      <c r="C199" s="13"/>
      <c r="D199" s="13"/>
      <c r="E199" s="13"/>
      <c r="F199" s="11"/>
      <c r="G199" s="11"/>
      <c r="H199" s="11"/>
      <c r="I199" s="11"/>
      <c r="J199" s="11"/>
    </row>
    <row r="200" spans="1:10" s="9" customFormat="1" ht="21.9" customHeight="1">
      <c r="A200" s="13"/>
      <c r="B200" s="13"/>
      <c r="C200" s="13"/>
      <c r="D200" s="13"/>
      <c r="E200" s="13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1"/>
      <c r="G202" s="11"/>
      <c r="H202" s="11"/>
      <c r="I202" s="11"/>
      <c r="J202" s="11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12"/>
      <c r="G207" s="12"/>
      <c r="H207" s="12"/>
      <c r="I207" s="12"/>
      <c r="J207" s="12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8"/>
      <c r="G209" s="8"/>
      <c r="H209" s="8"/>
      <c r="I209" s="8"/>
      <c r="J209" s="8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12"/>
      <c r="G211" s="12"/>
      <c r="H211" s="12"/>
      <c r="I211" s="12"/>
      <c r="J211" s="12"/>
    </row>
    <row r="212" spans="1:10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8"/>
      <c r="G217" s="8"/>
      <c r="H217" s="8"/>
      <c r="I217" s="8"/>
      <c r="J217" s="8"/>
    </row>
    <row r="218" spans="1:10" s="9" customFormat="1" ht="21.9" customHeight="1">
      <c r="A218" s="15"/>
      <c r="B218" s="15"/>
      <c r="C218" s="15"/>
      <c r="D218" s="15"/>
      <c r="E218" s="15"/>
      <c r="F218" s="8"/>
      <c r="G218" s="8"/>
      <c r="H218" s="8"/>
      <c r="I218" s="8"/>
      <c r="J218" s="8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11"/>
      <c r="G223" s="11"/>
      <c r="H223" s="11"/>
      <c r="I223" s="11"/>
      <c r="J223" s="11"/>
    </row>
    <row r="224" spans="1:10" s="9" customFormat="1" ht="21.9" customHeight="1">
      <c r="A224" s="15"/>
      <c r="B224" s="15"/>
      <c r="C224" s="15"/>
      <c r="D224" s="15"/>
      <c r="E224" s="15"/>
      <c r="F224" s="11"/>
      <c r="G224" s="11"/>
      <c r="H224" s="11"/>
      <c r="I224" s="11"/>
      <c r="J224" s="11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</row>
    <row r="231" spans="1:10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</row>
    <row r="232" spans="1:10" s="9" customFormat="1" ht="21.9" customHeight="1">
      <c r="A232" s="6"/>
      <c r="B232" s="6"/>
      <c r="C232" s="6"/>
      <c r="D232" s="6"/>
      <c r="E232" s="6"/>
      <c r="F232" s="12"/>
      <c r="G232" s="12"/>
      <c r="H232" s="12"/>
      <c r="I232" s="12"/>
      <c r="J232" s="12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11"/>
      <c r="G234" s="11"/>
      <c r="H234" s="11"/>
      <c r="I234" s="11"/>
      <c r="J234" s="11"/>
    </row>
    <row r="235" spans="1:10" s="9" customFormat="1" ht="21.9" customHeight="1">
      <c r="A235" s="6"/>
      <c r="B235" s="6"/>
      <c r="C235" s="6"/>
      <c r="D235" s="6"/>
      <c r="E235" s="6"/>
      <c r="F235" s="12"/>
      <c r="G235" s="12"/>
      <c r="H235" s="12"/>
      <c r="I235" s="12"/>
      <c r="J235" s="12"/>
    </row>
    <row r="236" spans="1:10" s="9" customFormat="1" ht="21.9" customHeight="1">
      <c r="A236" s="6"/>
      <c r="B236" s="6"/>
      <c r="C236" s="6"/>
      <c r="D236" s="6"/>
      <c r="E236" s="6"/>
      <c r="F236" s="8"/>
      <c r="G236" s="8"/>
      <c r="H236" s="8"/>
      <c r="I236" s="8"/>
      <c r="J236" s="8"/>
    </row>
    <row r="237" spans="1:10" s="9" customFormat="1" ht="21.9" customHeight="1">
      <c r="A237" s="6"/>
      <c r="B237" s="6"/>
      <c r="C237" s="6"/>
      <c r="D237" s="6"/>
      <c r="E237" s="6"/>
      <c r="F237" s="8"/>
      <c r="G237" s="8"/>
      <c r="H237" s="8"/>
      <c r="I237" s="8"/>
      <c r="J237" s="8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2"/>
      <c r="G239" s="12"/>
      <c r="H239" s="12"/>
      <c r="I239" s="12"/>
      <c r="J239" s="12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</row>
    <row r="247" spans="1:10" s="9" customFormat="1" ht="21.9" customHeight="1">
      <c r="A247" s="6"/>
      <c r="B247" s="6"/>
      <c r="C247" s="6"/>
      <c r="D247" s="6"/>
      <c r="E247" s="6"/>
      <c r="F247" s="11"/>
      <c r="G247" s="11"/>
      <c r="H247" s="11"/>
      <c r="I247" s="11"/>
      <c r="J247" s="11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21.9" customHeight="1">
      <c r="A252" s="6"/>
      <c r="B252" s="6"/>
      <c r="C252" s="6"/>
      <c r="D252" s="6"/>
      <c r="E252" s="6"/>
      <c r="F252" s="8"/>
      <c r="G252" s="8"/>
      <c r="H252" s="8"/>
      <c r="I252" s="8"/>
      <c r="J252" s="8"/>
    </row>
    <row r="253" spans="1:10" s="9" customFormat="1" ht="21.9" customHeight="1">
      <c r="A253" s="6"/>
      <c r="B253" s="6"/>
      <c r="C253" s="6"/>
      <c r="D253" s="6"/>
      <c r="E253" s="6"/>
      <c r="F253" s="8"/>
      <c r="G253" s="8"/>
      <c r="H253" s="8"/>
      <c r="I253" s="8"/>
      <c r="J253" s="8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0"/>
      <c r="G255" s="10"/>
      <c r="H255" s="10"/>
      <c r="I255" s="10"/>
      <c r="J255" s="10"/>
    </row>
    <row r="256" spans="1:10" s="9" customFormat="1" ht="13.2">
      <c r="A256" s="6"/>
      <c r="B256" s="6"/>
      <c r="C256" s="6"/>
      <c r="D256" s="6"/>
      <c r="E256" s="6"/>
      <c r="F256" s="12"/>
      <c r="G256" s="12"/>
      <c r="H256" s="12"/>
      <c r="I256" s="12"/>
      <c r="J256" s="12"/>
    </row>
    <row r="257" spans="1:10" s="9" customFormat="1" ht="13.2">
      <c r="A257" s="6"/>
      <c r="B257" s="6"/>
      <c r="C257" s="6"/>
      <c r="D257" s="6"/>
      <c r="E257" s="6"/>
      <c r="F257" s="12"/>
      <c r="G257" s="12"/>
      <c r="H257" s="12"/>
      <c r="I257" s="12"/>
      <c r="J257" s="12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8"/>
      <c r="G260" s="8"/>
      <c r="H260" s="8"/>
      <c r="I260" s="8"/>
      <c r="J260" s="8"/>
    </row>
    <row r="261" spans="1:10" s="9" customFormat="1" ht="13.2">
      <c r="A261" s="6"/>
      <c r="B261" s="6"/>
      <c r="C261" s="6"/>
      <c r="D261" s="6"/>
      <c r="E261" s="6"/>
      <c r="F261" s="8"/>
      <c r="G261" s="8"/>
      <c r="H261" s="8"/>
      <c r="I261" s="8"/>
      <c r="J261" s="8"/>
    </row>
    <row r="262" spans="1:10" s="9" customFormat="1" ht="13.2">
      <c r="A262" s="6"/>
      <c r="B262" s="6"/>
      <c r="C262" s="6"/>
      <c r="D262" s="6"/>
      <c r="E262" s="6"/>
      <c r="F262" s="11"/>
      <c r="G262" s="11"/>
      <c r="H262" s="11"/>
      <c r="I262" s="11"/>
      <c r="J262" s="11"/>
    </row>
    <row r="263" spans="1:10" s="9" customFormat="1" ht="13.2">
      <c r="A263" s="6"/>
      <c r="B263" s="6"/>
      <c r="C263" s="6"/>
      <c r="D263" s="6"/>
      <c r="E263" s="6"/>
      <c r="F263" s="12"/>
      <c r="G263" s="12"/>
      <c r="H263" s="12"/>
      <c r="I263" s="12"/>
      <c r="J263" s="12"/>
    </row>
    <row r="264" spans="1:10" s="9" customFormat="1" ht="13.2">
      <c r="A264" s="6"/>
      <c r="B264" s="6"/>
      <c r="C264" s="6"/>
      <c r="D264" s="6"/>
      <c r="E264" s="6"/>
      <c r="F264" s="10"/>
      <c r="G264" s="10"/>
      <c r="H264" s="10"/>
      <c r="I264" s="10"/>
      <c r="J264" s="10"/>
    </row>
    <row r="265" spans="1:10" s="9" customFormat="1" ht="13.2">
      <c r="A265" s="6"/>
      <c r="B265" s="6"/>
      <c r="C265" s="6"/>
      <c r="D265" s="6"/>
      <c r="E265" s="6"/>
      <c r="F265" s="11"/>
      <c r="G265" s="11"/>
      <c r="H265" s="11"/>
      <c r="I265" s="11"/>
      <c r="J265" s="11"/>
    </row>
    <row r="266" spans="1:10" s="9" customFormat="1" ht="13.2">
      <c r="A266" s="6"/>
      <c r="B266" s="6"/>
      <c r="C266" s="6"/>
      <c r="D266" s="6"/>
      <c r="E266" s="6"/>
      <c r="F266" s="8"/>
      <c r="G266" s="8"/>
      <c r="H266" s="8"/>
      <c r="I266" s="8"/>
      <c r="J266" s="8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7"/>
      <c r="G269" s="7"/>
      <c r="H269" s="7"/>
      <c r="I269" s="7"/>
      <c r="J269" s="7"/>
    </row>
    <row r="270" spans="1:10" s="9" customFormat="1" ht="13.2">
      <c r="A270" s="6"/>
      <c r="B270" s="6"/>
      <c r="C270" s="6"/>
      <c r="D270" s="6"/>
      <c r="E270" s="6"/>
      <c r="F270" s="7"/>
      <c r="G270" s="7"/>
      <c r="H270" s="7"/>
      <c r="I270" s="7"/>
      <c r="J270" s="7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</row>
    <row r="278" spans="1:10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11"/>
      <c r="G280" s="11"/>
      <c r="H280" s="11"/>
      <c r="I280" s="11"/>
      <c r="J280" s="11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12"/>
      <c r="G283" s="12"/>
      <c r="H283" s="12"/>
      <c r="I283" s="12"/>
      <c r="J283" s="12"/>
    </row>
    <row r="284" spans="1:10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12"/>
      <c r="G286" s="12"/>
      <c r="H286" s="12"/>
      <c r="I286" s="12"/>
      <c r="J286" s="12"/>
    </row>
    <row r="287" spans="1:10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11"/>
      <c r="G289" s="11"/>
      <c r="H289" s="11"/>
      <c r="I289" s="11"/>
      <c r="J289" s="11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11"/>
      <c r="G293" s="11"/>
      <c r="H293" s="11"/>
      <c r="I293" s="11"/>
      <c r="J293" s="11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</row>
    <row r="299" spans="1:10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</row>
    <row r="300" spans="1:10" s="9" customFormat="1" ht="13.2">
      <c r="A300" s="6"/>
      <c r="B300" s="6"/>
      <c r="C300" s="6"/>
      <c r="D300" s="6"/>
      <c r="E300" s="6"/>
      <c r="F300" s="10"/>
      <c r="G300" s="10"/>
      <c r="H300" s="10"/>
      <c r="I300" s="10"/>
      <c r="J300" s="10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11"/>
      <c r="G303" s="11"/>
      <c r="H303" s="11"/>
      <c r="I303" s="11"/>
      <c r="J303" s="11"/>
    </row>
    <row r="304" spans="1:10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</row>
    <row r="305" spans="1:10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</row>
    <row r="306" spans="1:10" s="9" customFormat="1" ht="13.2">
      <c r="A306" s="6"/>
      <c r="B306" s="6"/>
      <c r="C306" s="6"/>
      <c r="D306" s="6"/>
      <c r="E306" s="6"/>
      <c r="F306" s="11"/>
      <c r="G306" s="11"/>
      <c r="H306" s="11"/>
      <c r="I306" s="11"/>
      <c r="J306" s="11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 s="9" customFormat="1" ht="13.2">
      <c r="A309" s="6"/>
      <c r="B309" s="6"/>
      <c r="C309" s="6"/>
      <c r="D309" s="6"/>
      <c r="E309" s="6"/>
      <c r="F309" s="11"/>
      <c r="G309" s="11"/>
      <c r="H309" s="11"/>
      <c r="I309" s="11"/>
      <c r="J309" s="11"/>
    </row>
    <row r="310" spans="1:10" s="9" customFormat="1" ht="13.2">
      <c r="A310" s="6"/>
      <c r="B310" s="6"/>
      <c r="C310" s="6"/>
      <c r="D310" s="6"/>
      <c r="E310" s="6"/>
      <c r="F310" s="11"/>
      <c r="G310" s="11"/>
      <c r="H310" s="11"/>
      <c r="I310" s="11"/>
      <c r="J310" s="11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</row>
    <row r="315" spans="1:10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</row>
    <row r="316" spans="1:10" s="9" customFormat="1" ht="13.2">
      <c r="A316" s="6"/>
      <c r="B316" s="6"/>
      <c r="C316" s="6"/>
      <c r="D316" s="6"/>
      <c r="E316" s="6"/>
      <c r="F316" s="7"/>
      <c r="G316" s="7"/>
      <c r="H316" s="7"/>
      <c r="I316" s="7"/>
      <c r="J316" s="7"/>
    </row>
    <row r="317" spans="1:10" s="9" customFormat="1" ht="13.2">
      <c r="A317" s="6"/>
      <c r="B317" s="6"/>
      <c r="C317" s="6"/>
      <c r="D317" s="6"/>
      <c r="E317" s="6"/>
      <c r="F317" s="7"/>
      <c r="G317" s="7"/>
      <c r="H317" s="7"/>
      <c r="I317" s="7"/>
      <c r="J317" s="7"/>
    </row>
    <row r="318" spans="1:10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</row>
    <row r="319" spans="1:10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8"/>
      <c r="G321" s="8"/>
      <c r="H321" s="8"/>
      <c r="I321" s="8"/>
      <c r="J321" s="8"/>
    </row>
    <row r="322" spans="1:10" s="9" customFormat="1" ht="13.2">
      <c r="A322" s="6"/>
      <c r="B322" s="6"/>
      <c r="C322" s="6"/>
      <c r="D322" s="6"/>
      <c r="E322" s="6"/>
      <c r="F322" s="7"/>
      <c r="G322" s="7"/>
      <c r="H322" s="7"/>
      <c r="I322" s="7"/>
      <c r="J322" s="7"/>
    </row>
    <row r="323" spans="1:10" s="9" customFormat="1" ht="13.2">
      <c r="A323" s="6"/>
      <c r="B323" s="6"/>
      <c r="C323" s="6"/>
      <c r="D323" s="6"/>
      <c r="E323" s="6"/>
      <c r="F323" s="7"/>
      <c r="G323" s="7"/>
      <c r="H323" s="7"/>
      <c r="I323" s="7"/>
      <c r="J323" s="7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</row>
    <row r="330" spans="1:10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</row>
    <row r="331" spans="1:10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</row>
    <row r="332" spans="1:10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</row>
    <row r="359" spans="1:10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10"/>
      <c r="G361" s="10"/>
      <c r="H361" s="10"/>
      <c r="I361" s="10"/>
      <c r="J361" s="10"/>
    </row>
    <row r="362" spans="1:10" s="9" customFormat="1" ht="13.2">
      <c r="A362" s="6"/>
      <c r="B362" s="6"/>
      <c r="C362" s="6"/>
      <c r="D362" s="6"/>
      <c r="E362" s="6"/>
      <c r="F362" s="10"/>
      <c r="G362" s="10"/>
      <c r="H362" s="10"/>
      <c r="I362" s="10"/>
      <c r="J362" s="10"/>
    </row>
    <row r="363" spans="1:10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</row>
    <row r="364" spans="1:10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10"/>
      <c r="G366" s="10"/>
      <c r="H366" s="10"/>
      <c r="I366" s="10"/>
      <c r="J366" s="10"/>
    </row>
    <row r="367" spans="1:10" s="9" customFormat="1" ht="13.2">
      <c r="A367" s="6"/>
      <c r="B367" s="6"/>
      <c r="C367" s="6"/>
      <c r="D367" s="6"/>
      <c r="E367" s="6"/>
      <c r="F367" s="10"/>
      <c r="G367" s="10"/>
      <c r="H367" s="10"/>
      <c r="I367" s="10"/>
      <c r="J367" s="10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</row>
    <row r="370" spans="1:10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</row>
    <row r="371" spans="1:10" s="9" customFormat="1" ht="13.2">
      <c r="A371" s="6"/>
      <c r="B371" s="6"/>
      <c r="C371" s="6"/>
      <c r="D371" s="6"/>
      <c r="E371" s="6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2"/>
      <c r="G378" s="12"/>
      <c r="H378" s="12"/>
      <c r="I378" s="12"/>
      <c r="J378" s="12"/>
    </row>
    <row r="379" spans="1:10" s="9" customFormat="1" ht="13.2">
      <c r="A379" s="13"/>
      <c r="B379" s="13"/>
      <c r="C379" s="13"/>
      <c r="D379" s="13"/>
      <c r="E379" s="13"/>
      <c r="F379" s="12"/>
      <c r="G379" s="12"/>
      <c r="H379" s="12"/>
      <c r="I379" s="12"/>
      <c r="J379" s="12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1"/>
      <c r="G382" s="11"/>
      <c r="H382" s="11"/>
      <c r="I382" s="11"/>
      <c r="J382" s="11"/>
    </row>
    <row r="383" spans="1:10" s="9" customFormat="1" ht="13.2">
      <c r="A383" s="13"/>
      <c r="B383" s="13"/>
      <c r="C383" s="13"/>
      <c r="D383" s="13"/>
      <c r="E383" s="13"/>
      <c r="F383" s="11"/>
      <c r="G383" s="11"/>
      <c r="H383" s="11"/>
      <c r="I383" s="11"/>
      <c r="J383" s="11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8"/>
      <c r="G387" s="8"/>
      <c r="H387" s="8"/>
      <c r="I387" s="8"/>
      <c r="J387" s="8"/>
    </row>
    <row r="388" spans="1:10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</row>
    <row r="389" spans="1:10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4"/>
      <c r="G395" s="14"/>
      <c r="H395" s="14"/>
      <c r="I395" s="14"/>
      <c r="J395" s="14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0"/>
      <c r="G397" s="10"/>
      <c r="H397" s="10"/>
      <c r="I397" s="10"/>
      <c r="J397" s="10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14"/>
      <c r="G399" s="14"/>
      <c r="H399" s="14"/>
      <c r="I399" s="14"/>
      <c r="J399" s="14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8"/>
      <c r="G401" s="8"/>
      <c r="H401" s="8"/>
      <c r="I401" s="8"/>
      <c r="J401" s="8"/>
    </row>
    <row r="402" spans="1:10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</row>
    <row r="403" spans="1:10" s="9" customFormat="1" ht="13.2">
      <c r="A403" s="13"/>
      <c r="B403" s="13"/>
      <c r="C403" s="13"/>
      <c r="D403" s="13"/>
      <c r="E403" s="13"/>
      <c r="F403" s="10"/>
      <c r="G403" s="10"/>
      <c r="H403" s="10"/>
      <c r="I403" s="10"/>
      <c r="J403" s="10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2"/>
      <c r="G408" s="12"/>
      <c r="H408" s="12"/>
      <c r="I408" s="12"/>
      <c r="J408" s="12"/>
    </row>
    <row r="409" spans="1:10" s="9" customFormat="1" ht="13.2">
      <c r="A409" s="13"/>
      <c r="B409" s="13"/>
      <c r="C409" s="13"/>
      <c r="D409" s="13"/>
      <c r="E409" s="13"/>
      <c r="F409" s="12"/>
      <c r="G409" s="12"/>
      <c r="H409" s="12"/>
      <c r="I409" s="12"/>
      <c r="J409" s="12"/>
    </row>
    <row r="410" spans="1:10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</row>
    <row r="416" spans="1:10" s="9" customFormat="1" ht="13.2">
      <c r="A416" s="13"/>
      <c r="B416" s="13"/>
      <c r="C416" s="13"/>
      <c r="D416" s="13"/>
      <c r="E416" s="13"/>
      <c r="F416" s="8"/>
      <c r="G416" s="8"/>
      <c r="H416" s="8"/>
      <c r="I416" s="8"/>
      <c r="J416" s="8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0"/>
      <c r="G419" s="10"/>
      <c r="H419" s="10"/>
      <c r="I419" s="10"/>
      <c r="J419" s="10"/>
    </row>
    <row r="420" spans="1:10" s="9" customFormat="1" ht="13.2">
      <c r="A420" s="13"/>
      <c r="B420" s="13"/>
      <c r="C420" s="13"/>
      <c r="D420" s="13"/>
      <c r="E420" s="13"/>
      <c r="F420" s="10"/>
      <c r="G420" s="10"/>
      <c r="H420" s="10"/>
      <c r="I420" s="10"/>
      <c r="J420" s="10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</row>
    <row r="423" spans="1:10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</row>
    <row r="424" spans="1:10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</row>
    <row r="425" spans="1:10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</row>
    <row r="426" spans="1:10" s="9" customFormat="1" ht="13.2">
      <c r="A426" s="13"/>
      <c r="B426" s="13"/>
      <c r="C426" s="13"/>
      <c r="D426" s="13"/>
      <c r="E426" s="13"/>
      <c r="F426" s="12"/>
      <c r="G426" s="12"/>
      <c r="H426" s="12"/>
      <c r="I426" s="12"/>
      <c r="J426" s="12"/>
    </row>
    <row r="427" spans="1:10" s="9" customFormat="1" ht="13.2">
      <c r="A427" s="13"/>
      <c r="B427" s="13"/>
      <c r="C427" s="13"/>
      <c r="D427" s="13"/>
      <c r="E427" s="13"/>
      <c r="F427" s="12"/>
      <c r="G427" s="12"/>
      <c r="H427" s="12"/>
      <c r="I427" s="12"/>
      <c r="J427" s="12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8"/>
      <c r="G432" s="8"/>
      <c r="H432" s="8"/>
      <c r="I432" s="8"/>
      <c r="J432" s="8"/>
    </row>
    <row r="433" spans="1:10" s="9" customFormat="1" ht="13.2">
      <c r="A433" s="13"/>
      <c r="B433" s="13"/>
      <c r="C433" s="13"/>
      <c r="D433" s="13"/>
      <c r="E433" s="13"/>
      <c r="F433" s="8"/>
      <c r="G433" s="8"/>
      <c r="H433" s="8"/>
      <c r="I433" s="8"/>
      <c r="J433" s="8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3"/>
      <c r="B436" s="13"/>
      <c r="C436" s="13"/>
      <c r="D436" s="13"/>
      <c r="E436" s="13"/>
      <c r="F436" s="11"/>
      <c r="G436" s="11"/>
      <c r="H436" s="11"/>
      <c r="I436" s="11"/>
      <c r="J436" s="11"/>
    </row>
    <row r="437" spans="1:10" s="9" customFormat="1" ht="13.2">
      <c r="A437" s="13"/>
      <c r="B437" s="13"/>
      <c r="C437" s="13"/>
      <c r="D437" s="13"/>
      <c r="E437" s="13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1"/>
      <c r="G439" s="11"/>
      <c r="H439" s="11"/>
      <c r="I439" s="11"/>
      <c r="J439" s="11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12"/>
      <c r="G444" s="12"/>
      <c r="H444" s="12"/>
      <c r="I444" s="12"/>
      <c r="J444" s="12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8"/>
      <c r="G446" s="8"/>
      <c r="H446" s="8"/>
      <c r="I446" s="8"/>
      <c r="J446" s="8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12"/>
      <c r="G448" s="12"/>
      <c r="H448" s="12"/>
      <c r="I448" s="12"/>
      <c r="J448" s="12"/>
    </row>
    <row r="449" spans="1:10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8"/>
      <c r="G454" s="8"/>
      <c r="H454" s="8"/>
      <c r="I454" s="8"/>
      <c r="J454" s="8"/>
    </row>
    <row r="455" spans="1:10" s="9" customFormat="1" ht="13.2">
      <c r="A455" s="15"/>
      <c r="B455" s="15"/>
      <c r="C455" s="15"/>
      <c r="D455" s="15"/>
      <c r="E455" s="15"/>
      <c r="F455" s="8"/>
      <c r="G455" s="8"/>
      <c r="H455" s="8"/>
      <c r="I455" s="8"/>
      <c r="J455" s="8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11"/>
      <c r="G460" s="11"/>
      <c r="H460" s="11"/>
      <c r="I460" s="11"/>
      <c r="J460" s="11"/>
    </row>
    <row r="461" spans="1:10" s="9" customFormat="1" ht="13.2">
      <c r="A461" s="15"/>
      <c r="B461" s="15"/>
      <c r="C461" s="15"/>
      <c r="D461" s="15"/>
      <c r="E461" s="15"/>
      <c r="F461" s="11"/>
      <c r="G461" s="11"/>
      <c r="H461" s="11"/>
      <c r="I461" s="11"/>
      <c r="J461" s="11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</row>
    <row r="468" spans="1:10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</row>
    <row r="469" spans="1:10" s="9" customFormat="1" ht="13.2">
      <c r="A469" s="6"/>
      <c r="B469" s="6"/>
      <c r="C469" s="6"/>
      <c r="D469" s="6"/>
      <c r="E469" s="6"/>
      <c r="F469" s="12"/>
      <c r="G469" s="12"/>
      <c r="H469" s="12"/>
      <c r="I469" s="12"/>
      <c r="J469" s="12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11"/>
      <c r="G471" s="11"/>
      <c r="H471" s="11"/>
      <c r="I471" s="11"/>
      <c r="J471" s="11"/>
    </row>
    <row r="472" spans="1:10" s="9" customFormat="1" ht="13.2">
      <c r="A472" s="6"/>
      <c r="B472" s="6"/>
      <c r="C472" s="6"/>
      <c r="D472" s="6"/>
      <c r="E472" s="6"/>
      <c r="F472" s="12"/>
      <c r="G472" s="12"/>
      <c r="H472" s="12"/>
      <c r="I472" s="12"/>
      <c r="J472" s="12"/>
    </row>
    <row r="473" spans="1:10" s="9" customFormat="1" ht="13.2">
      <c r="A473" s="6"/>
      <c r="B473" s="6"/>
      <c r="C473" s="6"/>
      <c r="D473" s="6"/>
      <c r="E473" s="6"/>
      <c r="F473" s="8"/>
      <c r="G473" s="8"/>
      <c r="H473" s="8"/>
      <c r="I473" s="8"/>
      <c r="J473" s="8"/>
    </row>
    <row r="474" spans="1:10" s="9" customFormat="1" ht="13.2">
      <c r="A474" s="6"/>
      <c r="B474" s="6"/>
      <c r="C474" s="6"/>
      <c r="D474" s="6"/>
      <c r="E474" s="6"/>
      <c r="F474" s="8"/>
      <c r="G474" s="8"/>
      <c r="H474" s="8"/>
      <c r="I474" s="8"/>
      <c r="J474" s="8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2"/>
      <c r="G476" s="12"/>
      <c r="H476" s="12"/>
      <c r="I476" s="12"/>
      <c r="J476" s="12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</row>
    <row r="484" spans="1:10" s="9" customFormat="1" ht="13.2">
      <c r="A484" s="6"/>
      <c r="B484" s="6"/>
      <c r="C484" s="6"/>
      <c r="D484" s="6"/>
      <c r="E484" s="6"/>
      <c r="F484" s="11"/>
      <c r="G484" s="11"/>
      <c r="H484" s="11"/>
      <c r="I484" s="11"/>
      <c r="J484" s="11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8"/>
      <c r="G489" s="8"/>
      <c r="H489" s="8"/>
      <c r="I489" s="8"/>
      <c r="J489" s="8"/>
    </row>
    <row r="490" spans="1:10" s="9" customFormat="1" ht="13.2">
      <c r="A490" s="6"/>
      <c r="B490" s="6"/>
      <c r="C490" s="6"/>
      <c r="D490" s="6"/>
      <c r="E490" s="6"/>
      <c r="F490" s="8"/>
      <c r="G490" s="8"/>
      <c r="H490" s="8"/>
      <c r="I490" s="8"/>
      <c r="J490" s="8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0"/>
      <c r="G492" s="10"/>
      <c r="H492" s="10"/>
      <c r="I492" s="10"/>
      <c r="J492" s="10"/>
    </row>
    <row r="493" spans="1:10" s="9" customFormat="1" ht="13.2">
      <c r="A493" s="6"/>
      <c r="B493" s="6"/>
      <c r="C493" s="6"/>
      <c r="D493" s="6"/>
      <c r="E493" s="6"/>
      <c r="F493" s="12"/>
      <c r="G493" s="12"/>
      <c r="H493" s="12"/>
      <c r="I493" s="12"/>
      <c r="J493" s="12"/>
    </row>
    <row r="494" spans="1:10" s="9" customFormat="1" ht="13.2">
      <c r="A494" s="6"/>
      <c r="B494" s="6"/>
      <c r="C494" s="6"/>
      <c r="D494" s="6"/>
      <c r="E494" s="6"/>
      <c r="F494" s="12"/>
      <c r="G494" s="12"/>
      <c r="H494" s="12"/>
      <c r="I494" s="12"/>
      <c r="J494" s="12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</row>
    <row r="498" spans="1:10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</row>
    <row r="499" spans="1:10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</row>
    <row r="500" spans="1:10" s="9" customFormat="1" ht="13.2">
      <c r="A500" s="6"/>
      <c r="B500" s="6"/>
      <c r="C500" s="6"/>
      <c r="D500" s="6"/>
      <c r="E500" s="6"/>
      <c r="F500" s="12"/>
      <c r="G500" s="12"/>
      <c r="H500" s="12"/>
      <c r="I500" s="12"/>
      <c r="J500" s="12"/>
    </row>
    <row r="501" spans="1:10" s="9" customFormat="1" ht="13.2">
      <c r="A501" s="6"/>
      <c r="B501" s="6"/>
      <c r="C501" s="6"/>
      <c r="D501" s="6"/>
      <c r="E501" s="6"/>
      <c r="F501" s="10"/>
      <c r="G501" s="10"/>
      <c r="H501" s="10"/>
      <c r="I501" s="10"/>
      <c r="J501" s="10"/>
    </row>
    <row r="502" spans="1:10" s="9" customFormat="1" ht="13.2">
      <c r="A502" s="6"/>
      <c r="B502" s="6"/>
      <c r="C502" s="6"/>
      <c r="D502" s="6"/>
      <c r="E502" s="6"/>
      <c r="F502" s="11"/>
      <c r="G502" s="11"/>
      <c r="H502" s="11"/>
      <c r="I502" s="11"/>
      <c r="J502" s="11"/>
    </row>
    <row r="503" spans="1:10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7"/>
      <c r="G506" s="7"/>
      <c r="H506" s="7"/>
      <c r="I506" s="7"/>
      <c r="J506" s="7"/>
    </row>
    <row r="507" spans="1:10" s="9" customFormat="1" ht="13.2">
      <c r="A507" s="6"/>
      <c r="B507" s="6"/>
      <c r="C507" s="6"/>
      <c r="D507" s="6"/>
      <c r="E507" s="6"/>
      <c r="F507" s="7"/>
      <c r="G507" s="7"/>
      <c r="H507" s="7"/>
      <c r="I507" s="7"/>
      <c r="J507" s="7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</row>
    <row r="515" spans="1:10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11"/>
      <c r="G517" s="11"/>
      <c r="H517" s="11"/>
      <c r="I517" s="11"/>
      <c r="J517" s="11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12"/>
      <c r="G520" s="12"/>
      <c r="H520" s="12"/>
      <c r="I520" s="12"/>
      <c r="J520" s="12"/>
    </row>
    <row r="521" spans="1:10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12"/>
      <c r="G523" s="12"/>
      <c r="H523" s="12"/>
      <c r="I523" s="12"/>
      <c r="J523" s="12"/>
    </row>
    <row r="524" spans="1:10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11"/>
      <c r="G526" s="11"/>
      <c r="H526" s="11"/>
      <c r="I526" s="11"/>
      <c r="J526" s="11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11"/>
      <c r="G530" s="11"/>
      <c r="H530" s="11"/>
      <c r="I530" s="11"/>
      <c r="J530" s="11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</row>
    <row r="536" spans="1:10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</row>
    <row r="537" spans="1:10" s="9" customFormat="1" ht="13.2">
      <c r="A537" s="6"/>
      <c r="B537" s="6"/>
      <c r="C537" s="6"/>
      <c r="D537" s="6"/>
      <c r="E537" s="6"/>
      <c r="F537" s="10"/>
      <c r="G537" s="10"/>
      <c r="H537" s="10"/>
      <c r="I537" s="10"/>
      <c r="J537" s="10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11"/>
      <c r="G540" s="11"/>
      <c r="H540" s="11"/>
      <c r="I540" s="11"/>
      <c r="J540" s="11"/>
    </row>
    <row r="541" spans="1:10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</row>
    <row r="542" spans="1:10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</row>
    <row r="543" spans="1:10" s="9" customFormat="1" ht="13.2">
      <c r="A543" s="6"/>
      <c r="B543" s="6"/>
      <c r="C543" s="6"/>
      <c r="D543" s="6"/>
      <c r="E543" s="6"/>
      <c r="F543" s="11"/>
      <c r="G543" s="11"/>
      <c r="H543" s="11"/>
      <c r="I543" s="11"/>
      <c r="J543" s="11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spans="1:10" s="9" customFormat="1" ht="13.2">
      <c r="A546" s="6"/>
      <c r="B546" s="6"/>
      <c r="C546" s="6"/>
      <c r="D546" s="6"/>
      <c r="E546" s="6"/>
      <c r="F546" s="11"/>
      <c r="G546" s="11"/>
      <c r="H546" s="11"/>
      <c r="I546" s="11"/>
      <c r="J546" s="11"/>
    </row>
    <row r="547" spans="1:10" s="9" customFormat="1" ht="13.2">
      <c r="A547" s="6"/>
      <c r="B547" s="6"/>
      <c r="C547" s="6"/>
      <c r="D547" s="6"/>
      <c r="E547" s="6"/>
      <c r="F547" s="11"/>
      <c r="G547" s="11"/>
      <c r="H547" s="11"/>
      <c r="I547" s="11"/>
      <c r="J547" s="11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</row>
    <row r="552" spans="1:10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</row>
    <row r="553" spans="1:10" s="9" customFormat="1" ht="13.2">
      <c r="A553" s="6"/>
      <c r="B553" s="6"/>
      <c r="C553" s="6"/>
      <c r="D553" s="6"/>
      <c r="E553" s="6"/>
      <c r="F553" s="7"/>
      <c r="G553" s="7"/>
      <c r="H553" s="7"/>
      <c r="I553" s="7"/>
      <c r="J553" s="7"/>
    </row>
    <row r="554" spans="1:10" s="9" customFormat="1" ht="13.2">
      <c r="A554" s="6"/>
      <c r="B554" s="6"/>
      <c r="C554" s="6"/>
      <c r="D554" s="6"/>
      <c r="E554" s="6"/>
      <c r="F554" s="7"/>
      <c r="G554" s="7"/>
      <c r="H554" s="7"/>
      <c r="I554" s="7"/>
      <c r="J554" s="7"/>
    </row>
    <row r="555" spans="1:10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</row>
    <row r="556" spans="1:10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8"/>
      <c r="G558" s="8"/>
      <c r="H558" s="8"/>
      <c r="I558" s="8"/>
      <c r="J558" s="8"/>
    </row>
    <row r="559" spans="1:10" s="9" customFormat="1" ht="13.2">
      <c r="A559" s="6"/>
      <c r="B559" s="6"/>
      <c r="C559" s="6"/>
      <c r="D559" s="6"/>
      <c r="E559" s="6"/>
      <c r="F559" s="7"/>
      <c r="G559" s="7"/>
      <c r="H559" s="7"/>
      <c r="I559" s="7"/>
      <c r="J559" s="7"/>
    </row>
    <row r="560" spans="1:10" s="9" customFormat="1" ht="13.2">
      <c r="A560" s="6"/>
      <c r="B560" s="6"/>
      <c r="C560" s="6"/>
      <c r="D560" s="6"/>
      <c r="E560" s="6"/>
      <c r="F560" s="7"/>
      <c r="G560" s="7"/>
      <c r="H560" s="7"/>
      <c r="I560" s="7"/>
      <c r="J560" s="7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</row>
    <row r="567" spans="1:10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</row>
    <row r="568" spans="1:10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</row>
    <row r="569" spans="1:10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</row>
    <row r="596" spans="1:10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10"/>
      <c r="G598" s="10"/>
      <c r="H598" s="10"/>
      <c r="I598" s="10"/>
      <c r="J598" s="10"/>
    </row>
    <row r="599" spans="1:10" s="9" customFormat="1" ht="13.2">
      <c r="A599" s="6"/>
      <c r="B599" s="6"/>
      <c r="C599" s="6"/>
      <c r="D599" s="6"/>
      <c r="E599" s="6"/>
      <c r="F599" s="10"/>
      <c r="G599" s="10"/>
      <c r="H599" s="10"/>
      <c r="I599" s="10"/>
      <c r="J599" s="10"/>
    </row>
    <row r="600" spans="1:10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</row>
    <row r="601" spans="1:10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10"/>
      <c r="G603" s="10"/>
      <c r="H603" s="10"/>
      <c r="I603" s="10"/>
      <c r="J603" s="10"/>
    </row>
    <row r="604" spans="1:10" s="9" customFormat="1" ht="13.2">
      <c r="A604" s="6"/>
      <c r="B604" s="6"/>
      <c r="C604" s="6"/>
      <c r="D604" s="6"/>
      <c r="E604" s="6"/>
      <c r="F604" s="10"/>
      <c r="G604" s="10"/>
      <c r="H604" s="10"/>
      <c r="I604" s="10"/>
      <c r="J604" s="10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</row>
    <row r="607" spans="1:10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 ht="13.2">
      <c r="A613" s="6"/>
      <c r="B613" s="6"/>
      <c r="C613" s="6"/>
      <c r="D613" s="6"/>
      <c r="E613" s="6"/>
      <c r="F613" s="12"/>
      <c r="G613" s="12"/>
      <c r="H613" s="12"/>
      <c r="I613" s="12"/>
      <c r="J613" s="12"/>
    </row>
    <row r="614" spans="1:12" s="9" customFormat="1" ht="13.2">
      <c r="A614" s="6"/>
      <c r="B614" s="6"/>
      <c r="C614" s="6"/>
      <c r="D614" s="6"/>
      <c r="E614" s="6"/>
      <c r="F614" s="12"/>
      <c r="G614" s="12"/>
      <c r="H614" s="12"/>
      <c r="I614" s="12"/>
      <c r="J614" s="12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s="9" customForma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s="9" customForma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</sheetData>
  <mergeCells count="131">
    <mergeCell ref="A10:A11"/>
    <mergeCell ref="B10:F11"/>
    <mergeCell ref="G10:I11"/>
    <mergeCell ref="J10:K10"/>
    <mergeCell ref="L10:L11"/>
    <mergeCell ref="B3:H3"/>
    <mergeCell ref="K3:L3"/>
    <mergeCell ref="B4:H4"/>
    <mergeCell ref="K4:L4"/>
    <mergeCell ref="B5:H5"/>
    <mergeCell ref="K5:L5"/>
    <mergeCell ref="B12:F12"/>
    <mergeCell ref="G12:I12"/>
    <mergeCell ref="B13:F13"/>
    <mergeCell ref="G13:I13"/>
    <mergeCell ref="B14:F14"/>
    <mergeCell ref="G14:I14"/>
    <mergeCell ref="K6:L6"/>
    <mergeCell ref="B7:H7"/>
    <mergeCell ref="K9:L9"/>
    <mergeCell ref="B18:F18"/>
    <mergeCell ref="G18:I18"/>
    <mergeCell ref="B19:F19"/>
    <mergeCell ref="G19:I19"/>
    <mergeCell ref="B20:F20"/>
    <mergeCell ref="G20:I20"/>
    <mergeCell ref="B15:F15"/>
    <mergeCell ref="G15:I15"/>
    <mergeCell ref="B16:F16"/>
    <mergeCell ref="G16:I16"/>
    <mergeCell ref="B17:F17"/>
    <mergeCell ref="G17:I17"/>
    <mergeCell ref="B24:F24"/>
    <mergeCell ref="G24:I24"/>
    <mergeCell ref="B25:F25"/>
    <mergeCell ref="G25:I25"/>
    <mergeCell ref="B26:F26"/>
    <mergeCell ref="G26:I26"/>
    <mergeCell ref="B21:F21"/>
    <mergeCell ref="G21:I21"/>
    <mergeCell ref="B22:F22"/>
    <mergeCell ref="G22:I22"/>
    <mergeCell ref="B23:F23"/>
    <mergeCell ref="G23:I23"/>
    <mergeCell ref="B30:F30"/>
    <mergeCell ref="G30:I30"/>
    <mergeCell ref="B31:F31"/>
    <mergeCell ref="G31:I31"/>
    <mergeCell ref="B32:F32"/>
    <mergeCell ref="G32:I32"/>
    <mergeCell ref="B27:F27"/>
    <mergeCell ref="G27:I27"/>
    <mergeCell ref="B28:F28"/>
    <mergeCell ref="G28:I28"/>
    <mergeCell ref="B29:F29"/>
    <mergeCell ref="G29:I29"/>
    <mergeCell ref="B38:F38"/>
    <mergeCell ref="G38:H38"/>
    <mergeCell ref="B39:F39"/>
    <mergeCell ref="G39:H39"/>
    <mergeCell ref="B40:F40"/>
    <mergeCell ref="G40:I40"/>
    <mergeCell ref="B33:F33"/>
    <mergeCell ref="B35:F35"/>
    <mergeCell ref="G35:H35"/>
    <mergeCell ref="B36:F36"/>
    <mergeCell ref="G36:H36"/>
    <mergeCell ref="B37:F37"/>
    <mergeCell ref="G37:H37"/>
    <mergeCell ref="A45:F45"/>
    <mergeCell ref="H45:L45"/>
    <mergeCell ref="A46:F46"/>
    <mergeCell ref="H46:L46"/>
    <mergeCell ref="A47:F47"/>
    <mergeCell ref="H47:L47"/>
    <mergeCell ref="A42:F42"/>
    <mergeCell ref="H42:L42"/>
    <mergeCell ref="A43:F43"/>
    <mergeCell ref="H43:L43"/>
    <mergeCell ref="A44:F44"/>
    <mergeCell ref="H44:L44"/>
    <mergeCell ref="A51:F51"/>
    <mergeCell ref="H51:L51"/>
    <mergeCell ref="A52:F52"/>
    <mergeCell ref="H52:L52"/>
    <mergeCell ref="H53:J53"/>
    <mergeCell ref="K53:L53"/>
    <mergeCell ref="A48:F48"/>
    <mergeCell ref="H48:L48"/>
    <mergeCell ref="A49:F49"/>
    <mergeCell ref="H49:L49"/>
    <mergeCell ref="A50:F50"/>
    <mergeCell ref="H50:L50"/>
    <mergeCell ref="A57:F57"/>
    <mergeCell ref="H57:I57"/>
    <mergeCell ref="A58:F58"/>
    <mergeCell ref="H58:I58"/>
    <mergeCell ref="A59:F59"/>
    <mergeCell ref="H59:I59"/>
    <mergeCell ref="A54:F54"/>
    <mergeCell ref="H54:I54"/>
    <mergeCell ref="A55:F55"/>
    <mergeCell ref="H55:I55"/>
    <mergeCell ref="A56:F56"/>
    <mergeCell ref="H56:I56"/>
    <mergeCell ref="A63:F63"/>
    <mergeCell ref="H63:I63"/>
    <mergeCell ref="A64:F64"/>
    <mergeCell ref="H64:I64"/>
    <mergeCell ref="B68:C68"/>
    <mergeCell ref="D68:E68"/>
    <mergeCell ref="F68:G68"/>
    <mergeCell ref="H68:I68"/>
    <mergeCell ref="A60:F60"/>
    <mergeCell ref="H60:I60"/>
    <mergeCell ref="A61:F61"/>
    <mergeCell ref="H61:I61"/>
    <mergeCell ref="A62:F62"/>
    <mergeCell ref="H62:I62"/>
    <mergeCell ref="A74:C74"/>
    <mergeCell ref="E74:H74"/>
    <mergeCell ref="J74:L74"/>
    <mergeCell ref="A75:C75"/>
    <mergeCell ref="E75:H75"/>
    <mergeCell ref="J75:L75"/>
    <mergeCell ref="J68:K68"/>
    <mergeCell ref="B69:C70"/>
    <mergeCell ref="D69:E70"/>
    <mergeCell ref="F69:G70"/>
    <mergeCell ref="H69:I70"/>
    <mergeCell ref="J69:K70"/>
  </mergeCells>
  <pageMargins left="0.4" right="0.23" top="0.74803149606299213" bottom="0.74803149606299213" header="0.31496062992125984" footer="0.31496062992125984"/>
  <pageSetup paperSize="256" scale="60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AA86"/>
  <sheetViews>
    <sheetView topLeftCell="A55" zoomScale="90" zoomScaleNormal="90" zoomScaleSheetLayoutView="100" workbookViewId="0">
      <selection activeCell="B25" activeCellId="3" sqref="J69:K70 B27:F27 B25:F25 B25:F25"/>
    </sheetView>
  </sheetViews>
  <sheetFormatPr defaultColWidth="8.5546875" defaultRowHeight="14.4"/>
  <cols>
    <col min="1" max="1" width="11.44140625" customWidth="1"/>
    <col min="2" max="2" width="2.44140625" customWidth="1"/>
    <col min="3" max="3" width="6.44140625" customWidth="1"/>
    <col min="4" max="4" width="2.6640625" customWidth="1"/>
    <col min="5" max="5" width="45.5546875" customWidth="1"/>
    <col min="6" max="6" width="6.5546875" style="195" customWidth="1"/>
    <col min="7" max="7" width="10" style="195" customWidth="1"/>
    <col min="8" max="8" width="11.6640625" style="195" customWidth="1"/>
    <col min="9" max="9" width="13.88671875" style="195" customWidth="1"/>
    <col min="10" max="10" width="9.6640625" style="195" customWidth="1"/>
    <col min="11" max="11" width="14.88671875" customWidth="1"/>
    <col min="12" max="12" width="14.44140625" style="137" customWidth="1"/>
    <col min="13" max="13" width="14.88671875" style="137" customWidth="1"/>
    <col min="14" max="14" width="10" style="214" customWidth="1"/>
    <col min="15" max="15" width="22.33203125" customWidth="1"/>
    <col min="16" max="16" width="14.33203125" customWidth="1"/>
    <col min="17" max="17" width="11.6640625" style="80" customWidth="1"/>
    <col min="18" max="18" width="19.33203125" customWidth="1"/>
    <col min="19" max="19" width="10.44140625" bestFit="1" customWidth="1"/>
    <col min="22" max="22" width="8.6640625" bestFit="1" customWidth="1"/>
    <col min="27" max="27" width="20.44140625" style="80" customWidth="1"/>
  </cols>
  <sheetData>
    <row r="1" spans="1:27" ht="17.399999999999999" customHeight="1">
      <c r="A1" s="620" t="s">
        <v>69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AA1"/>
    </row>
    <row r="2" spans="1:27" ht="14.4" customHeight="1">
      <c r="A2" s="620"/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AA2"/>
    </row>
    <row r="3" spans="1:27">
      <c r="A3" s="621">
        <f>'[3]stewa 1-16-31-2023'!B9</f>
        <v>45308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AA3"/>
    </row>
    <row r="4" spans="1:27">
      <c r="A4" s="81"/>
      <c r="B4" s="81"/>
      <c r="C4" s="81"/>
      <c r="D4" s="81"/>
      <c r="E4" s="81"/>
      <c r="F4" s="82"/>
      <c r="G4" s="82"/>
      <c r="H4" s="82"/>
      <c r="I4" s="82"/>
      <c r="J4" s="82"/>
      <c r="K4" s="81"/>
      <c r="L4" s="81"/>
      <c r="M4"/>
      <c r="N4"/>
      <c r="AA4"/>
    </row>
    <row r="5" spans="1:27">
      <c r="A5" s="83" t="s">
        <v>70</v>
      </c>
      <c r="B5" s="83"/>
      <c r="C5" s="83"/>
      <c r="D5" s="84" t="s">
        <v>71</v>
      </c>
      <c r="E5" s="81" t="s">
        <v>72</v>
      </c>
      <c r="F5" s="84"/>
      <c r="G5" s="84"/>
      <c r="H5" s="84"/>
      <c r="I5" s="84"/>
      <c r="J5" s="84"/>
      <c r="K5" s="83"/>
      <c r="L5" s="83"/>
      <c r="M5"/>
      <c r="N5"/>
      <c r="AA5"/>
    </row>
    <row r="6" spans="1:27">
      <c r="A6" s="83"/>
      <c r="B6" s="83"/>
      <c r="C6" s="83"/>
      <c r="D6" s="84"/>
      <c r="E6" s="81" t="s">
        <v>73</v>
      </c>
      <c r="F6" s="84"/>
      <c r="G6" s="84"/>
      <c r="H6" s="84"/>
      <c r="I6" s="84"/>
      <c r="J6" s="84"/>
      <c r="K6" s="83"/>
      <c r="L6" s="83"/>
      <c r="M6"/>
      <c r="N6"/>
      <c r="AA6"/>
    </row>
    <row r="7" spans="1:27">
      <c r="A7" s="83"/>
      <c r="B7" s="83"/>
      <c r="C7" s="83"/>
      <c r="D7" s="84"/>
      <c r="E7" s="81" t="s">
        <v>74</v>
      </c>
      <c r="F7" s="84"/>
      <c r="G7" s="84"/>
      <c r="H7" s="84"/>
      <c r="I7" s="84"/>
      <c r="J7" s="84"/>
      <c r="K7" s="83"/>
      <c r="L7" s="83"/>
      <c r="M7"/>
      <c r="N7"/>
      <c r="AA7"/>
    </row>
    <row r="8" spans="1:27">
      <c r="A8" s="83" t="s">
        <v>75</v>
      </c>
      <c r="B8" s="83"/>
      <c r="C8" s="83"/>
      <c r="D8" s="84" t="s">
        <v>71</v>
      </c>
      <c r="E8" s="81" t="s">
        <v>76</v>
      </c>
      <c r="F8" s="84"/>
      <c r="G8" s="84"/>
      <c r="H8" s="84"/>
      <c r="I8" s="84"/>
      <c r="J8" s="84"/>
      <c r="K8" s="83"/>
      <c r="L8" s="83"/>
      <c r="M8"/>
      <c r="N8"/>
      <c r="Q8" s="80" t="s">
        <v>77</v>
      </c>
      <c r="R8" t="s">
        <v>78</v>
      </c>
      <c r="AA8"/>
    </row>
    <row r="9" spans="1:27">
      <c r="A9" t="s">
        <v>79</v>
      </c>
      <c r="B9" s="85"/>
      <c r="C9" s="85"/>
      <c r="D9" s="84" t="s">
        <v>71</v>
      </c>
      <c r="E9" s="86" t="s">
        <v>80</v>
      </c>
      <c r="F9" s="87"/>
      <c r="G9" s="87"/>
      <c r="H9" s="87"/>
      <c r="I9" s="87"/>
      <c r="J9" s="87"/>
      <c r="K9" s="85"/>
      <c r="L9" s="85"/>
      <c r="M9"/>
      <c r="N9"/>
      <c r="Q9" s="622" t="s">
        <v>81</v>
      </c>
      <c r="R9" s="623">
        <v>45058</v>
      </c>
      <c r="AA9"/>
    </row>
    <row r="10" spans="1:27" ht="7.2" customHeight="1" thickBot="1">
      <c r="A10" s="88"/>
      <c r="B10" s="83"/>
      <c r="C10" s="83"/>
      <c r="D10" s="83"/>
      <c r="E10" s="83"/>
      <c r="F10" s="84"/>
      <c r="G10" s="84"/>
      <c r="H10" s="84"/>
      <c r="I10" s="84"/>
      <c r="J10" s="84"/>
      <c r="K10" s="83"/>
      <c r="L10" s="89"/>
      <c r="M10" s="89"/>
      <c r="N10" s="90"/>
      <c r="O10" s="83"/>
      <c r="Q10" s="622"/>
      <c r="R10" s="624"/>
    </row>
    <row r="11" spans="1:27" s="94" customFormat="1" ht="14.4" customHeight="1">
      <c r="A11" s="91" t="s">
        <v>82</v>
      </c>
      <c r="B11" s="625" t="s">
        <v>83</v>
      </c>
      <c r="C11" s="626"/>
      <c r="D11" s="626"/>
      <c r="E11" s="627"/>
      <c r="F11" s="631" t="s">
        <v>84</v>
      </c>
      <c r="G11" s="632"/>
      <c r="H11" s="92" t="s">
        <v>85</v>
      </c>
      <c r="I11" s="633" t="s">
        <v>86</v>
      </c>
      <c r="J11" s="92" t="s">
        <v>87</v>
      </c>
      <c r="K11" s="635" t="s">
        <v>12</v>
      </c>
      <c r="L11" s="635"/>
      <c r="M11" s="635"/>
      <c r="N11" s="93" t="s">
        <v>87</v>
      </c>
      <c r="O11" s="636" t="s">
        <v>51</v>
      </c>
      <c r="Q11" s="95"/>
      <c r="AA11" s="95"/>
    </row>
    <row r="12" spans="1:27" s="94" customFormat="1" ht="14.4" customHeight="1">
      <c r="A12" s="96" t="s">
        <v>88</v>
      </c>
      <c r="B12" s="628"/>
      <c r="C12" s="629"/>
      <c r="D12" s="629"/>
      <c r="E12" s="630"/>
      <c r="F12" s="638" t="s">
        <v>89</v>
      </c>
      <c r="G12" s="639"/>
      <c r="H12" s="97" t="s">
        <v>90</v>
      </c>
      <c r="I12" s="634"/>
      <c r="J12" s="97" t="s">
        <v>91</v>
      </c>
      <c r="K12" s="98" t="s">
        <v>92</v>
      </c>
      <c r="L12" s="99" t="s">
        <v>93</v>
      </c>
      <c r="M12" s="99" t="s">
        <v>94</v>
      </c>
      <c r="N12" s="100" t="s">
        <v>91</v>
      </c>
      <c r="O12" s="637"/>
      <c r="Q12" s="95"/>
      <c r="AA12" s="95"/>
    </row>
    <row r="13" spans="1:27" s="111" customFormat="1" ht="14.4" customHeight="1">
      <c r="A13" s="101" t="s">
        <v>95</v>
      </c>
      <c r="B13" s="611" t="s">
        <v>96</v>
      </c>
      <c r="C13" s="612"/>
      <c r="D13" s="612"/>
      <c r="E13" s="613"/>
      <c r="F13" s="102"/>
      <c r="G13" s="103"/>
      <c r="H13" s="104"/>
      <c r="I13" s="105"/>
      <c r="J13" s="106"/>
      <c r="K13" s="107"/>
      <c r="L13" s="108"/>
      <c r="M13" s="108"/>
      <c r="N13" s="109"/>
      <c r="O13" s="110"/>
      <c r="Q13" s="112"/>
      <c r="AA13" s="112"/>
    </row>
    <row r="14" spans="1:27" s="94" customFormat="1" ht="13.95" customHeight="1">
      <c r="A14" s="113" t="s">
        <v>97</v>
      </c>
      <c r="B14" s="617" t="s">
        <v>98</v>
      </c>
      <c r="C14" s="618"/>
      <c r="D14" s="618"/>
      <c r="E14" s="619"/>
      <c r="F14" s="114"/>
      <c r="G14" s="115"/>
      <c r="H14" s="116"/>
      <c r="I14" s="117"/>
      <c r="J14" s="118"/>
      <c r="K14" s="119"/>
      <c r="L14" s="120"/>
      <c r="M14" s="99"/>
      <c r="N14" s="121"/>
      <c r="O14" s="122"/>
      <c r="Q14" s="95"/>
      <c r="AA14" s="95"/>
    </row>
    <row r="15" spans="1:27" ht="13.95" customHeight="1">
      <c r="A15" s="123" t="s">
        <v>99</v>
      </c>
      <c r="B15" s="124" t="s">
        <v>100</v>
      </c>
      <c r="C15" s="125"/>
      <c r="D15" s="125"/>
      <c r="E15" s="126"/>
      <c r="F15" s="127" t="s">
        <v>101</v>
      </c>
      <c r="G15" s="128">
        <v>6</v>
      </c>
      <c r="H15" s="129">
        <v>6195</v>
      </c>
      <c r="I15" s="130">
        <f>ROUND(G15*H15,4)</f>
        <v>37170</v>
      </c>
      <c r="J15" s="131">
        <f>I15/$I$68*100</f>
        <v>7.0869553980716829E-2</v>
      </c>
      <c r="K15" s="132">
        <f>'[3]SWA 12-5-2023'!L15</f>
        <v>27233.904015056465</v>
      </c>
      <c r="L15" s="133">
        <f>I15*0.1</f>
        <v>3717</v>
      </c>
      <c r="M15" s="134">
        <f>K15+L15</f>
        <v>30950.904015056465</v>
      </c>
      <c r="N15" s="135">
        <f>M15/$I$68*100</f>
        <v>5.9012019447054871E-2</v>
      </c>
      <c r="O15" s="136" t="s">
        <v>52</v>
      </c>
      <c r="Q15" s="137">
        <v>5</v>
      </c>
      <c r="R15" s="138">
        <f>G15*U27</f>
        <v>4.3961104140526981</v>
      </c>
      <c r="AA15" s="137">
        <v>55680.66</v>
      </c>
    </row>
    <row r="16" spans="1:27" s="94" customFormat="1" ht="13.95" customHeight="1">
      <c r="A16" s="113" t="s">
        <v>102</v>
      </c>
      <c r="B16" s="139" t="s">
        <v>103</v>
      </c>
      <c r="C16" s="140"/>
      <c r="D16" s="140"/>
      <c r="E16" s="141"/>
      <c r="F16" s="114"/>
      <c r="G16" s="115"/>
      <c r="H16" s="116"/>
      <c r="I16" s="130"/>
      <c r="J16" s="118"/>
      <c r="K16" s="132"/>
      <c r="L16" s="133"/>
      <c r="M16" s="99"/>
      <c r="N16" s="121"/>
      <c r="O16" s="122"/>
      <c r="Q16" s="95"/>
      <c r="AA16" s="95">
        <v>2526.58</v>
      </c>
    </row>
    <row r="17" spans="1:27" ht="13.95" customHeight="1">
      <c r="A17" s="123" t="s">
        <v>104</v>
      </c>
      <c r="B17" s="614" t="s">
        <v>105</v>
      </c>
      <c r="C17" s="615"/>
      <c r="D17" s="615"/>
      <c r="E17" s="616"/>
      <c r="F17" s="127" t="s">
        <v>106</v>
      </c>
      <c r="G17" s="128">
        <v>2</v>
      </c>
      <c r="H17" s="129">
        <v>9912</v>
      </c>
      <c r="I17" s="130">
        <f t="shared" ref="I17" si="0">ROUND(G17*H17,4)</f>
        <v>19824</v>
      </c>
      <c r="J17" s="131">
        <f>I17/$I$68*100</f>
        <v>3.779709545638231E-2</v>
      </c>
      <c r="K17" s="132">
        <f>'[3]SWA 12-5-2023'!L17</f>
        <v>19824</v>
      </c>
      <c r="L17" s="133"/>
      <c r="M17" s="134">
        <f t="shared" ref="M17:M66" si="1">K17+L17</f>
        <v>19824</v>
      </c>
      <c r="N17" s="135">
        <f t="shared" ref="N17:N66" si="2">M17/$I$68*100</f>
        <v>3.779709545638231E-2</v>
      </c>
      <c r="O17" s="136" t="s">
        <v>52</v>
      </c>
      <c r="Q17" s="137">
        <v>2</v>
      </c>
      <c r="R17">
        <v>2</v>
      </c>
      <c r="AA17" s="137">
        <v>649545.75</v>
      </c>
    </row>
    <row r="18" spans="1:27" ht="13.95" customHeight="1">
      <c r="A18" s="123" t="s">
        <v>107</v>
      </c>
      <c r="B18" s="124" t="s">
        <v>108</v>
      </c>
      <c r="C18" s="125"/>
      <c r="D18" s="125"/>
      <c r="E18" s="126"/>
      <c r="F18" s="127" t="s">
        <v>109</v>
      </c>
      <c r="G18" s="128" t="s">
        <v>110</v>
      </c>
      <c r="H18" s="129">
        <v>8053.5</v>
      </c>
      <c r="I18" s="130">
        <f>ROUND(1*H18,4)</f>
        <v>8053.5</v>
      </c>
      <c r="J18" s="131">
        <f>I18/$I$68*100</f>
        <v>1.5355070029155314E-2</v>
      </c>
      <c r="K18" s="132">
        <f>'[3]SWA 12-5-2023'!L18</f>
        <v>5900.6792032622334</v>
      </c>
      <c r="L18" s="133">
        <f>I18*0.1</f>
        <v>805.35</v>
      </c>
      <c r="M18" s="134">
        <f t="shared" si="1"/>
        <v>6706.0292032622338</v>
      </c>
      <c r="N18" s="135">
        <f t="shared" si="2"/>
        <v>1.2785937546861886E-2</v>
      </c>
      <c r="O18" s="136" t="s">
        <v>52</v>
      </c>
      <c r="Q18" s="137">
        <v>0.3</v>
      </c>
      <c r="R18">
        <f>U27</f>
        <v>0.73268506900878294</v>
      </c>
      <c r="AA18" s="137">
        <v>620057.55000000005</v>
      </c>
    </row>
    <row r="19" spans="1:27" ht="13.95" customHeight="1">
      <c r="A19" s="123" t="s">
        <v>111</v>
      </c>
      <c r="B19" s="124" t="s">
        <v>112</v>
      </c>
      <c r="C19" s="125"/>
      <c r="D19" s="125"/>
      <c r="E19" s="126"/>
      <c r="F19" s="127" t="s">
        <v>109</v>
      </c>
      <c r="G19" s="128" t="s">
        <v>110</v>
      </c>
      <c r="H19" s="129">
        <v>204435</v>
      </c>
      <c r="I19" s="130">
        <f>ROUND(1*H19,4)</f>
        <v>204435</v>
      </c>
      <c r="J19" s="131">
        <f>I19/$I$68*100</f>
        <v>0.38978254689394254</v>
      </c>
      <c r="K19" s="132">
        <f>'[3]SWA 12-5-2023'!L19</f>
        <v>102217.5</v>
      </c>
      <c r="L19" s="133"/>
      <c r="M19" s="134">
        <f t="shared" si="1"/>
        <v>102217.5</v>
      </c>
      <c r="N19" s="135">
        <f t="shared" si="2"/>
        <v>0.19489127344697127</v>
      </c>
      <c r="O19" s="136" t="s">
        <v>52</v>
      </c>
      <c r="Q19" s="137">
        <v>0.5</v>
      </c>
      <c r="R19">
        <v>0.5</v>
      </c>
      <c r="AA19" s="137">
        <v>7610185.7999999998</v>
      </c>
    </row>
    <row r="20" spans="1:27" s="94" customFormat="1" ht="13.95" customHeight="1">
      <c r="A20" s="113" t="s">
        <v>113</v>
      </c>
      <c r="B20" s="139" t="s">
        <v>114</v>
      </c>
      <c r="C20" s="140"/>
      <c r="D20" s="140"/>
      <c r="E20" s="141"/>
      <c r="F20" s="114"/>
      <c r="G20" s="115"/>
      <c r="H20" s="116"/>
      <c r="I20" s="130"/>
      <c r="J20" s="118"/>
      <c r="K20" s="132"/>
      <c r="L20" s="133"/>
      <c r="M20" s="99"/>
      <c r="N20" s="121"/>
      <c r="O20" s="122"/>
      <c r="Q20" s="95"/>
      <c r="AA20" s="95">
        <v>36532287.32</v>
      </c>
    </row>
    <row r="21" spans="1:27" ht="13.95" customHeight="1">
      <c r="A21" s="123" t="s">
        <v>115</v>
      </c>
      <c r="B21" s="124" t="s">
        <v>116</v>
      </c>
      <c r="C21" s="125"/>
      <c r="D21" s="125"/>
      <c r="E21" s="126"/>
      <c r="F21" s="127" t="s">
        <v>22</v>
      </c>
      <c r="G21" s="128">
        <v>1057.98</v>
      </c>
      <c r="H21" s="129">
        <v>246.85</v>
      </c>
      <c r="I21" s="130">
        <f>ROUND(G21*H21,4)</f>
        <v>261162.36300000001</v>
      </c>
      <c r="J21" s="131">
        <f>I21/$I$68*100</f>
        <v>0.49794081738929419</v>
      </c>
      <c r="K21" s="132">
        <f>'[3]SWA 12-5-2023'!L21</f>
        <v>221988.00855</v>
      </c>
      <c r="L21" s="133"/>
      <c r="M21" s="134">
        <f t="shared" si="1"/>
        <v>221988.00855</v>
      </c>
      <c r="N21" s="135">
        <f t="shared" si="2"/>
        <v>0.42324969478090002</v>
      </c>
      <c r="O21" s="136" t="s">
        <v>52</v>
      </c>
      <c r="Q21" s="137">
        <v>555</v>
      </c>
      <c r="R21" s="138">
        <f>G21*0.85</f>
        <v>899.28300000000002</v>
      </c>
      <c r="AA21" s="137">
        <v>45173.94</v>
      </c>
    </row>
    <row r="22" spans="1:27" ht="13.95" customHeight="1">
      <c r="A22" s="123" t="s">
        <v>117</v>
      </c>
      <c r="B22" s="124" t="s">
        <v>118</v>
      </c>
      <c r="C22" s="125"/>
      <c r="D22" s="125"/>
      <c r="E22" s="126"/>
      <c r="F22" s="127" t="s">
        <v>22</v>
      </c>
      <c r="G22" s="128">
        <v>5971.01</v>
      </c>
      <c r="H22" s="129">
        <v>332.88</v>
      </c>
      <c r="I22" s="130">
        <f t="shared" ref="I22:I33" si="3">ROUND(G22*H22,4)</f>
        <v>1987629.8088</v>
      </c>
      <c r="J22" s="131">
        <f>I22/$I$68*100</f>
        <v>3.7896808724356599</v>
      </c>
      <c r="K22" s="132">
        <f>'[3]SWA 12-5-2023'!L22</f>
        <v>1689485.33748</v>
      </c>
      <c r="L22" s="133"/>
      <c r="M22" s="134">
        <f t="shared" si="1"/>
        <v>1689485.33748</v>
      </c>
      <c r="N22" s="135">
        <f t="shared" si="2"/>
        <v>3.2212287415703109</v>
      </c>
      <c r="O22" s="136" t="s">
        <v>52</v>
      </c>
      <c r="Q22" s="137">
        <v>1500</v>
      </c>
      <c r="R22" s="138">
        <f>G22*0.85</f>
        <v>5075.3585000000003</v>
      </c>
      <c r="AA22" s="137">
        <v>49961.440000000002</v>
      </c>
    </row>
    <row r="23" spans="1:27" ht="13.95" customHeight="1">
      <c r="A23" s="123" t="s">
        <v>119</v>
      </c>
      <c r="B23" s="124" t="s">
        <v>120</v>
      </c>
      <c r="C23" s="125"/>
      <c r="D23" s="125"/>
      <c r="E23" s="126"/>
      <c r="F23" s="127" t="s">
        <v>21</v>
      </c>
      <c r="G23" s="128">
        <v>20444.400000000001</v>
      </c>
      <c r="H23" s="129">
        <v>18.64</v>
      </c>
      <c r="I23" s="130">
        <f t="shared" si="3"/>
        <v>381083.61599999998</v>
      </c>
      <c r="J23" s="131">
        <f>I23/$I$68*100</f>
        <v>0.7265866530879409</v>
      </c>
      <c r="K23" s="132">
        <f>'[3]SWA 12-5-2023'!L23</f>
        <v>0</v>
      </c>
      <c r="L23" s="133"/>
      <c r="M23" s="134">
        <f t="shared" si="1"/>
        <v>0</v>
      </c>
      <c r="N23" s="142">
        <f t="shared" si="2"/>
        <v>0</v>
      </c>
      <c r="O23" s="136" t="s">
        <v>121</v>
      </c>
      <c r="Q23" s="137">
        <f>150*4.5*8.1</f>
        <v>5467.5</v>
      </c>
      <c r="R23" s="138"/>
      <c r="AA23" s="137">
        <v>50224.1</v>
      </c>
    </row>
    <row r="24" spans="1:27" s="94" customFormat="1" ht="13.95" customHeight="1">
      <c r="A24" s="113" t="s">
        <v>122</v>
      </c>
      <c r="B24" s="139" t="s">
        <v>123</v>
      </c>
      <c r="C24" s="140"/>
      <c r="D24" s="140"/>
      <c r="E24" s="141"/>
      <c r="F24" s="114"/>
      <c r="G24" s="115"/>
      <c r="H24" s="116"/>
      <c r="I24" s="130">
        <f t="shared" si="3"/>
        <v>0</v>
      </c>
      <c r="J24" s="118"/>
      <c r="K24" s="132">
        <f>'[3]SWA 12-5-2023'!L24</f>
        <v>0</v>
      </c>
      <c r="L24" s="133"/>
      <c r="M24" s="99"/>
      <c r="N24" s="143"/>
      <c r="O24" s="122"/>
      <c r="Q24" s="95">
        <v>0</v>
      </c>
      <c r="AA24" s="95"/>
    </row>
    <row r="25" spans="1:27" ht="13.95" customHeight="1">
      <c r="A25" s="123" t="s">
        <v>124</v>
      </c>
      <c r="B25" s="124" t="s">
        <v>125</v>
      </c>
      <c r="C25" s="125"/>
      <c r="D25" s="125"/>
      <c r="E25" s="126"/>
      <c r="F25" s="127" t="s">
        <v>22</v>
      </c>
      <c r="G25" s="128">
        <v>6057.6</v>
      </c>
      <c r="H25" s="129">
        <v>584.03</v>
      </c>
      <c r="I25" s="130">
        <f t="shared" si="3"/>
        <v>3537820.128</v>
      </c>
      <c r="J25" s="131">
        <f>I25/$I$68*100</f>
        <v>6.7453251152908944</v>
      </c>
      <c r="K25" s="132">
        <f>'[3]SWA 12-5-2023'!L25</f>
        <v>0</v>
      </c>
      <c r="L25" s="133"/>
      <c r="M25" s="134">
        <f t="shared" si="1"/>
        <v>0</v>
      </c>
      <c r="N25" s="142">
        <f t="shared" si="2"/>
        <v>0</v>
      </c>
      <c r="O25" s="136" t="s">
        <v>121</v>
      </c>
      <c r="Q25" s="137">
        <f>Q23*0.2</f>
        <v>1093.5</v>
      </c>
      <c r="R25" s="138"/>
      <c r="AA25" s="137">
        <f>SUM(AA15:AA23)</f>
        <v>45615643.139999993</v>
      </c>
    </row>
    <row r="26" spans="1:27" s="94" customFormat="1" ht="13.95" customHeight="1">
      <c r="A26" s="113" t="s">
        <v>126</v>
      </c>
      <c r="B26" s="139" t="s">
        <v>127</v>
      </c>
      <c r="C26" s="140"/>
      <c r="D26" s="140"/>
      <c r="E26" s="141"/>
      <c r="F26" s="114"/>
      <c r="G26" s="115"/>
      <c r="H26" s="116"/>
      <c r="I26" s="130">
        <f t="shared" si="3"/>
        <v>0</v>
      </c>
      <c r="J26" s="118"/>
      <c r="K26" s="132">
        <f>'[3]SWA 12-5-2023'!L26</f>
        <v>0</v>
      </c>
      <c r="L26" s="133"/>
      <c r="M26" s="99"/>
      <c r="N26" s="143"/>
      <c r="O26" s="122"/>
      <c r="Q26" s="95">
        <v>0</v>
      </c>
      <c r="AA26" s="95"/>
    </row>
    <row r="27" spans="1:27" ht="13.95" customHeight="1" thickBot="1">
      <c r="A27" s="144" t="s">
        <v>128</v>
      </c>
      <c r="B27" s="145" t="s">
        <v>129</v>
      </c>
      <c r="C27" s="146"/>
      <c r="D27" s="146"/>
      <c r="E27" s="147"/>
      <c r="F27" s="127" t="s">
        <v>21</v>
      </c>
      <c r="G27" s="148">
        <v>15396.4</v>
      </c>
      <c r="H27" s="129">
        <v>1204.01</v>
      </c>
      <c r="I27" s="149">
        <f t="shared" si="3"/>
        <v>18537419.563999999</v>
      </c>
      <c r="J27" s="150">
        <f>I27/$I$68*100</f>
        <v>35.3440585540515</v>
      </c>
      <c r="K27" s="132">
        <f>'[3]SWA 12-5-2023'!L27</f>
        <v>0</v>
      </c>
      <c r="L27" s="151"/>
      <c r="M27" s="152">
        <f t="shared" si="1"/>
        <v>0</v>
      </c>
      <c r="N27" s="153">
        <f t="shared" si="2"/>
        <v>0</v>
      </c>
      <c r="O27" s="154" t="s">
        <v>121</v>
      </c>
      <c r="P27" s="155">
        <f>SUM(I15:I27)</f>
        <v>24974597.979800001</v>
      </c>
      <c r="Q27" s="137">
        <f>150*4.5*3.05</f>
        <v>2058.75</v>
      </c>
      <c r="R27" s="138"/>
      <c r="U27">
        <f>R47/G47</f>
        <v>0.73268506900878294</v>
      </c>
      <c r="AA27" s="137">
        <v>50224.1</v>
      </c>
    </row>
    <row r="28" spans="1:27" s="166" customFormat="1" ht="18" customHeight="1" thickBot="1">
      <c r="A28" s="605" t="s">
        <v>130</v>
      </c>
      <c r="B28" s="606"/>
      <c r="C28" s="606"/>
      <c r="D28" s="606"/>
      <c r="E28" s="606"/>
      <c r="F28" s="156"/>
      <c r="G28" s="157"/>
      <c r="H28" s="158"/>
      <c r="I28" s="159"/>
      <c r="J28" s="160"/>
      <c r="K28" s="161">
        <f>SUM(K13:K27)</f>
        <v>2066649.4292483185</v>
      </c>
      <c r="L28" s="161">
        <f>SUM(L13:L27)</f>
        <v>4522.3500000000004</v>
      </c>
      <c r="M28" s="161">
        <f>SUM(M13:M27)</f>
        <v>2071171.7792483186</v>
      </c>
      <c r="N28" s="161">
        <f>SUM(N13:N27)</f>
        <v>3.9489647622484814</v>
      </c>
      <c r="O28" s="162"/>
      <c r="P28" s="163"/>
      <c r="Q28" s="164"/>
      <c r="R28" s="165"/>
      <c r="AA28" s="164"/>
    </row>
    <row r="29" spans="1:27" s="111" customFormat="1" ht="14.4" customHeight="1">
      <c r="A29" s="101" t="s">
        <v>131</v>
      </c>
      <c r="B29" s="640" t="s">
        <v>132</v>
      </c>
      <c r="C29" s="641"/>
      <c r="D29" s="641"/>
      <c r="E29" s="642"/>
      <c r="F29" s="167"/>
      <c r="G29" s="168"/>
      <c r="H29" s="169"/>
      <c r="I29" s="170"/>
      <c r="J29" s="118"/>
      <c r="K29" s="171"/>
      <c r="L29" s="172"/>
      <c r="M29" s="173"/>
      <c r="N29" s="174"/>
      <c r="O29" s="175"/>
      <c r="Q29" s="112"/>
      <c r="AA29" s="112"/>
    </row>
    <row r="30" spans="1:27" s="94" customFormat="1" ht="13.95" customHeight="1">
      <c r="A30" s="113" t="s">
        <v>97</v>
      </c>
      <c r="B30" s="617" t="s">
        <v>98</v>
      </c>
      <c r="C30" s="618"/>
      <c r="D30" s="618"/>
      <c r="E30" s="619"/>
      <c r="F30" s="114"/>
      <c r="G30" s="115"/>
      <c r="H30" s="116"/>
      <c r="I30" s="130"/>
      <c r="J30" s="118"/>
      <c r="K30" s="171"/>
      <c r="L30" s="176"/>
      <c r="M30" s="99"/>
      <c r="N30" s="121"/>
      <c r="O30" s="122"/>
      <c r="Q30" s="95">
        <v>0</v>
      </c>
      <c r="AA30" s="95">
        <f>SUM(AA16:AA27)</f>
        <v>91225829.719999984</v>
      </c>
    </row>
    <row r="31" spans="1:27" ht="13.95" customHeight="1">
      <c r="A31" s="123" t="s">
        <v>99</v>
      </c>
      <c r="B31" s="124" t="s">
        <v>100</v>
      </c>
      <c r="C31" s="125"/>
      <c r="D31" s="125"/>
      <c r="E31" s="126"/>
      <c r="F31" s="127" t="s">
        <v>101</v>
      </c>
      <c r="G31" s="128">
        <v>5.5</v>
      </c>
      <c r="H31" s="129">
        <v>6195</v>
      </c>
      <c r="I31" s="130">
        <f t="shared" si="3"/>
        <v>34072.5</v>
      </c>
      <c r="J31" s="131">
        <f>I31/$I$68*100</f>
        <v>6.4963757815657094E-2</v>
      </c>
      <c r="K31" s="171">
        <f>'[3]SWA 12-5-2023'!L31</f>
        <v>24964.412013801753</v>
      </c>
      <c r="L31" s="176">
        <f>I31*(0.1+0.2)</f>
        <v>10221.750000000002</v>
      </c>
      <c r="M31" s="134">
        <f t="shared" si="1"/>
        <v>35186.162013801753</v>
      </c>
      <c r="N31" s="135">
        <f t="shared" si="2"/>
        <v>6.708710272293171E-2</v>
      </c>
      <c r="O31" s="136" t="s">
        <v>52</v>
      </c>
      <c r="Q31" s="137"/>
      <c r="R31" s="138">
        <f>G31*U27</f>
        <v>4.0297678795483058</v>
      </c>
      <c r="U31" s="138">
        <f>G15+G31</f>
        <v>11.5</v>
      </c>
      <c r="AA31" s="137">
        <v>50224.1</v>
      </c>
    </row>
    <row r="32" spans="1:27" s="94" customFormat="1" ht="13.95" customHeight="1">
      <c r="A32" s="113" t="s">
        <v>102</v>
      </c>
      <c r="B32" s="139" t="s">
        <v>103</v>
      </c>
      <c r="C32" s="140"/>
      <c r="D32" s="140"/>
      <c r="E32" s="141"/>
      <c r="F32" s="114"/>
      <c r="G32" s="115"/>
      <c r="H32" s="116"/>
      <c r="I32" s="130"/>
      <c r="J32" s="118"/>
      <c r="K32" s="171"/>
      <c r="L32" s="176"/>
      <c r="M32" s="99"/>
      <c r="N32" s="121"/>
      <c r="O32" s="122"/>
      <c r="Q32" s="95"/>
      <c r="U32" s="177">
        <f>U31*30</f>
        <v>345</v>
      </c>
      <c r="AA32" s="95"/>
    </row>
    <row r="33" spans="1:27" ht="13.95" customHeight="1">
      <c r="A33" s="123" t="s">
        <v>104</v>
      </c>
      <c r="B33" s="614" t="s">
        <v>105</v>
      </c>
      <c r="C33" s="615"/>
      <c r="D33" s="615"/>
      <c r="E33" s="616"/>
      <c r="F33" s="127" t="s">
        <v>106</v>
      </c>
      <c r="G33" s="128">
        <v>2</v>
      </c>
      <c r="H33" s="129">
        <v>9912</v>
      </c>
      <c r="I33" s="130">
        <f t="shared" si="3"/>
        <v>19824</v>
      </c>
      <c r="J33" s="131">
        <f>I33/$I$68*100</f>
        <v>3.779709545638231E-2</v>
      </c>
      <c r="K33" s="171">
        <f>'[3]SWA 12-5-2023'!L33</f>
        <v>19824</v>
      </c>
      <c r="L33" s="176"/>
      <c r="M33" s="134">
        <f t="shared" si="1"/>
        <v>19824</v>
      </c>
      <c r="N33" s="135">
        <f t="shared" si="2"/>
        <v>3.779709545638231E-2</v>
      </c>
      <c r="O33" s="136" t="s">
        <v>52</v>
      </c>
      <c r="Q33" s="137"/>
      <c r="R33">
        <v>2</v>
      </c>
      <c r="AA33" s="137"/>
    </row>
    <row r="34" spans="1:27" ht="13.95" customHeight="1">
      <c r="A34" s="123" t="s">
        <v>107</v>
      </c>
      <c r="B34" s="124" t="s">
        <v>108</v>
      </c>
      <c r="C34" s="125"/>
      <c r="D34" s="125"/>
      <c r="E34" s="126"/>
      <c r="F34" s="127" t="s">
        <v>109</v>
      </c>
      <c r="G34" s="128" t="s">
        <v>110</v>
      </c>
      <c r="H34" s="129">
        <v>23541</v>
      </c>
      <c r="I34" s="130">
        <f>ROUND(1*H34,4)</f>
        <v>23541</v>
      </c>
      <c r="J34" s="131">
        <f>I34/$I$68*100</f>
        <v>4.4884050854453988E-2</v>
      </c>
      <c r="K34" s="171">
        <f>'[3]SWA 12-5-2023'!L34</f>
        <v>17248.139209535759</v>
      </c>
      <c r="L34" s="176"/>
      <c r="M34" s="134">
        <f t="shared" si="1"/>
        <v>17248.139209535759</v>
      </c>
      <c r="N34" s="135">
        <f t="shared" si="2"/>
        <v>3.2885873897689349E-2</v>
      </c>
      <c r="O34" s="136" t="s">
        <v>52</v>
      </c>
      <c r="Q34" s="137"/>
      <c r="R34">
        <f>U27</f>
        <v>0.73268506900878294</v>
      </c>
      <c r="AA34" s="137"/>
    </row>
    <row r="35" spans="1:27" ht="13.95" customHeight="1">
      <c r="A35" s="123" t="s">
        <v>111</v>
      </c>
      <c r="B35" s="124" t="s">
        <v>112</v>
      </c>
      <c r="C35" s="125"/>
      <c r="D35" s="125"/>
      <c r="E35" s="126"/>
      <c r="F35" s="127" t="s">
        <v>109</v>
      </c>
      <c r="G35" s="128" t="s">
        <v>110</v>
      </c>
      <c r="H35" s="129">
        <v>251517</v>
      </c>
      <c r="I35" s="130">
        <f>ROUND(1*H35,4)</f>
        <v>251517</v>
      </c>
      <c r="J35" s="131">
        <f>I35/$I$68*100</f>
        <v>0.47955064860285052</v>
      </c>
      <c r="K35" s="171">
        <f>'[3]SWA 12-5-2023'!L35</f>
        <v>125758.5</v>
      </c>
      <c r="L35" s="176"/>
      <c r="M35" s="134">
        <f t="shared" si="1"/>
        <v>125758.5</v>
      </c>
      <c r="N35" s="135">
        <f t="shared" si="2"/>
        <v>0.23977532430142526</v>
      </c>
      <c r="O35" s="136" t="s">
        <v>52</v>
      </c>
      <c r="Q35" s="137"/>
      <c r="R35">
        <v>0.5</v>
      </c>
      <c r="AA35" s="137"/>
    </row>
    <row r="36" spans="1:27" s="94" customFormat="1" ht="13.95" customHeight="1">
      <c r="A36" s="113" t="s">
        <v>113</v>
      </c>
      <c r="B36" s="608" t="s">
        <v>114</v>
      </c>
      <c r="C36" s="609"/>
      <c r="D36" s="609"/>
      <c r="E36" s="610"/>
      <c r="F36" s="114"/>
      <c r="G36" s="115"/>
      <c r="H36" s="116"/>
      <c r="I36" s="130"/>
      <c r="J36" s="118"/>
      <c r="K36" s="171"/>
      <c r="L36" s="176"/>
      <c r="M36" s="99"/>
      <c r="N36" s="121"/>
      <c r="O36" s="122"/>
      <c r="Q36" s="95"/>
      <c r="AA36" s="95"/>
    </row>
    <row r="37" spans="1:27" ht="13.95" customHeight="1">
      <c r="A37" s="123" t="s">
        <v>133</v>
      </c>
      <c r="B37" s="599" t="s">
        <v>134</v>
      </c>
      <c r="C37" s="600"/>
      <c r="D37" s="600"/>
      <c r="E37" s="601"/>
      <c r="F37" s="127" t="s">
        <v>135</v>
      </c>
      <c r="G37" s="128">
        <v>30</v>
      </c>
      <c r="H37" s="129">
        <v>556.52</v>
      </c>
      <c r="I37" s="130">
        <f>ROUND(G37*H37,4)</f>
        <v>16695.599999999999</v>
      </c>
      <c r="J37" s="131">
        <f t="shared" ref="J37:J43" si="4">I37/$I$68*100</f>
        <v>3.1832384327157813E-2</v>
      </c>
      <c r="K37" s="171">
        <f>'[3]SWA 12-5-2023'!L37</f>
        <v>5565.2</v>
      </c>
      <c r="L37" s="176"/>
      <c r="M37" s="134">
        <f t="shared" si="1"/>
        <v>5565.2</v>
      </c>
      <c r="N37" s="135">
        <f t="shared" si="2"/>
        <v>1.061079477571927E-2</v>
      </c>
      <c r="O37" s="136" t="s">
        <v>52</v>
      </c>
      <c r="Q37" s="137"/>
      <c r="R37">
        <v>10</v>
      </c>
      <c r="AA37" s="137"/>
    </row>
    <row r="38" spans="1:27" ht="13.95" customHeight="1">
      <c r="A38" s="123" t="s">
        <v>136</v>
      </c>
      <c r="B38" s="599" t="s">
        <v>137</v>
      </c>
      <c r="C38" s="600"/>
      <c r="D38" s="600"/>
      <c r="E38" s="601"/>
      <c r="F38" s="127" t="s">
        <v>135</v>
      </c>
      <c r="G38" s="128">
        <v>16</v>
      </c>
      <c r="H38" s="129">
        <v>521.74</v>
      </c>
      <c r="I38" s="130">
        <f t="shared" ref="I38:I66" si="5">ROUND(G38*H38,4)</f>
        <v>8347.84</v>
      </c>
      <c r="J38" s="131">
        <f t="shared" si="4"/>
        <v>1.5916268428904687E-2</v>
      </c>
      <c r="K38" s="171">
        <f>'[3]SWA 12-5-2023'!L38</f>
        <v>8347.84</v>
      </c>
      <c r="L38" s="176"/>
      <c r="M38" s="134">
        <f t="shared" si="1"/>
        <v>8347.84</v>
      </c>
      <c r="N38" s="135">
        <f t="shared" si="2"/>
        <v>1.5916268428904687E-2</v>
      </c>
      <c r="O38" s="136" t="s">
        <v>52</v>
      </c>
      <c r="Q38" s="137"/>
      <c r="R38">
        <v>16</v>
      </c>
      <c r="AA38" s="137"/>
    </row>
    <row r="39" spans="1:27" ht="13.95" customHeight="1">
      <c r="A39" s="123" t="s">
        <v>115</v>
      </c>
      <c r="B39" s="599" t="s">
        <v>116</v>
      </c>
      <c r="C39" s="600"/>
      <c r="D39" s="600"/>
      <c r="E39" s="601"/>
      <c r="F39" s="127" t="s">
        <v>22</v>
      </c>
      <c r="G39" s="128">
        <v>2269.29</v>
      </c>
      <c r="H39" s="129">
        <v>245.87</v>
      </c>
      <c r="I39" s="130">
        <f t="shared" si="5"/>
        <v>557950.33230000001</v>
      </c>
      <c r="J39" s="131">
        <f t="shared" si="4"/>
        <v>1.0638065965427426</v>
      </c>
      <c r="K39" s="171">
        <f>'[3]SWA 12-5-2023'!L39</f>
        <v>474257.78245499998</v>
      </c>
      <c r="L39" s="176"/>
      <c r="M39" s="134">
        <f t="shared" si="1"/>
        <v>474257.78245499998</v>
      </c>
      <c r="N39" s="135">
        <f t="shared" si="2"/>
        <v>0.90423560706133121</v>
      </c>
      <c r="O39" s="136" t="s">
        <v>52</v>
      </c>
      <c r="Q39" s="137"/>
      <c r="R39" s="138">
        <f>G39*0.85</f>
        <v>1928.8964999999998</v>
      </c>
      <c r="AA39" s="137"/>
    </row>
    <row r="40" spans="1:27" ht="13.95" customHeight="1">
      <c r="A40" s="123" t="s">
        <v>138</v>
      </c>
      <c r="B40" s="599" t="s">
        <v>139</v>
      </c>
      <c r="C40" s="600"/>
      <c r="D40" s="600"/>
      <c r="E40" s="601"/>
      <c r="F40" s="127" t="s">
        <v>22</v>
      </c>
      <c r="G40" s="128">
        <v>354.11</v>
      </c>
      <c r="H40" s="129">
        <v>116.49</v>
      </c>
      <c r="I40" s="130">
        <f t="shared" si="5"/>
        <v>41250.2739</v>
      </c>
      <c r="J40" s="131">
        <f t="shared" si="4"/>
        <v>7.8649139437056897E-2</v>
      </c>
      <c r="K40" s="171">
        <f>'[3]SWA 12-5-2023'!L40</f>
        <v>24602.687999999998</v>
      </c>
      <c r="L40" s="176"/>
      <c r="M40" s="134">
        <f t="shared" si="1"/>
        <v>24602.687999999998</v>
      </c>
      <c r="N40" s="135">
        <f t="shared" si="2"/>
        <v>4.6908300384361959E-2</v>
      </c>
      <c r="O40" s="136" t="s">
        <v>52</v>
      </c>
      <c r="Q40" s="137"/>
      <c r="R40" s="138">
        <f>[3]Sheet1!E33</f>
        <v>235</v>
      </c>
      <c r="S40" s="138">
        <f>1.2*0.8*S54</f>
        <v>211.2</v>
      </c>
      <c r="AA40" s="137"/>
    </row>
    <row r="41" spans="1:27" ht="13.95" customHeight="1">
      <c r="A41" s="123" t="s">
        <v>140</v>
      </c>
      <c r="B41" s="599" t="s">
        <v>141</v>
      </c>
      <c r="C41" s="600"/>
      <c r="D41" s="600"/>
      <c r="E41" s="601"/>
      <c r="F41" s="127" t="s">
        <v>22</v>
      </c>
      <c r="G41" s="128">
        <v>18.25</v>
      </c>
      <c r="H41" s="129">
        <v>469.72</v>
      </c>
      <c r="I41" s="130">
        <f t="shared" si="5"/>
        <v>8572.39</v>
      </c>
      <c r="J41" s="131">
        <f t="shared" si="4"/>
        <v>1.6344402901500056E-2</v>
      </c>
      <c r="K41" s="171">
        <f>'[3]SWA 12-5-2023'!L41</f>
        <v>13527.936000000002</v>
      </c>
      <c r="L41" s="176"/>
      <c r="M41" s="134">
        <f t="shared" si="1"/>
        <v>13527.936000000002</v>
      </c>
      <c r="N41" s="135">
        <f t="shared" si="2"/>
        <v>2.579281115414804E-2</v>
      </c>
      <c r="O41" s="136" t="s">
        <v>52</v>
      </c>
      <c r="Q41" s="137"/>
      <c r="R41" s="138">
        <f>(R58+R62)*(0.6+1)*1</f>
        <v>28.8</v>
      </c>
      <c r="AA41" s="137">
        <f>SUM(AA19:AA31)</f>
        <v>181229753.65999994</v>
      </c>
    </row>
    <row r="42" spans="1:27" ht="13.95" customHeight="1">
      <c r="A42" s="123" t="s">
        <v>117</v>
      </c>
      <c r="B42" s="599" t="s">
        <v>118</v>
      </c>
      <c r="C42" s="600"/>
      <c r="D42" s="600"/>
      <c r="E42" s="601"/>
      <c r="F42" s="127" t="s">
        <v>22</v>
      </c>
      <c r="G42" s="128">
        <v>5528.47</v>
      </c>
      <c r="H42" s="129">
        <v>274.95999999999998</v>
      </c>
      <c r="I42" s="130">
        <f t="shared" si="5"/>
        <v>1520108.1111999999</v>
      </c>
      <c r="J42" s="131">
        <f t="shared" si="4"/>
        <v>2.898288508022973</v>
      </c>
      <c r="K42" s="171">
        <f>'[3]SWA 12-5-2023'!L42</f>
        <v>1292091.8945199999</v>
      </c>
      <c r="L42" s="176"/>
      <c r="M42" s="134">
        <f t="shared" si="1"/>
        <v>1292091.8945199999</v>
      </c>
      <c r="N42" s="135">
        <f t="shared" si="2"/>
        <v>2.4635452318195266</v>
      </c>
      <c r="O42" s="136" t="s">
        <v>52</v>
      </c>
      <c r="Q42" s="137"/>
      <c r="R42" s="138">
        <f>G42*0.85</f>
        <v>4699.1994999999997</v>
      </c>
      <c r="AA42" s="137">
        <v>50224.1</v>
      </c>
    </row>
    <row r="43" spans="1:27" ht="13.95" customHeight="1">
      <c r="A43" s="123" t="s">
        <v>119</v>
      </c>
      <c r="B43" s="599" t="s">
        <v>120</v>
      </c>
      <c r="C43" s="600"/>
      <c r="D43" s="600"/>
      <c r="E43" s="601"/>
      <c r="F43" s="127" t="s">
        <v>21</v>
      </c>
      <c r="G43" s="128">
        <v>19367.099999999999</v>
      </c>
      <c r="H43" s="129">
        <v>18.73</v>
      </c>
      <c r="I43" s="130">
        <f t="shared" si="5"/>
        <v>362745.783</v>
      </c>
      <c r="J43" s="131">
        <f t="shared" si="4"/>
        <v>0.69162313289200683</v>
      </c>
      <c r="K43" s="171">
        <f>'[3]SWA 12-5-2023'!L43</f>
        <v>501092.86769999994</v>
      </c>
      <c r="L43" s="176">
        <f>H43*(P43+Q43)</f>
        <v>16407.48</v>
      </c>
      <c r="M43" s="134">
        <f t="shared" si="1"/>
        <v>517500.34769999993</v>
      </c>
      <c r="N43" s="135">
        <f t="shared" si="2"/>
        <v>0.98668331521024677</v>
      </c>
      <c r="O43" s="136" t="s">
        <v>52</v>
      </c>
      <c r="P43" s="138">
        <f>P47</f>
        <v>651</v>
      </c>
      <c r="Q43" s="137">
        <f>'3-18-22-2024'!J13</f>
        <v>225</v>
      </c>
      <c r="R43" s="138">
        <f>[3]Sheet1!N18</f>
        <v>26753.489999999998</v>
      </c>
      <c r="AA43" s="137"/>
    </row>
    <row r="44" spans="1:27" s="94" customFormat="1" ht="13.95" customHeight="1">
      <c r="A44" s="113" t="s">
        <v>122</v>
      </c>
      <c r="B44" s="608" t="s">
        <v>123</v>
      </c>
      <c r="C44" s="609"/>
      <c r="D44" s="609"/>
      <c r="E44" s="610"/>
      <c r="F44" s="114"/>
      <c r="G44" s="115"/>
      <c r="H44" s="116"/>
      <c r="I44" s="130">
        <f t="shared" si="5"/>
        <v>0</v>
      </c>
      <c r="J44" s="118"/>
      <c r="K44" s="171">
        <f>'[3]SWA 12-5-2023'!L44</f>
        <v>0</v>
      </c>
      <c r="L44" s="176">
        <f t="shared" ref="L44:L46" si="6">H44*P44</f>
        <v>0</v>
      </c>
      <c r="M44" s="134"/>
      <c r="N44" s="135"/>
      <c r="O44" s="122"/>
      <c r="Q44" s="95"/>
      <c r="AA44" s="95">
        <f>SUM(AA22:AA42)</f>
        <v>318322084.3599999</v>
      </c>
    </row>
    <row r="45" spans="1:27" ht="13.95" customHeight="1">
      <c r="A45" s="123" t="s">
        <v>124</v>
      </c>
      <c r="B45" s="599" t="s">
        <v>125</v>
      </c>
      <c r="C45" s="600"/>
      <c r="D45" s="600"/>
      <c r="E45" s="601"/>
      <c r="F45" s="127" t="s">
        <v>22</v>
      </c>
      <c r="G45" s="128">
        <v>5738.4</v>
      </c>
      <c r="H45" s="129">
        <v>584.61</v>
      </c>
      <c r="I45" s="130">
        <f t="shared" si="5"/>
        <v>3354726.0240000002</v>
      </c>
      <c r="J45" s="131">
        <f>I45/$I$68*100</f>
        <v>6.3962318280436792</v>
      </c>
      <c r="K45" s="171">
        <f>'[3]SWA 12-5-2023'!L45</f>
        <v>1249461.8147700001</v>
      </c>
      <c r="L45" s="176">
        <f>H45*(P45+Q45)</f>
        <v>829631.74319999991</v>
      </c>
      <c r="M45" s="134">
        <f t="shared" si="1"/>
        <v>2079093.55797</v>
      </c>
      <c r="N45" s="135">
        <f t="shared" si="2"/>
        <v>3.9640686881225595</v>
      </c>
      <c r="O45" s="136" t="s">
        <v>52</v>
      </c>
      <c r="P45" s="217">
        <f>'2-12-16-2024'!J14+'2-19-23-2024'!J14</f>
        <v>1054.6199999999999</v>
      </c>
      <c r="Q45" s="137">
        <f>'3-18-22-2024'!J14</f>
        <v>364.5</v>
      </c>
      <c r="R45" s="138">
        <f>[3]Sheet1!N17</f>
        <v>2137.2570000000001</v>
      </c>
      <c r="AA45" s="137"/>
    </row>
    <row r="46" spans="1:27" s="94" customFormat="1" ht="13.95" customHeight="1">
      <c r="A46" s="113" t="s">
        <v>126</v>
      </c>
      <c r="B46" s="608" t="s">
        <v>127</v>
      </c>
      <c r="C46" s="609"/>
      <c r="D46" s="609"/>
      <c r="E46" s="610"/>
      <c r="F46" s="114"/>
      <c r="G46" s="115"/>
      <c r="H46" s="116"/>
      <c r="I46" s="130">
        <f t="shared" si="5"/>
        <v>0</v>
      </c>
      <c r="J46" s="118"/>
      <c r="K46" s="171">
        <f>'[3]SWA 12-5-2023'!L46</f>
        <v>0</v>
      </c>
      <c r="L46" s="176">
        <f t="shared" si="6"/>
        <v>0</v>
      </c>
      <c r="M46" s="99"/>
      <c r="N46" s="121"/>
      <c r="O46" s="122"/>
      <c r="Q46" s="95"/>
      <c r="AA46" s="95"/>
    </row>
    <row r="47" spans="1:27" ht="13.95" customHeight="1">
      <c r="A47" s="123" t="s">
        <v>142</v>
      </c>
      <c r="B47" s="599" t="s">
        <v>129</v>
      </c>
      <c r="C47" s="600"/>
      <c r="D47" s="600"/>
      <c r="E47" s="601"/>
      <c r="F47" s="178" t="s">
        <v>21</v>
      </c>
      <c r="G47" s="128">
        <v>14585.1</v>
      </c>
      <c r="H47" s="179">
        <v>1201.82</v>
      </c>
      <c r="I47" s="130">
        <f t="shared" si="5"/>
        <v>17528664.881999999</v>
      </c>
      <c r="J47" s="180">
        <f>I47/$I$68*100</f>
        <v>33.420733442690192</v>
      </c>
      <c r="K47" s="171">
        <f>'[3]SWA 12-5-2023'!L47</f>
        <v>12842991.038699999</v>
      </c>
      <c r="L47" s="176">
        <f>H47*(P47+Q47)</f>
        <v>1187999.0699999998</v>
      </c>
      <c r="M47" s="134">
        <f t="shared" si="1"/>
        <v>14030990.1087</v>
      </c>
      <c r="N47" s="135">
        <f t="shared" si="2"/>
        <v>26.75195079126765</v>
      </c>
      <c r="O47" s="136" t="s">
        <v>52</v>
      </c>
      <c r="P47" s="138">
        <f>306+'2-19-23-2024'!N18</f>
        <v>651</v>
      </c>
      <c r="Q47" s="137">
        <f>'3-4-8-2024'!J15</f>
        <v>337.5</v>
      </c>
      <c r="R47" s="138">
        <f>[3]Sheet1!P12</f>
        <v>10686.285</v>
      </c>
      <c r="AA47" s="137"/>
    </row>
    <row r="48" spans="1:27" s="94" customFormat="1" ht="13.95" customHeight="1">
      <c r="A48" s="113" t="s">
        <v>143</v>
      </c>
      <c r="B48" s="608" t="s">
        <v>144</v>
      </c>
      <c r="C48" s="609"/>
      <c r="D48" s="609"/>
      <c r="E48" s="610"/>
      <c r="F48" s="114"/>
      <c r="G48" s="115"/>
      <c r="H48" s="116"/>
      <c r="I48" s="130">
        <f t="shared" si="5"/>
        <v>0</v>
      </c>
      <c r="J48" s="181"/>
      <c r="K48" s="171">
        <f>'[3]SWA 12-5-2023'!L48</f>
        <v>0</v>
      </c>
      <c r="L48" s="176"/>
      <c r="M48" s="99"/>
      <c r="N48" s="121"/>
      <c r="O48" s="122"/>
      <c r="Q48" s="95"/>
      <c r="AA48" s="95"/>
    </row>
    <row r="49" spans="1:27" ht="13.95" customHeight="1">
      <c r="A49" s="123"/>
      <c r="B49" s="611" t="s">
        <v>145</v>
      </c>
      <c r="C49" s="612"/>
      <c r="D49" s="612"/>
      <c r="E49" s="613"/>
      <c r="F49" s="114"/>
      <c r="G49" s="115"/>
      <c r="H49" s="116"/>
      <c r="I49" s="130">
        <f t="shared" si="5"/>
        <v>0</v>
      </c>
      <c r="J49" s="118"/>
      <c r="K49" s="171">
        <f>'[3]SWA 12-5-2023'!L49</f>
        <v>0</v>
      </c>
      <c r="L49" s="176"/>
      <c r="M49" s="99"/>
      <c r="N49" s="121"/>
      <c r="O49" s="122"/>
      <c r="Q49" s="137"/>
      <c r="AA49" s="137"/>
    </row>
    <row r="50" spans="1:27" ht="13.95" customHeight="1">
      <c r="A50" s="123" t="s">
        <v>146</v>
      </c>
      <c r="B50" s="599" t="s">
        <v>147</v>
      </c>
      <c r="C50" s="600"/>
      <c r="D50" s="600"/>
      <c r="E50" s="601"/>
      <c r="F50" s="127" t="s">
        <v>148</v>
      </c>
      <c r="G50" s="128">
        <v>3771.94</v>
      </c>
      <c r="H50" s="129">
        <v>73.56</v>
      </c>
      <c r="I50" s="130">
        <f t="shared" si="5"/>
        <v>277463.90639999998</v>
      </c>
      <c r="J50" s="131">
        <f>I50/$I$68*100</f>
        <v>0.52902188034208664</v>
      </c>
      <c r="K50" s="171">
        <f>'[3]SWA 12-5-2023'!L50</f>
        <v>0</v>
      </c>
      <c r="L50" s="176"/>
      <c r="M50" s="134">
        <f t="shared" si="1"/>
        <v>0</v>
      </c>
      <c r="N50" s="142">
        <f t="shared" si="2"/>
        <v>0</v>
      </c>
      <c r="O50" s="136" t="s">
        <v>121</v>
      </c>
      <c r="Q50" s="137"/>
      <c r="AA50" s="137"/>
    </row>
    <row r="51" spans="1:27" ht="13.95" customHeight="1">
      <c r="A51" s="123" t="s">
        <v>149</v>
      </c>
      <c r="B51" s="599" t="s">
        <v>150</v>
      </c>
      <c r="C51" s="600"/>
      <c r="D51" s="600"/>
      <c r="E51" s="601"/>
      <c r="F51" s="127" t="s">
        <v>22</v>
      </c>
      <c r="G51" s="128">
        <v>57.46</v>
      </c>
      <c r="H51" s="129">
        <v>6120.11</v>
      </c>
      <c r="I51" s="130">
        <f t="shared" si="5"/>
        <v>351661.52059999999</v>
      </c>
      <c r="J51" s="131">
        <f>I51/$I$68*100</f>
        <v>0.67048951081793551</v>
      </c>
      <c r="K51" s="171">
        <f>'[3]SWA 12-5-2023'!L51</f>
        <v>0</v>
      </c>
      <c r="L51" s="176"/>
      <c r="M51" s="134">
        <f t="shared" si="1"/>
        <v>0</v>
      </c>
      <c r="N51" s="142">
        <f t="shared" si="2"/>
        <v>0</v>
      </c>
      <c r="O51" s="136" t="s">
        <v>121</v>
      </c>
      <c r="Q51" s="137"/>
      <c r="AA51" s="137"/>
    </row>
    <row r="52" spans="1:27" ht="13.95" customHeight="1">
      <c r="A52" s="123"/>
      <c r="B52" s="611" t="s">
        <v>151</v>
      </c>
      <c r="C52" s="612"/>
      <c r="D52" s="612"/>
      <c r="E52" s="613"/>
      <c r="F52" s="114"/>
      <c r="G52" s="115"/>
      <c r="H52" s="116"/>
      <c r="I52" s="130">
        <f t="shared" si="5"/>
        <v>0</v>
      </c>
      <c r="J52" s="118"/>
      <c r="K52" s="171">
        <f>'[3]SWA 12-5-2023'!L52</f>
        <v>0</v>
      </c>
      <c r="L52" s="176"/>
      <c r="M52" s="99"/>
      <c r="N52" s="121"/>
      <c r="O52" s="122"/>
      <c r="Q52" s="137"/>
      <c r="AA52" s="137"/>
    </row>
    <row r="53" spans="1:27" ht="13.95" customHeight="1">
      <c r="A53" s="123" t="s">
        <v>146</v>
      </c>
      <c r="B53" s="599" t="s">
        <v>147</v>
      </c>
      <c r="C53" s="600"/>
      <c r="D53" s="600"/>
      <c r="E53" s="601"/>
      <c r="F53" s="127" t="s">
        <v>148</v>
      </c>
      <c r="G53" s="128">
        <v>13075.1</v>
      </c>
      <c r="H53" s="129">
        <v>79.83</v>
      </c>
      <c r="I53" s="130">
        <f t="shared" si="5"/>
        <v>1043785.233</v>
      </c>
      <c r="J53" s="131">
        <f>I53/$I$68*100</f>
        <v>1.990115520967678</v>
      </c>
      <c r="K53" s="171">
        <f>'[3]SWA 12-5-2023'!L53</f>
        <v>949366.42657516128</v>
      </c>
      <c r="L53" s="176"/>
      <c r="M53" s="134">
        <f t="shared" si="1"/>
        <v>949366.42657516128</v>
      </c>
      <c r="N53" s="135">
        <f>M53/$I$68*100</f>
        <v>1.8100934951748355</v>
      </c>
      <c r="O53" s="136" t="s">
        <v>52</v>
      </c>
      <c r="Q53" s="137"/>
      <c r="R53" s="80">
        <f>[3]Sheet1!L33</f>
        <v>18273.601200000005</v>
      </c>
      <c r="S53" s="80">
        <f>S54*V54</f>
        <v>11892.351579295519</v>
      </c>
      <c r="T53" s="80"/>
      <c r="U53" s="80"/>
      <c r="V53" s="80"/>
      <c r="AA53" s="137"/>
    </row>
    <row r="54" spans="1:27" ht="13.95" customHeight="1">
      <c r="A54" s="123" t="s">
        <v>149</v>
      </c>
      <c r="B54" s="599" t="s">
        <v>150</v>
      </c>
      <c r="C54" s="600"/>
      <c r="D54" s="600"/>
      <c r="E54" s="601"/>
      <c r="F54" s="178" t="s">
        <v>22</v>
      </c>
      <c r="G54" s="128">
        <v>241.88</v>
      </c>
      <c r="H54" s="179">
        <v>6788.65</v>
      </c>
      <c r="I54" s="130">
        <f t="shared" si="5"/>
        <v>1642038.662</v>
      </c>
      <c r="J54" s="131">
        <f>I54/$I$68*100</f>
        <v>3.1307653375042515</v>
      </c>
      <c r="K54" s="171">
        <f>'[3]SWA 12-5-2023'!L54</f>
        <v>1493503</v>
      </c>
      <c r="L54" s="176"/>
      <c r="M54" s="134">
        <f t="shared" si="1"/>
        <v>1493503</v>
      </c>
      <c r="N54" s="135">
        <f t="shared" si="2"/>
        <v>2.847562321196194</v>
      </c>
      <c r="O54" s="136" t="s">
        <v>52</v>
      </c>
      <c r="Q54" s="137"/>
      <c r="R54" s="80">
        <f>[3]Sheet1!E26</f>
        <v>270.9255</v>
      </c>
      <c r="S54" s="80">
        <v>220</v>
      </c>
      <c r="T54" s="80"/>
      <c r="U54" s="80"/>
      <c r="V54" s="80">
        <f>G53/G54</f>
        <v>54.056143542252357</v>
      </c>
      <c r="AA54" s="137"/>
    </row>
    <row r="55" spans="1:27" ht="13.95" customHeight="1">
      <c r="A55" s="123"/>
      <c r="B55" s="599" t="s">
        <v>152</v>
      </c>
      <c r="C55" s="600"/>
      <c r="D55" s="600"/>
      <c r="E55" s="601"/>
      <c r="F55" s="114"/>
      <c r="G55" s="115"/>
      <c r="H55" s="116"/>
      <c r="I55" s="130">
        <f t="shared" si="5"/>
        <v>0</v>
      </c>
      <c r="J55" s="118"/>
      <c r="K55" s="171">
        <f>'[3]SWA 12-5-2023'!L55</f>
        <v>0</v>
      </c>
      <c r="L55" s="176"/>
      <c r="M55" s="99"/>
      <c r="N55" s="121"/>
      <c r="O55" s="122"/>
      <c r="Q55" s="137"/>
      <c r="R55" s="80"/>
      <c r="S55" s="80"/>
      <c r="T55" s="80"/>
      <c r="U55" s="80"/>
      <c r="V55" s="80"/>
      <c r="AA55" s="137"/>
    </row>
    <row r="56" spans="1:27" ht="13.95" customHeight="1">
      <c r="A56" s="123" t="s">
        <v>146</v>
      </c>
      <c r="B56" s="599" t="s">
        <v>147</v>
      </c>
      <c r="C56" s="600"/>
      <c r="D56" s="600"/>
      <c r="E56" s="601"/>
      <c r="F56" s="127" t="s">
        <v>148</v>
      </c>
      <c r="G56" s="128">
        <v>874.7</v>
      </c>
      <c r="H56" s="129">
        <v>84.94</v>
      </c>
      <c r="I56" s="130">
        <f t="shared" si="5"/>
        <v>74297.017999999996</v>
      </c>
      <c r="J56" s="131">
        <f>I56/$I$68*100</f>
        <v>0.14165715705561716</v>
      </c>
      <c r="K56" s="171">
        <f>'[3]SWA 12-5-2023'!L56</f>
        <v>74297.017999999996</v>
      </c>
      <c r="L56" s="176"/>
      <c r="M56" s="134">
        <f t="shared" si="1"/>
        <v>74297.017999999996</v>
      </c>
      <c r="N56" s="135">
        <f t="shared" si="2"/>
        <v>0.14165715705561716</v>
      </c>
      <c r="O56" s="136" t="s">
        <v>153</v>
      </c>
      <c r="Q56" s="137"/>
      <c r="R56" s="80">
        <f>G56</f>
        <v>874.7</v>
      </c>
      <c r="S56" s="80"/>
      <c r="T56" s="80"/>
      <c r="U56" s="80"/>
      <c r="V56" s="80"/>
      <c r="AA56" s="137"/>
    </row>
    <row r="57" spans="1:27" ht="13.95" customHeight="1">
      <c r="A57" s="123" t="s">
        <v>149</v>
      </c>
      <c r="B57" s="599" t="s">
        <v>150</v>
      </c>
      <c r="C57" s="600"/>
      <c r="D57" s="600"/>
      <c r="E57" s="601"/>
      <c r="F57" s="127" t="s">
        <v>22</v>
      </c>
      <c r="G57" s="128">
        <v>12.5</v>
      </c>
      <c r="H57" s="129">
        <v>6822.72</v>
      </c>
      <c r="I57" s="130">
        <f t="shared" si="5"/>
        <v>85284</v>
      </c>
      <c r="J57" s="131">
        <f>I57/$I$68*100</f>
        <v>0.16260530109473917</v>
      </c>
      <c r="K57" s="171">
        <f>'[3]SWA 12-5-2023'!L57</f>
        <v>85284</v>
      </c>
      <c r="L57" s="176"/>
      <c r="M57" s="134">
        <f t="shared" si="1"/>
        <v>85284</v>
      </c>
      <c r="N57" s="135">
        <f t="shared" si="2"/>
        <v>0.16260530109473917</v>
      </c>
      <c r="O57" s="136" t="s">
        <v>153</v>
      </c>
      <c r="Q57" s="137"/>
      <c r="R57" s="155">
        <f>G57</f>
        <v>12.5</v>
      </c>
      <c r="AA57" s="137"/>
    </row>
    <row r="58" spans="1:27" ht="13.95" customHeight="1">
      <c r="A58" s="123" t="s">
        <v>154</v>
      </c>
      <c r="B58" s="599" t="s">
        <v>155</v>
      </c>
      <c r="C58" s="600"/>
      <c r="D58" s="600"/>
      <c r="E58" s="601"/>
      <c r="F58" s="127" t="s">
        <v>135</v>
      </c>
      <c r="G58" s="128">
        <v>9</v>
      </c>
      <c r="H58" s="129">
        <v>3657.25</v>
      </c>
      <c r="I58" s="130">
        <f t="shared" si="5"/>
        <v>32915.25</v>
      </c>
      <c r="J58" s="131">
        <f>I58/$I$68*100</f>
        <v>6.2757306609195304E-2</v>
      </c>
      <c r="K58" s="171">
        <f>'[3]SWA 12-5-2023'!L58</f>
        <v>32915.25</v>
      </c>
      <c r="L58" s="176"/>
      <c r="M58" s="134">
        <f t="shared" si="1"/>
        <v>32915.25</v>
      </c>
      <c r="N58" s="135">
        <f t="shared" si="2"/>
        <v>6.2757306609195304E-2</v>
      </c>
      <c r="O58" s="136" t="s">
        <v>153</v>
      </c>
      <c r="Q58" s="137"/>
      <c r="R58" s="155">
        <f>G58</f>
        <v>9</v>
      </c>
      <c r="AA58" s="137"/>
    </row>
    <row r="59" spans="1:27" ht="13.95" customHeight="1">
      <c r="A59" s="123"/>
      <c r="B59" s="599" t="s">
        <v>156</v>
      </c>
      <c r="C59" s="600"/>
      <c r="D59" s="600"/>
      <c r="E59" s="601"/>
      <c r="F59" s="114"/>
      <c r="G59" s="115"/>
      <c r="H59" s="116"/>
      <c r="I59" s="130">
        <f t="shared" si="5"/>
        <v>0</v>
      </c>
      <c r="J59" s="118"/>
      <c r="K59" s="171">
        <f>'[3]SWA 12-5-2023'!L59</f>
        <v>0</v>
      </c>
      <c r="L59" s="176"/>
      <c r="M59" s="99"/>
      <c r="N59" s="121"/>
      <c r="O59" s="136"/>
      <c r="Q59" s="137"/>
      <c r="AA59" s="137"/>
    </row>
    <row r="60" spans="1:27" ht="13.95" customHeight="1">
      <c r="A60" s="123" t="s">
        <v>146</v>
      </c>
      <c r="B60" s="599" t="s">
        <v>147</v>
      </c>
      <c r="C60" s="600"/>
      <c r="D60" s="600"/>
      <c r="E60" s="601"/>
      <c r="F60" s="127" t="s">
        <v>148</v>
      </c>
      <c r="G60" s="128">
        <v>272.06</v>
      </c>
      <c r="H60" s="129">
        <v>94.02</v>
      </c>
      <c r="I60" s="130">
        <f t="shared" si="5"/>
        <v>25579.081200000001</v>
      </c>
      <c r="J60" s="131">
        <f>I60/$I$68*100</f>
        <v>4.8769924021537236E-2</v>
      </c>
      <c r="K60" s="171">
        <f>'[3]SWA 12-5-2023'!L60</f>
        <v>25579.081200000001</v>
      </c>
      <c r="L60" s="176"/>
      <c r="M60" s="134">
        <f t="shared" si="1"/>
        <v>25579.081200000001</v>
      </c>
      <c r="N60" s="135">
        <f t="shared" si="2"/>
        <v>4.8769924021537236E-2</v>
      </c>
      <c r="O60" s="136" t="s">
        <v>153</v>
      </c>
      <c r="Q60" s="137">
        <v>36.86</v>
      </c>
      <c r="R60" s="155">
        <f>G60</f>
        <v>272.06</v>
      </c>
      <c r="AA60" s="137"/>
    </row>
    <row r="61" spans="1:27" ht="13.95" customHeight="1">
      <c r="A61" s="123" t="s">
        <v>149</v>
      </c>
      <c r="B61" s="599" t="s">
        <v>150</v>
      </c>
      <c r="C61" s="600"/>
      <c r="D61" s="600"/>
      <c r="E61" s="601"/>
      <c r="F61" s="127" t="s">
        <v>22</v>
      </c>
      <c r="G61" s="128">
        <v>4.3</v>
      </c>
      <c r="H61" s="129">
        <v>7016.27</v>
      </c>
      <c r="I61" s="130">
        <f t="shared" si="5"/>
        <v>30169.960999999999</v>
      </c>
      <c r="J61" s="131">
        <f>I61/$I$68*100</f>
        <v>5.752304761058976E-2</v>
      </c>
      <c r="K61" s="171">
        <f>'[3]SWA 12-5-2023'!L61</f>
        <v>30169.960999999999</v>
      </c>
      <c r="L61" s="176"/>
      <c r="M61" s="134">
        <f t="shared" si="1"/>
        <v>30169.960999999999</v>
      </c>
      <c r="N61" s="135">
        <f t="shared" si="2"/>
        <v>5.752304761058976E-2</v>
      </c>
      <c r="O61" s="136" t="s">
        <v>153</v>
      </c>
      <c r="Q61" s="137">
        <f>N67</f>
        <v>40.751548633412298</v>
      </c>
      <c r="R61" s="155">
        <f t="shared" ref="R61" si="7">G61</f>
        <v>4.3</v>
      </c>
      <c r="AA61" s="137"/>
    </row>
    <row r="62" spans="1:27" ht="13.95" customHeight="1">
      <c r="A62" s="123" t="s">
        <v>157</v>
      </c>
      <c r="B62" s="599" t="s">
        <v>158</v>
      </c>
      <c r="C62" s="600"/>
      <c r="D62" s="600"/>
      <c r="E62" s="601"/>
      <c r="F62" s="127" t="s">
        <v>135</v>
      </c>
      <c r="G62" s="128">
        <v>9</v>
      </c>
      <c r="H62" s="129">
        <v>4272.97</v>
      </c>
      <c r="I62" s="130">
        <f t="shared" si="5"/>
        <v>38456.730000000003</v>
      </c>
      <c r="J62" s="131">
        <f>I62/$I$68*100</f>
        <v>7.332287604672727E-2</v>
      </c>
      <c r="K62" s="171">
        <f>'[3]SWA 12-5-2023'!L62</f>
        <v>38456.730000000003</v>
      </c>
      <c r="L62" s="176"/>
      <c r="M62" s="134">
        <f t="shared" si="1"/>
        <v>38456.730000000003</v>
      </c>
      <c r="N62" s="135">
        <f t="shared" si="2"/>
        <v>7.332287604672727E-2</v>
      </c>
      <c r="O62" s="136" t="s">
        <v>153</v>
      </c>
      <c r="Q62" s="137">
        <f>Q61-Q60</f>
        <v>3.8915486334122988</v>
      </c>
      <c r="R62" s="155">
        <f>G62</f>
        <v>9</v>
      </c>
      <c r="AA62" s="137"/>
    </row>
    <row r="63" spans="1:27" ht="13.95" customHeight="1">
      <c r="A63" s="123"/>
      <c r="B63" s="599" t="s">
        <v>159</v>
      </c>
      <c r="C63" s="600"/>
      <c r="D63" s="600"/>
      <c r="E63" s="601"/>
      <c r="F63" s="114"/>
      <c r="G63" s="115"/>
      <c r="H63" s="116"/>
      <c r="I63" s="130">
        <f t="shared" si="5"/>
        <v>0</v>
      </c>
      <c r="J63" s="118"/>
      <c r="K63" s="171">
        <f>'[3]SWA 12-5-2023'!L63</f>
        <v>0</v>
      </c>
      <c r="L63" s="176"/>
      <c r="M63" s="99"/>
      <c r="N63" s="121"/>
      <c r="O63" s="136"/>
      <c r="Q63" s="137"/>
      <c r="AA63" s="137"/>
    </row>
    <row r="64" spans="1:27" ht="13.95" customHeight="1">
      <c r="A64" s="123" t="s">
        <v>146</v>
      </c>
      <c r="B64" s="599" t="s">
        <v>147</v>
      </c>
      <c r="C64" s="600"/>
      <c r="D64" s="600"/>
      <c r="E64" s="601"/>
      <c r="F64" s="127" t="s">
        <v>148</v>
      </c>
      <c r="G64" s="128">
        <v>365.18</v>
      </c>
      <c r="H64" s="129">
        <v>87.94</v>
      </c>
      <c r="I64" s="130">
        <f t="shared" si="5"/>
        <v>32113.929199999999</v>
      </c>
      <c r="J64" s="131">
        <f>I64/$I$68*100</f>
        <v>6.1229481812545561E-2</v>
      </c>
      <c r="K64" s="171">
        <f>'[3]SWA 12-5-2023'!L64</f>
        <v>0</v>
      </c>
      <c r="L64" s="176"/>
      <c r="M64" s="134">
        <f t="shared" si="1"/>
        <v>0</v>
      </c>
      <c r="N64" s="142">
        <f t="shared" si="2"/>
        <v>0</v>
      </c>
      <c r="O64" s="136" t="s">
        <v>121</v>
      </c>
      <c r="Q64" s="137"/>
      <c r="AA64" s="137"/>
    </row>
    <row r="65" spans="1:27" ht="13.95" customHeight="1">
      <c r="A65" s="123" t="s">
        <v>149</v>
      </c>
      <c r="B65" s="599" t="s">
        <v>150</v>
      </c>
      <c r="C65" s="600"/>
      <c r="D65" s="600"/>
      <c r="E65" s="601"/>
      <c r="F65" s="127" t="s">
        <v>22</v>
      </c>
      <c r="G65" s="128">
        <v>6.24</v>
      </c>
      <c r="H65" s="129">
        <v>6570.9</v>
      </c>
      <c r="I65" s="130">
        <f t="shared" si="5"/>
        <v>41002.415999999997</v>
      </c>
      <c r="J65" s="131">
        <f>I65/$I$68*100</f>
        <v>7.8176565349793031E-2</v>
      </c>
      <c r="K65" s="171">
        <f>'[3]SWA 12-5-2023'!L65</f>
        <v>0</v>
      </c>
      <c r="L65" s="176"/>
      <c r="M65" s="134">
        <f t="shared" si="1"/>
        <v>0</v>
      </c>
      <c r="N65" s="142">
        <f t="shared" si="2"/>
        <v>0</v>
      </c>
      <c r="O65" s="136" t="s">
        <v>121</v>
      </c>
      <c r="Q65" s="137"/>
      <c r="AA65" s="137"/>
    </row>
    <row r="66" spans="1:27" ht="13.95" customHeight="1" thickBot="1">
      <c r="A66" s="144" t="s">
        <v>157</v>
      </c>
      <c r="B66" s="602" t="s">
        <v>158</v>
      </c>
      <c r="C66" s="603"/>
      <c r="D66" s="603"/>
      <c r="E66" s="604"/>
      <c r="F66" s="127" t="s">
        <v>135</v>
      </c>
      <c r="G66" s="148">
        <v>18</v>
      </c>
      <c r="H66" s="129">
        <v>3949.62</v>
      </c>
      <c r="I66" s="149">
        <f t="shared" si="5"/>
        <v>71093.16</v>
      </c>
      <c r="J66" s="182">
        <f>I66/$I$68*100</f>
        <v>0.13554857520257571</v>
      </c>
      <c r="K66" s="171">
        <f>'[3]SWA 12-5-2023'!L66</f>
        <v>0</v>
      </c>
      <c r="L66" s="183"/>
      <c r="M66" s="152">
        <f t="shared" si="1"/>
        <v>0</v>
      </c>
      <c r="N66" s="153">
        <f t="shared" si="2"/>
        <v>0</v>
      </c>
      <c r="O66" s="154" t="s">
        <v>121</v>
      </c>
      <c r="P66" s="155">
        <f>SUM(I31:I66)</f>
        <v>27473876.603799999</v>
      </c>
      <c r="Q66" s="137"/>
      <c r="AA66" s="137"/>
    </row>
    <row r="67" spans="1:27" s="166" customFormat="1" thickBot="1">
      <c r="A67" s="605" t="s">
        <v>160</v>
      </c>
      <c r="B67" s="606"/>
      <c r="C67" s="606"/>
      <c r="D67" s="606"/>
      <c r="E67" s="606"/>
      <c r="F67" s="184"/>
      <c r="G67" s="185"/>
      <c r="H67" s="186"/>
      <c r="I67" s="186"/>
      <c r="J67" s="186"/>
      <c r="K67" s="187">
        <f>SUM(K29:K66)</f>
        <v>19329305.580143496</v>
      </c>
      <c r="L67" s="187">
        <f>SUM(L29:L66)</f>
        <v>2044260.0431999997</v>
      </c>
      <c r="M67" s="187">
        <f>SUM(M29:M66)</f>
        <v>21373565.623343498</v>
      </c>
      <c r="N67" s="187">
        <f>SUM(N29:N66)</f>
        <v>40.751548633412298</v>
      </c>
      <c r="O67" s="188"/>
      <c r="Q67" s="164"/>
      <c r="AA67" s="164"/>
    </row>
    <row r="68" spans="1:27" s="192" customFormat="1" ht="18" customHeight="1" thickBot="1">
      <c r="A68" s="605" t="s">
        <v>161</v>
      </c>
      <c r="B68" s="606"/>
      <c r="C68" s="606"/>
      <c r="D68" s="606"/>
      <c r="E68" s="606"/>
      <c r="F68" s="189"/>
      <c r="G68" s="190"/>
      <c r="H68" s="159"/>
      <c r="I68" s="158">
        <f>SUM(I14:I66)-0.01</f>
        <v>52448474.573600009</v>
      </c>
      <c r="J68" s="160">
        <f>SUM(J14:J66)</f>
        <v>100.00000001906633</v>
      </c>
      <c r="K68" s="191">
        <f>K28+K67</f>
        <v>21395955.009391814</v>
      </c>
      <c r="L68" s="191">
        <f t="shared" ref="L68:M68" si="8">L28+L67</f>
        <v>2048782.3931999998</v>
      </c>
      <c r="M68" s="191">
        <f t="shared" si="8"/>
        <v>23444737.402591817</v>
      </c>
      <c r="N68" s="191">
        <f>N28+N67</f>
        <v>44.700513395660778</v>
      </c>
      <c r="O68" s="162"/>
      <c r="Q68" s="193"/>
      <c r="AA68" s="193"/>
    </row>
    <row r="69" spans="1:27">
      <c r="A69" s="194"/>
      <c r="B69" s="194"/>
      <c r="C69" s="194"/>
      <c r="D69" s="194"/>
      <c r="E69" s="194"/>
      <c r="F69" s="84"/>
      <c r="G69" s="84"/>
      <c r="H69" s="84"/>
      <c r="J69" s="196"/>
      <c r="K69" s="197"/>
      <c r="L69" s="89"/>
      <c r="M69" s="89"/>
      <c r="N69" s="198"/>
      <c r="O69" s="83"/>
    </row>
    <row r="70" spans="1:27">
      <c r="A70" s="88"/>
      <c r="B70" s="88"/>
      <c r="C70" s="88"/>
      <c r="D70" s="88"/>
      <c r="F70" s="199"/>
      <c r="G70" s="199" t="s">
        <v>162</v>
      </c>
      <c r="H70" s="199"/>
      <c r="I70" s="200"/>
      <c r="J70" s="199"/>
      <c r="K70" s="607">
        <f>N68/100</f>
        <v>0.44700513395660779</v>
      </c>
      <c r="L70" s="607"/>
      <c r="M70" s="201"/>
      <c r="N70" s="202"/>
      <c r="O70" s="88"/>
      <c r="P70" s="80">
        <v>52448474.57</v>
      </c>
      <c r="Q70" s="203"/>
      <c r="R70" s="203"/>
      <c r="S70" s="203"/>
      <c r="T70" s="138"/>
      <c r="AA70"/>
    </row>
    <row r="71" spans="1:27">
      <c r="A71" s="88"/>
      <c r="B71" s="88"/>
      <c r="C71" s="88"/>
      <c r="D71" s="88"/>
      <c r="F71" s="199"/>
      <c r="G71" s="204" t="s">
        <v>163</v>
      </c>
      <c r="H71" s="199"/>
      <c r="I71" s="199"/>
      <c r="J71" s="199"/>
      <c r="K71" s="593">
        <f>I68</f>
        <v>52448474.573600009</v>
      </c>
      <c r="L71" s="593"/>
      <c r="M71" s="205"/>
      <c r="N71" s="202"/>
      <c r="O71" s="88"/>
      <c r="Q71" s="203"/>
      <c r="R71" s="203"/>
      <c r="S71" s="203"/>
      <c r="T71" s="138"/>
      <c r="AA71"/>
    </row>
    <row r="72" spans="1:27">
      <c r="A72" s="88"/>
      <c r="B72" s="206"/>
      <c r="C72" s="206"/>
      <c r="D72" s="206"/>
      <c r="F72" s="199"/>
      <c r="G72" s="204" t="s">
        <v>164</v>
      </c>
      <c r="H72" s="199"/>
      <c r="I72" s="199"/>
      <c r="J72" s="199"/>
      <c r="K72" s="593">
        <f>M68</f>
        <v>23444737.402591817</v>
      </c>
      <c r="L72" s="593"/>
      <c r="M72" s="205"/>
      <c r="N72" s="202"/>
      <c r="O72" s="207"/>
      <c r="P72" s="138">
        <f>P70-I68</f>
        <v>-3.6000087857246399E-3</v>
      </c>
      <c r="Q72" s="203" t="s">
        <v>165</v>
      </c>
      <c r="R72" s="203"/>
      <c r="S72" s="203"/>
      <c r="AA72"/>
    </row>
    <row r="73" spans="1:27" ht="15" thickBot="1">
      <c r="A73" s="88"/>
      <c r="B73" s="206"/>
      <c r="C73" s="206"/>
      <c r="D73" s="206"/>
      <c r="F73" s="199" t="s">
        <v>166</v>
      </c>
      <c r="G73" s="208" t="s">
        <v>167</v>
      </c>
      <c r="H73" s="199"/>
      <c r="I73" s="199"/>
      <c r="J73" s="199"/>
      <c r="K73" s="594"/>
      <c r="L73" s="594"/>
      <c r="M73" s="205"/>
      <c r="N73" s="202"/>
      <c r="O73" s="209"/>
      <c r="Q73" s="203"/>
      <c r="R73" s="203"/>
      <c r="S73" s="203"/>
      <c r="T73" s="138"/>
      <c r="AA73"/>
    </row>
    <row r="74" spans="1:27">
      <c r="A74" s="88"/>
      <c r="B74" s="88"/>
      <c r="C74" s="88"/>
      <c r="D74" s="88"/>
      <c r="F74" s="199"/>
      <c r="G74" s="204" t="s">
        <v>168</v>
      </c>
      <c r="H74" s="199"/>
      <c r="I74" s="199"/>
      <c r="J74" s="199"/>
      <c r="K74" s="595">
        <f>K72-K73</f>
        <v>23444737.402591817</v>
      </c>
      <c r="L74" s="595"/>
      <c r="M74" s="205"/>
      <c r="N74" s="202"/>
      <c r="O74" s="88"/>
      <c r="P74" s="138"/>
      <c r="Q74" s="203"/>
      <c r="R74" s="203"/>
      <c r="S74" s="203"/>
      <c r="AA74"/>
    </row>
    <row r="75" spans="1:27">
      <c r="A75" s="88"/>
      <c r="B75" s="88"/>
      <c r="C75" s="88"/>
      <c r="D75" s="88"/>
      <c r="E75" s="88"/>
      <c r="F75" s="204"/>
      <c r="G75" s="199"/>
      <c r="H75" s="199"/>
      <c r="I75" s="199"/>
      <c r="J75" s="199"/>
      <c r="K75" s="210"/>
      <c r="L75" s="210"/>
      <c r="M75" s="205"/>
      <c r="N75" s="202"/>
      <c r="O75" s="88"/>
      <c r="Q75" s="203"/>
      <c r="R75" s="203"/>
      <c r="S75" s="203"/>
      <c r="AA75"/>
    </row>
    <row r="76" spans="1:27">
      <c r="A76" s="596" t="s">
        <v>169</v>
      </c>
      <c r="B76" s="596"/>
      <c r="C76" s="596"/>
      <c r="D76" s="596"/>
      <c r="E76" s="596"/>
      <c r="F76" s="596"/>
      <c r="G76" s="596"/>
      <c r="I76" s="199" t="s">
        <v>170</v>
      </c>
      <c r="J76" s="211"/>
      <c r="K76" s="203"/>
      <c r="L76" s="203"/>
      <c r="M76" s="597" t="s">
        <v>171</v>
      </c>
      <c r="N76" s="597"/>
      <c r="Q76" s="203"/>
      <c r="R76" s="203"/>
      <c r="S76" s="203"/>
      <c r="AA76"/>
    </row>
    <row r="77" spans="1:27">
      <c r="A77" s="88"/>
      <c r="B77" s="88"/>
      <c r="C77" s="212"/>
      <c r="D77" s="88"/>
      <c r="E77" s="212"/>
      <c r="F77" s="199"/>
      <c r="G77" s="199"/>
      <c r="I77" s="213"/>
      <c r="J77" s="199"/>
      <c r="K77" s="203"/>
      <c r="L77" s="203"/>
      <c r="M77" s="205"/>
      <c r="N77"/>
      <c r="Q77" s="203"/>
      <c r="R77" s="203"/>
      <c r="S77" s="203"/>
      <c r="AA77"/>
    </row>
    <row r="78" spans="1:27">
      <c r="A78" s="88"/>
      <c r="B78" s="88"/>
      <c r="C78" s="212"/>
      <c r="D78" s="212"/>
      <c r="E78" s="212"/>
      <c r="F78" s="199"/>
      <c r="G78" s="199"/>
      <c r="I78" s="213"/>
      <c r="J78" s="199"/>
      <c r="K78" s="203"/>
      <c r="L78" s="203"/>
      <c r="M78" s="205"/>
      <c r="N78"/>
      <c r="Q78" s="203"/>
      <c r="R78" s="203"/>
      <c r="S78" s="203"/>
      <c r="AA78"/>
    </row>
    <row r="79" spans="1:27">
      <c r="A79" s="598" t="s">
        <v>172</v>
      </c>
      <c r="B79" s="598"/>
      <c r="C79" s="598"/>
      <c r="D79" s="598"/>
      <c r="E79" s="598"/>
      <c r="F79" s="598"/>
      <c r="G79" s="598"/>
      <c r="I79" s="598" t="s">
        <v>173</v>
      </c>
      <c r="J79" s="598"/>
      <c r="K79" s="598"/>
      <c r="L79" s="203"/>
      <c r="M79" s="598" t="s">
        <v>174</v>
      </c>
      <c r="N79" s="598"/>
      <c r="O79" s="598"/>
      <c r="Q79" s="203"/>
      <c r="R79" s="203"/>
      <c r="S79" s="203"/>
      <c r="AA79"/>
    </row>
    <row r="80" spans="1:27">
      <c r="A80" s="591" t="s">
        <v>175</v>
      </c>
      <c r="B80" s="591"/>
      <c r="C80" s="591"/>
      <c r="D80" s="591"/>
      <c r="E80" s="591"/>
      <c r="F80" s="591"/>
      <c r="G80" s="591"/>
      <c r="I80" s="592" t="s">
        <v>176</v>
      </c>
      <c r="J80" s="592"/>
      <c r="K80" s="592"/>
      <c r="L80" s="203"/>
      <c r="M80" s="591" t="s">
        <v>177</v>
      </c>
      <c r="N80" s="591"/>
      <c r="O80" s="591"/>
      <c r="Q80" s="203"/>
      <c r="R80" s="203"/>
      <c r="S80" s="203"/>
      <c r="AA80"/>
    </row>
    <row r="81" spans="12:27">
      <c r="L81"/>
      <c r="M81"/>
      <c r="N81"/>
      <c r="AA81"/>
    </row>
    <row r="86" spans="12:27">
      <c r="N86" s="214" t="s">
        <v>178</v>
      </c>
    </row>
  </sheetData>
  <mergeCells count="63">
    <mergeCell ref="B30:E30"/>
    <mergeCell ref="A1:O2"/>
    <mergeCell ref="A3:O3"/>
    <mergeCell ref="Q9:Q10"/>
    <mergeCell ref="R9:R10"/>
    <mergeCell ref="B11:E12"/>
    <mergeCell ref="F11:G11"/>
    <mergeCell ref="I11:I12"/>
    <mergeCell ref="K11:M11"/>
    <mergeCell ref="O11:O12"/>
    <mergeCell ref="F12:G12"/>
    <mergeCell ref="B13:E13"/>
    <mergeCell ref="B14:E14"/>
    <mergeCell ref="B17:E17"/>
    <mergeCell ref="A28:E28"/>
    <mergeCell ref="B29:E29"/>
    <mergeCell ref="B46:E46"/>
    <mergeCell ref="B33:E33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58:E58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K71:L71"/>
    <mergeCell ref="B59:E59"/>
    <mergeCell ref="B60:E60"/>
    <mergeCell ref="B61:E61"/>
    <mergeCell ref="B62:E62"/>
    <mergeCell ref="B63:E63"/>
    <mergeCell ref="B64:E64"/>
    <mergeCell ref="B65:E65"/>
    <mergeCell ref="B66:E66"/>
    <mergeCell ref="A67:E67"/>
    <mergeCell ref="A68:E68"/>
    <mergeCell ref="K70:L70"/>
    <mergeCell ref="A80:G80"/>
    <mergeCell ref="I80:K80"/>
    <mergeCell ref="M80:O80"/>
    <mergeCell ref="K72:L72"/>
    <mergeCell ref="K73:L73"/>
    <mergeCell ref="K74:L74"/>
    <mergeCell ref="A76:G76"/>
    <mergeCell ref="M76:N76"/>
    <mergeCell ref="A79:G79"/>
    <mergeCell ref="I79:K79"/>
    <mergeCell ref="M79:O79"/>
  </mergeCells>
  <printOptions horizontalCentered="1"/>
  <pageMargins left="7.874015748031496E-2" right="0.11811023622047245" top="0.33" bottom="7.874015748031496E-2" header="0.5" footer="0.53"/>
  <pageSetup paperSize="10000" scale="85" orientation="landscape" horizontalDpi="0" verticalDpi="0" r:id="rId1"/>
  <rowBreaks count="1" manualBreakCount="1">
    <brk id="47" min="11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2:O43"/>
  <sheetViews>
    <sheetView topLeftCell="A13" zoomScale="130" zoomScaleNormal="130" workbookViewId="0">
      <selection activeCell="B25" activeCellId="3" sqref="J69:K70 B27:F27 B25:F25 B25:F25"/>
    </sheetView>
  </sheetViews>
  <sheetFormatPr defaultColWidth="9.109375" defaultRowHeight="15.6"/>
  <cols>
    <col min="1" max="1" width="4" style="221" customWidth="1"/>
    <col min="2" max="2" width="39.33203125" style="221" customWidth="1"/>
    <col min="3" max="3" width="3.33203125" style="221" customWidth="1"/>
    <col min="4" max="5" width="18.6640625" style="221" customWidth="1"/>
    <col min="6" max="6" width="9.44140625" style="221" customWidth="1"/>
    <col min="7" max="7" width="7.44140625" style="221" customWidth="1"/>
    <col min="8" max="8" width="12.6640625" style="220" customWidth="1"/>
    <col min="9" max="9" width="13.44140625" style="220" customWidth="1"/>
    <col min="10" max="10" width="9.109375" style="221" customWidth="1"/>
    <col min="11" max="11" width="13.33203125" style="221" customWidth="1"/>
    <col min="12" max="12" width="9.109375" style="221" customWidth="1"/>
    <col min="13" max="13" width="11.33203125" style="221" customWidth="1"/>
    <col min="14" max="16" width="9.109375" style="221" customWidth="1"/>
    <col min="17" max="16384" width="9.109375" style="221"/>
  </cols>
  <sheetData>
    <row r="2" spans="1:13">
      <c r="A2" s="647" t="s">
        <v>179</v>
      </c>
      <c r="B2" s="647"/>
      <c r="C2" s="647"/>
      <c r="D2" s="647"/>
      <c r="E2" s="647"/>
      <c r="F2" s="647"/>
      <c r="G2" s="219"/>
    </row>
    <row r="3" spans="1:13">
      <c r="A3" s="648" t="s">
        <v>180</v>
      </c>
      <c r="B3" s="648"/>
      <c r="C3" s="648"/>
      <c r="D3" s="648"/>
      <c r="E3" s="648"/>
      <c r="F3" s="648"/>
      <c r="G3" s="222"/>
    </row>
    <row r="4" spans="1:13">
      <c r="A4" s="647" t="s">
        <v>181</v>
      </c>
      <c r="B4" s="647"/>
      <c r="C4" s="647"/>
      <c r="D4" s="647"/>
      <c r="E4" s="647"/>
      <c r="F4" s="647"/>
      <c r="G4" s="219"/>
    </row>
    <row r="5" spans="1:13" ht="16.8">
      <c r="A5" s="649" t="s">
        <v>182</v>
      </c>
      <c r="B5" s="649"/>
      <c r="C5" s="649"/>
      <c r="D5" s="649"/>
      <c r="E5" s="649"/>
      <c r="F5" s="649"/>
      <c r="G5" s="223"/>
    </row>
    <row r="6" spans="1:13" ht="17.399999999999999">
      <c r="A6" s="224"/>
      <c r="H6" s="643" t="s">
        <v>183</v>
      </c>
      <c r="I6" s="643"/>
      <c r="J6" s="643"/>
      <c r="K6" s="644"/>
    </row>
    <row r="7" spans="1:13" ht="17.399999999999999">
      <c r="A7" s="645" t="s">
        <v>184</v>
      </c>
      <c r="B7" s="645"/>
      <c r="C7" s="645"/>
      <c r="D7" s="645"/>
      <c r="E7" s="645"/>
      <c r="F7" s="645"/>
      <c r="G7" s="225"/>
      <c r="H7" s="226"/>
      <c r="I7" s="226"/>
    </row>
    <row r="8" spans="1:13">
      <c r="A8" s="227"/>
      <c r="B8" s="227"/>
      <c r="C8" s="227"/>
      <c r="D8" s="227"/>
      <c r="E8" s="227"/>
      <c r="F8" s="227"/>
      <c r="G8" s="227"/>
      <c r="H8" s="228"/>
      <c r="I8" s="229" t="s">
        <v>185</v>
      </c>
    </row>
    <row r="9" spans="1:13">
      <c r="A9" s="228"/>
      <c r="B9" s="650">
        <v>45373</v>
      </c>
      <c r="C9" s="650"/>
      <c r="D9" s="650"/>
      <c r="E9" s="650"/>
      <c r="F9" s="650"/>
      <c r="G9" s="230" t="s">
        <v>186</v>
      </c>
      <c r="H9" s="231" t="s">
        <v>187</v>
      </c>
      <c r="I9" s="232" t="s">
        <v>188</v>
      </c>
      <c r="J9" s="233" t="s">
        <v>189</v>
      </c>
      <c r="K9" s="234"/>
      <c r="L9" s="234"/>
      <c r="M9" s="235"/>
    </row>
    <row r="10" spans="1:13">
      <c r="A10" s="228"/>
      <c r="B10" s="236"/>
      <c r="C10" s="236"/>
      <c r="D10" s="236"/>
      <c r="E10" s="236"/>
      <c r="F10" s="236"/>
      <c r="G10" s="237"/>
      <c r="H10" s="231"/>
      <c r="I10" s="238" t="s">
        <v>190</v>
      </c>
      <c r="J10" s="239" t="s">
        <v>191</v>
      </c>
      <c r="K10" s="240"/>
      <c r="L10" s="240"/>
      <c r="M10" s="241"/>
    </row>
    <row r="11" spans="1:13">
      <c r="A11" s="228"/>
      <c r="B11" s="236"/>
      <c r="C11" s="236"/>
      <c r="D11" s="236"/>
      <c r="E11" s="236"/>
      <c r="F11" s="236"/>
      <c r="G11" s="237"/>
      <c r="H11" s="231"/>
      <c r="I11" s="242" t="s">
        <v>192</v>
      </c>
      <c r="J11" s="243" t="s">
        <v>193</v>
      </c>
      <c r="K11" s="244"/>
      <c r="L11" s="244"/>
      <c r="M11" s="245"/>
    </row>
    <row r="12" spans="1:13" ht="17.25" customHeight="1">
      <c r="A12" s="651" t="s">
        <v>194</v>
      </c>
      <c r="B12" s="651"/>
      <c r="C12" s="246" t="s">
        <v>71</v>
      </c>
      <c r="D12" s="652" t="str">
        <f>'[3]SWA 9-14-2023'!E5</f>
        <v>IMPROVEMENT OF ROAD NETWORK</v>
      </c>
      <c r="E12" s="652"/>
      <c r="F12" s="652"/>
      <c r="G12" s="230" t="s">
        <v>186</v>
      </c>
      <c r="H12" s="231" t="s">
        <v>187</v>
      </c>
      <c r="I12" s="247" t="s">
        <v>195</v>
      </c>
      <c r="J12" s="248" t="s">
        <v>196</v>
      </c>
      <c r="K12" s="249"/>
      <c r="L12" s="249"/>
      <c r="M12" s="250"/>
    </row>
    <row r="13" spans="1:13" ht="17.25" customHeight="1">
      <c r="A13" s="251"/>
      <c r="B13" s="251"/>
      <c r="C13" s="246" t="s">
        <v>71</v>
      </c>
      <c r="D13" s="653" t="str">
        <f>'[3]SWA 9-14-2023'!E6</f>
        <v>A. PADUL SOLANA TO TUAO ROAD SOLANA, CAGAYAN</v>
      </c>
      <c r="E13" s="653"/>
      <c r="F13" s="653"/>
      <c r="G13" s="230"/>
      <c r="H13" s="231"/>
      <c r="I13" s="247"/>
      <c r="J13" s="248"/>
      <c r="K13" s="249"/>
      <c r="L13" s="249"/>
      <c r="M13" s="250"/>
    </row>
    <row r="14" spans="1:13" ht="17.25" customHeight="1">
      <c r="A14" s="251"/>
      <c r="B14" s="251"/>
      <c r="C14" s="246" t="s">
        <v>71</v>
      </c>
      <c r="D14" s="653" t="str">
        <f>'[3]SWA 9-14-2023'!E7</f>
        <v>B. BUGNAY TUAO TO SOLANA ROAD TUAO, CAGAYAN</v>
      </c>
      <c r="E14" s="653"/>
      <c r="F14" s="653"/>
      <c r="G14" s="230"/>
      <c r="H14" s="231"/>
      <c r="I14" s="247"/>
      <c r="J14" s="248"/>
      <c r="K14" s="249"/>
      <c r="L14" s="249"/>
      <c r="M14" s="250"/>
    </row>
    <row r="15" spans="1:13" ht="17.25" customHeight="1">
      <c r="A15" s="646" t="s">
        <v>197</v>
      </c>
      <c r="B15" s="646"/>
      <c r="C15" s="252" t="s">
        <v>71</v>
      </c>
      <c r="D15" s="253" t="str">
        <f>'[3]SWA 9-14-2023'!E9</f>
        <v>SOLANA-TUAO, CAGAYAN</v>
      </c>
      <c r="E15" s="253"/>
      <c r="F15" s="254"/>
      <c r="G15" s="230" t="s">
        <v>186</v>
      </c>
      <c r="H15" s="231" t="s">
        <v>187</v>
      </c>
      <c r="I15" s="255" t="s">
        <v>198</v>
      </c>
      <c r="J15" s="256" t="s">
        <v>199</v>
      </c>
      <c r="K15" s="257"/>
      <c r="L15" s="257"/>
      <c r="M15" s="258"/>
    </row>
    <row r="16" spans="1:13">
      <c r="A16" s="259" t="s">
        <v>200</v>
      </c>
      <c r="B16" s="259"/>
      <c r="C16" s="252" t="s">
        <v>71</v>
      </c>
      <c r="D16" s="260">
        <f>'[3]SWA 12-5-2023'!I68</f>
        <v>52448474.573600009</v>
      </c>
      <c r="E16" s="260"/>
      <c r="F16" s="260"/>
      <c r="G16" s="230" t="s">
        <v>186</v>
      </c>
      <c r="H16" s="231" t="s">
        <v>187</v>
      </c>
      <c r="I16" s="261" t="s">
        <v>201</v>
      </c>
      <c r="J16" s="262" t="s">
        <v>202</v>
      </c>
      <c r="K16" s="263"/>
      <c r="L16" s="263"/>
      <c r="M16" s="264"/>
    </row>
    <row r="17" spans="1:15" s="270" customFormat="1" ht="15.6" customHeight="1">
      <c r="A17" s="646" t="s">
        <v>203</v>
      </c>
      <c r="B17" s="646"/>
      <c r="C17" s="252" t="s">
        <v>71</v>
      </c>
      <c r="D17" s="654" t="s">
        <v>204</v>
      </c>
      <c r="E17" s="654"/>
      <c r="F17" s="654"/>
      <c r="G17" s="265" t="s">
        <v>186</v>
      </c>
      <c r="H17" s="231" t="s">
        <v>187</v>
      </c>
      <c r="I17" s="266" t="s">
        <v>205</v>
      </c>
      <c r="J17" s="267" t="s">
        <v>189</v>
      </c>
      <c r="K17" s="268"/>
      <c r="L17" s="268"/>
      <c r="M17" s="269"/>
    </row>
    <row r="18" spans="1:15">
      <c r="A18" s="259"/>
      <c r="B18" s="259"/>
      <c r="C18" s="252"/>
      <c r="D18" s="271" t="s">
        <v>206</v>
      </c>
      <c r="E18" s="271"/>
      <c r="F18" s="271"/>
      <c r="G18" s="272"/>
      <c r="H18" s="231"/>
      <c r="I18" s="273" t="s">
        <v>207</v>
      </c>
      <c r="J18" s="274" t="s">
        <v>191</v>
      </c>
      <c r="K18" s="275"/>
      <c r="L18" s="275"/>
      <c r="M18" s="276"/>
    </row>
    <row r="19" spans="1:15">
      <c r="A19" s="277" t="s">
        <v>208</v>
      </c>
      <c r="B19" s="278" t="s">
        <v>209</v>
      </c>
      <c r="C19" s="252" t="s">
        <v>71</v>
      </c>
      <c r="D19" s="279">
        <f>D22+10</f>
        <v>45046</v>
      </c>
      <c r="E19" s="254" t="s">
        <v>210</v>
      </c>
      <c r="F19" s="280"/>
      <c r="H19" s="281"/>
      <c r="J19" s="272"/>
      <c r="K19" s="282"/>
    </row>
    <row r="20" spans="1:15">
      <c r="A20" s="277"/>
      <c r="B20" s="278"/>
      <c r="C20" s="252"/>
      <c r="D20" s="283">
        <f>+B9</f>
        <v>45373</v>
      </c>
      <c r="E20" s="283"/>
      <c r="F20" s="283"/>
      <c r="G20" s="284"/>
      <c r="H20" s="285"/>
      <c r="J20" s="272"/>
      <c r="K20" s="282"/>
    </row>
    <row r="21" spans="1:15">
      <c r="A21" s="277" t="s">
        <v>211</v>
      </c>
      <c r="B21" s="278" t="s">
        <v>212</v>
      </c>
      <c r="C21" s="252" t="s">
        <v>71</v>
      </c>
      <c r="D21" s="286">
        <f>J21</f>
        <v>345</v>
      </c>
      <c r="E21" s="287"/>
      <c r="F21" s="287"/>
      <c r="G21" s="272"/>
      <c r="H21" s="288"/>
      <c r="I21" s="289" t="s">
        <v>187</v>
      </c>
      <c r="J21" s="290">
        <v>345</v>
      </c>
      <c r="K21" s="278" t="s">
        <v>212</v>
      </c>
    </row>
    <row r="22" spans="1:15">
      <c r="A22" s="277" t="s">
        <v>213</v>
      </c>
      <c r="B22" s="278" t="s">
        <v>214</v>
      </c>
      <c r="C22" s="252" t="s">
        <v>71</v>
      </c>
      <c r="D22" s="279">
        <v>45036</v>
      </c>
      <c r="E22" s="279"/>
      <c r="F22" s="279"/>
      <c r="G22" s="230" t="s">
        <v>186</v>
      </c>
      <c r="H22" s="231" t="s">
        <v>187</v>
      </c>
      <c r="I22" s="291"/>
      <c r="J22" s="272"/>
      <c r="K22" s="272"/>
    </row>
    <row r="23" spans="1:15">
      <c r="A23" s="277" t="s">
        <v>215</v>
      </c>
      <c r="B23" s="278" t="s">
        <v>216</v>
      </c>
      <c r="C23" s="252" t="s">
        <v>71</v>
      </c>
      <c r="D23" s="283">
        <f>+D19+D21-1</f>
        <v>45390</v>
      </c>
      <c r="E23" s="283"/>
      <c r="F23" s="283"/>
      <c r="G23" s="272"/>
      <c r="H23" s="292"/>
      <c r="I23" s="291"/>
      <c r="J23" s="272"/>
      <c r="K23" s="272"/>
    </row>
    <row r="24" spans="1:15">
      <c r="A24" s="277" t="s">
        <v>217</v>
      </c>
      <c r="B24" s="278" t="s">
        <v>218</v>
      </c>
      <c r="C24" s="252" t="s">
        <v>71</v>
      </c>
      <c r="D24" s="293">
        <f>D25+J24</f>
        <v>0</v>
      </c>
      <c r="E24" s="271"/>
      <c r="F24" s="271"/>
      <c r="G24" s="272"/>
      <c r="H24" s="228"/>
      <c r="I24" s="289" t="s">
        <v>187</v>
      </c>
      <c r="J24" s="290">
        <v>0</v>
      </c>
      <c r="K24" s="278" t="s">
        <v>218</v>
      </c>
    </row>
    <row r="25" spans="1:15">
      <c r="A25" s="277" t="s">
        <v>219</v>
      </c>
      <c r="B25" s="278" t="s">
        <v>220</v>
      </c>
      <c r="C25" s="252" t="s">
        <v>71</v>
      </c>
      <c r="D25" s="293">
        <f>J25</f>
        <v>0</v>
      </c>
      <c r="E25" s="271"/>
      <c r="F25" s="271"/>
      <c r="G25" s="272"/>
      <c r="H25" s="228"/>
      <c r="I25" s="289" t="s">
        <v>187</v>
      </c>
      <c r="J25" s="294"/>
      <c r="K25" s="278" t="s">
        <v>220</v>
      </c>
    </row>
    <row r="26" spans="1:15">
      <c r="A26" s="277" t="s">
        <v>221</v>
      </c>
      <c r="B26" s="278" t="s">
        <v>222</v>
      </c>
      <c r="C26" s="252"/>
      <c r="D26" s="293">
        <f>IF(J26&gt;0,J26,0)</f>
        <v>0</v>
      </c>
      <c r="E26" s="271"/>
      <c r="F26" s="271"/>
      <c r="G26" s="272"/>
      <c r="H26" s="292"/>
      <c r="I26" s="291" t="s">
        <v>223</v>
      </c>
      <c r="J26" s="295">
        <f>D24</f>
        <v>0</v>
      </c>
      <c r="K26" s="278" t="s">
        <v>222</v>
      </c>
    </row>
    <row r="27" spans="1:15">
      <c r="A27" s="277" t="s">
        <v>224</v>
      </c>
      <c r="B27" s="278" t="s">
        <v>225</v>
      </c>
      <c r="C27" s="252" t="s">
        <v>71</v>
      </c>
      <c r="D27" s="293">
        <f>IF(J26&gt;0,J27,0)</f>
        <v>0</v>
      </c>
      <c r="E27" s="271"/>
      <c r="F27" s="296"/>
      <c r="H27" s="292"/>
      <c r="I27" s="291" t="s">
        <v>223</v>
      </c>
      <c r="J27" s="295">
        <f>IF(D24&gt;0,D24+J21,0)</f>
        <v>0</v>
      </c>
      <c r="K27" s="278" t="s">
        <v>225</v>
      </c>
      <c r="N27" s="221" t="s">
        <v>178</v>
      </c>
    </row>
    <row r="28" spans="1:15">
      <c r="A28" s="277" t="s">
        <v>226</v>
      </c>
      <c r="B28" s="278" t="s">
        <v>227</v>
      </c>
      <c r="C28" s="252" t="s">
        <v>71</v>
      </c>
      <c r="D28" s="283" t="str">
        <f>IF(J26&gt;0,D23+D26,"")</f>
        <v/>
      </c>
      <c r="E28" s="283"/>
      <c r="F28" s="283"/>
      <c r="G28" s="272"/>
      <c r="H28" s="292"/>
      <c r="I28" s="288"/>
      <c r="J28" s="272"/>
      <c r="K28" s="272"/>
    </row>
    <row r="29" spans="1:15">
      <c r="A29" s="277" t="s">
        <v>228</v>
      </c>
      <c r="B29" s="278" t="s">
        <v>229</v>
      </c>
      <c r="C29" s="252" t="s">
        <v>71</v>
      </c>
      <c r="D29" s="293">
        <f>+D20-D19+1</f>
        <v>328</v>
      </c>
      <c r="E29" s="297"/>
      <c r="F29" s="297"/>
      <c r="G29" s="272"/>
      <c r="H29" s="292"/>
      <c r="I29" s="288"/>
      <c r="J29" s="298"/>
    </row>
    <row r="30" spans="1:15">
      <c r="A30" s="277" t="s">
        <v>230</v>
      </c>
      <c r="B30" s="278" t="s">
        <v>231</v>
      </c>
      <c r="C30" s="252" t="s">
        <v>71</v>
      </c>
      <c r="D30" s="299">
        <v>0.85319999999999996</v>
      </c>
      <c r="E30" s="299"/>
      <c r="F30" s="299"/>
      <c r="G30" s="272"/>
      <c r="H30" s="228"/>
      <c r="I30" s="231"/>
      <c r="J30" s="272"/>
    </row>
    <row r="31" spans="1:15" ht="15.6" customHeight="1">
      <c r="A31" s="277" t="s">
        <v>232</v>
      </c>
      <c r="B31" s="278" t="s">
        <v>233</v>
      </c>
      <c r="C31" s="252" t="s">
        <v>71</v>
      </c>
      <c r="D31" s="300">
        <f>IF(L37="F",IF(J27&gt;0,J32,J31),IF(L37="L",IF(J27&gt;0,J35,J34)))</f>
        <v>0.95072463768115945</v>
      </c>
      <c r="E31" s="300"/>
      <c r="F31" s="300"/>
      <c r="G31" s="272"/>
      <c r="H31" s="292"/>
      <c r="I31" s="291" t="s">
        <v>223</v>
      </c>
      <c r="J31" s="301">
        <f>(((SIN((((180*((D29))/D21)-90)*(3.14159265358979/180)))+1)*50)/100)</f>
        <v>0.99402095327776641</v>
      </c>
      <c r="K31" s="302" t="s">
        <v>234</v>
      </c>
      <c r="L31" s="253"/>
      <c r="M31" s="253"/>
      <c r="N31" s="280"/>
      <c r="O31" s="303"/>
    </row>
    <row r="32" spans="1:15">
      <c r="A32" s="277" t="s">
        <v>235</v>
      </c>
      <c r="B32" s="278" t="s">
        <v>236</v>
      </c>
      <c r="C32" s="252" t="s">
        <v>71</v>
      </c>
      <c r="D32" s="304">
        <f>D30-D31</f>
        <v>-9.7524637681159487E-2</v>
      </c>
      <c r="E32" s="304"/>
      <c r="F32" s="304"/>
      <c r="G32" s="272"/>
      <c r="H32" s="292"/>
      <c r="I32" s="291" t="s">
        <v>223</v>
      </c>
      <c r="J32" s="301" t="str">
        <f>IF(J27&gt;0,(((SIN((((180*((D29))/D27)-90)*(3.14159265358979/180)))+1)*50)/100),"")</f>
        <v/>
      </c>
      <c r="K32" s="302" t="s">
        <v>237</v>
      </c>
      <c r="L32" s="253"/>
      <c r="M32" s="253"/>
      <c r="N32" s="280"/>
      <c r="O32" s="303"/>
    </row>
    <row r="33" spans="1:15">
      <c r="A33" s="277" t="s">
        <v>238</v>
      </c>
      <c r="B33" s="278" t="s">
        <v>239</v>
      </c>
      <c r="C33" s="252" t="s">
        <v>71</v>
      </c>
      <c r="D33" s="305" t="str">
        <f>IF(D30&lt;100%,"ON-GOING","COMPLETED")</f>
        <v>ON-GOING</v>
      </c>
      <c r="E33" s="305"/>
      <c r="F33" s="305"/>
      <c r="G33" s="272"/>
      <c r="H33" s="228"/>
      <c r="I33" s="231"/>
    </row>
    <row r="34" spans="1:15">
      <c r="A34" s="277"/>
      <c r="B34" s="220"/>
      <c r="C34" s="220"/>
      <c r="D34" s="306"/>
      <c r="E34" s="306"/>
      <c r="F34" s="306"/>
      <c r="I34" s="291" t="s">
        <v>223</v>
      </c>
      <c r="J34" s="301">
        <f>D29/D21</f>
        <v>0.95072463768115945</v>
      </c>
      <c r="K34" s="302" t="s">
        <v>240</v>
      </c>
      <c r="L34" s="280"/>
      <c r="M34" s="280"/>
      <c r="N34" s="280"/>
      <c r="O34" s="303"/>
    </row>
    <row r="35" spans="1:15">
      <c r="A35" s="220"/>
      <c r="B35" s="220"/>
      <c r="C35" s="220"/>
      <c r="D35" s="220"/>
      <c r="E35" s="220"/>
      <c r="F35" s="220"/>
      <c r="H35" s="307"/>
      <c r="I35" s="291" t="s">
        <v>223</v>
      </c>
      <c r="J35" s="301" t="str">
        <f>IF(J27&gt;0,D29/J27,"")</f>
        <v/>
      </c>
      <c r="K35" s="302" t="s">
        <v>241</v>
      </c>
      <c r="L35" s="280"/>
      <c r="M35" s="280"/>
      <c r="N35" s="280"/>
      <c r="O35" s="303"/>
    </row>
    <row r="36" spans="1:15">
      <c r="E36" s="220"/>
      <c r="F36" s="220"/>
      <c r="H36" s="308"/>
    </row>
    <row r="37" spans="1:15">
      <c r="A37" s="220"/>
      <c r="B37" s="278" t="s">
        <v>242</v>
      </c>
      <c r="C37" s="220"/>
      <c r="D37" s="259" t="s">
        <v>243</v>
      </c>
      <c r="E37" s="220"/>
      <c r="F37" s="220"/>
      <c r="H37" s="309"/>
      <c r="I37" s="310" t="s">
        <v>244</v>
      </c>
      <c r="J37" s="311"/>
      <c r="K37" s="312"/>
      <c r="L37" s="655" t="s">
        <v>245</v>
      </c>
    </row>
    <row r="38" spans="1:15">
      <c r="A38" s="220"/>
      <c r="B38" s="220"/>
      <c r="C38" s="220"/>
      <c r="D38" s="220"/>
      <c r="E38" s="220"/>
      <c r="F38" s="220"/>
      <c r="I38" s="313" t="s">
        <v>246</v>
      </c>
      <c r="J38" s="314"/>
      <c r="K38" s="315"/>
      <c r="L38" s="656"/>
    </row>
    <row r="39" spans="1:15">
      <c r="A39" s="220"/>
      <c r="B39" s="220"/>
      <c r="C39" s="220"/>
      <c r="D39" s="220"/>
      <c r="E39" s="228"/>
      <c r="F39" s="228"/>
      <c r="G39" s="227"/>
      <c r="H39" s="226"/>
      <c r="I39" s="226"/>
    </row>
    <row r="40" spans="1:15">
      <c r="A40" s="220"/>
      <c r="B40" s="228" t="s">
        <v>57</v>
      </c>
      <c r="C40" s="220"/>
      <c r="D40" s="657" t="s">
        <v>247</v>
      </c>
      <c r="E40" s="657"/>
      <c r="F40" s="292"/>
    </row>
    <row r="41" spans="1:15">
      <c r="B41" s="292" t="s">
        <v>248</v>
      </c>
      <c r="C41" s="220"/>
      <c r="D41" s="658" t="s">
        <v>249</v>
      </c>
      <c r="E41" s="658"/>
    </row>
    <row r="42" spans="1:15">
      <c r="I42" s="220">
        <f>97.95-15.65</f>
        <v>82.3</v>
      </c>
    </row>
    <row r="43" spans="1:15">
      <c r="B43" s="227"/>
    </row>
  </sheetData>
  <mergeCells count="17">
    <mergeCell ref="A17:B17"/>
    <mergeCell ref="D17:F17"/>
    <mergeCell ref="L37:L38"/>
    <mergeCell ref="D40:E40"/>
    <mergeCell ref="D41:E41"/>
    <mergeCell ref="H6:K6"/>
    <mergeCell ref="A7:F7"/>
    <mergeCell ref="A15:B15"/>
    <mergeCell ref="A2:F2"/>
    <mergeCell ref="A3:F3"/>
    <mergeCell ref="A4:F4"/>
    <mergeCell ref="A5:F5"/>
    <mergeCell ref="B9:F9"/>
    <mergeCell ref="A12:B12"/>
    <mergeCell ref="D12:F12"/>
    <mergeCell ref="D13:F13"/>
    <mergeCell ref="D14:F14"/>
  </mergeCells>
  <printOptions horizontalCentered="1"/>
  <pageMargins left="0.32" right="0.34" top="0.55118110236220474" bottom="0.74803149606299213" header="0.31496062992125984" footer="0.31496062992125984"/>
  <pageSetup paperSize="10000" scale="105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O618"/>
  <sheetViews>
    <sheetView view="pageBreakPreview" zoomScale="70" zoomScaleNormal="100" zoomScaleSheetLayoutView="70" workbookViewId="0">
      <selection activeCell="B25" activeCellId="3" sqref="J69:K70 B27:F27 B25:F25 B25:F2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 t="s">
        <v>1</v>
      </c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3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4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6</v>
      </c>
      <c r="L5" s="557"/>
    </row>
    <row r="6" spans="1:15" s="16" customFormat="1" ht="16.5" customHeight="1">
      <c r="A6" s="22" t="s">
        <v>10</v>
      </c>
      <c r="B6" s="78" t="s">
        <v>7</v>
      </c>
      <c r="C6" s="78"/>
      <c r="D6" s="78"/>
      <c r="E6" s="78"/>
      <c r="F6" s="78"/>
      <c r="G6" s="78"/>
      <c r="H6" s="78"/>
      <c r="I6" s="21" t="s">
        <v>8</v>
      </c>
      <c r="J6" s="21"/>
      <c r="K6" s="669" t="s">
        <v>67</v>
      </c>
      <c r="L6" s="669"/>
    </row>
    <row r="7" spans="1:15" s="16" customFormat="1" ht="16.5" customHeight="1">
      <c r="A7" s="22"/>
      <c r="B7" s="556" t="s">
        <v>11</v>
      </c>
      <c r="C7" s="556"/>
      <c r="D7" s="556"/>
      <c r="E7" s="556"/>
      <c r="F7" s="556"/>
      <c r="G7" s="556"/>
      <c r="H7" s="556"/>
      <c r="J7" s="59"/>
      <c r="K7" s="62"/>
      <c r="L7" s="62"/>
    </row>
    <row r="8" spans="1:15" ht="16.5" customHeigh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555"/>
      <c r="L8" s="555"/>
    </row>
    <row r="9" spans="1:15" s="2" customFormat="1" ht="16.5" customHeight="1">
      <c r="A9" s="552" t="s">
        <v>13</v>
      </c>
      <c r="B9" s="552" t="s">
        <v>14</v>
      </c>
      <c r="C9" s="552"/>
      <c r="D9" s="552"/>
      <c r="E9" s="552"/>
      <c r="F9" s="552"/>
      <c r="G9" s="552" t="s">
        <v>15</v>
      </c>
      <c r="H9" s="552"/>
      <c r="I9" s="552"/>
      <c r="J9" s="553" t="s">
        <v>16</v>
      </c>
      <c r="K9" s="553"/>
      <c r="L9" s="552" t="s">
        <v>17</v>
      </c>
    </row>
    <row r="10" spans="1:15" s="2" customFormat="1" ht="16.5" customHeight="1">
      <c r="A10" s="552"/>
      <c r="B10" s="552"/>
      <c r="C10" s="552"/>
      <c r="D10" s="552"/>
      <c r="E10" s="552"/>
      <c r="F10" s="552"/>
      <c r="G10" s="552"/>
      <c r="H10" s="552"/>
      <c r="I10" s="552"/>
      <c r="J10" s="60" t="s">
        <v>18</v>
      </c>
      <c r="K10" s="20" t="s">
        <v>19</v>
      </c>
      <c r="L10" s="552"/>
    </row>
    <row r="11" spans="1:15" s="18" customFormat="1" ht="16.5" customHeight="1">
      <c r="A11" s="79"/>
      <c r="B11" s="558"/>
      <c r="C11" s="558"/>
      <c r="D11" s="558"/>
      <c r="E11" s="558"/>
      <c r="F11" s="558"/>
      <c r="G11" s="559"/>
      <c r="H11" s="559"/>
      <c r="I11" s="559"/>
      <c r="J11" s="216"/>
      <c r="K11" s="53"/>
      <c r="L11" s="55"/>
    </row>
    <row r="12" spans="1:15" s="18" customFormat="1" ht="16.5" customHeight="1">
      <c r="A12" s="215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/>
      <c r="B13" s="558"/>
      <c r="C13" s="558"/>
      <c r="D13" s="558"/>
      <c r="E13" s="558"/>
      <c r="F13" s="558"/>
      <c r="G13" s="559"/>
      <c r="H13" s="559"/>
      <c r="I13" s="559"/>
      <c r="J13" s="216"/>
      <c r="K13" s="53"/>
      <c r="L13" s="55"/>
      <c r="N13" s="18">
        <f>8*9</f>
        <v>72</v>
      </c>
    </row>
    <row r="14" spans="1:15" s="18" customFormat="1" ht="16.5" customHeight="1">
      <c r="A14" s="215"/>
      <c r="B14" s="558"/>
      <c r="C14" s="558"/>
      <c r="D14" s="558"/>
      <c r="E14" s="558"/>
      <c r="F14" s="558"/>
      <c r="G14" s="559"/>
      <c r="H14" s="559"/>
      <c r="I14" s="559"/>
      <c r="J14" s="216"/>
      <c r="K14" s="53"/>
      <c r="L14" s="55"/>
      <c r="N14" s="18">
        <f>75*1.5</f>
        <v>112.5</v>
      </c>
      <c r="O14" s="18">
        <f>102/1.5</f>
        <v>68</v>
      </c>
    </row>
    <row r="15" spans="1:15" s="18" customFormat="1" ht="16.5" customHeight="1">
      <c r="A15" s="215"/>
      <c r="B15" s="558"/>
      <c r="C15" s="558"/>
      <c r="D15" s="558"/>
      <c r="E15" s="558"/>
      <c r="F15" s="558"/>
      <c r="G15" s="559"/>
      <c r="H15" s="559"/>
      <c r="I15" s="559"/>
      <c r="J15" s="53"/>
      <c r="K15" s="53"/>
      <c r="L15" s="55"/>
      <c r="N15" s="18">
        <v>3</v>
      </c>
    </row>
    <row r="16" spans="1:15" s="18" customFormat="1" ht="16.5" customHeight="1">
      <c r="A16" s="54"/>
      <c r="B16" s="558"/>
      <c r="C16" s="558"/>
      <c r="D16" s="558"/>
      <c r="E16" s="558"/>
      <c r="F16" s="558"/>
      <c r="G16" s="559"/>
      <c r="H16" s="559"/>
      <c r="I16" s="559"/>
      <c r="J16" s="53"/>
      <c r="K16" s="53"/>
      <c r="L16" s="55"/>
      <c r="N16" s="18">
        <f>N14*3</f>
        <v>337.5</v>
      </c>
    </row>
    <row r="17" spans="1:12" s="18" customFormat="1" ht="16.5" customHeight="1">
      <c r="A17" s="54"/>
      <c r="B17" s="562"/>
      <c r="C17" s="562"/>
      <c r="D17" s="562"/>
      <c r="E17" s="562"/>
      <c r="F17" s="562"/>
      <c r="G17" s="559"/>
      <c r="H17" s="559"/>
      <c r="I17" s="559"/>
      <c r="J17" s="53"/>
      <c r="K17" s="53"/>
      <c r="L17" s="55"/>
    </row>
    <row r="18" spans="1:12" s="18" customFormat="1" ht="16.5" customHeight="1">
      <c r="A18" s="54"/>
      <c r="B18" s="562"/>
      <c r="C18" s="562"/>
      <c r="D18" s="562"/>
      <c r="E18" s="562"/>
      <c r="F18" s="562"/>
      <c r="G18" s="559"/>
      <c r="H18" s="559"/>
      <c r="I18" s="559"/>
      <c r="J18" s="53"/>
      <c r="K18" s="53"/>
      <c r="L18" s="55"/>
    </row>
    <row r="19" spans="1:12" s="18" customFormat="1" ht="16.5" customHeight="1">
      <c r="A19" s="61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2" s="18" customFormat="1" ht="16.5" customHeight="1">
      <c r="A20" s="61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2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2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2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2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2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2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2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2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2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2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2" s="18" customFormat="1" ht="16.5" customHeight="1">
      <c r="A31" s="66"/>
      <c r="B31" s="566"/>
      <c r="C31" s="566"/>
      <c r="D31" s="566"/>
      <c r="E31" s="566"/>
      <c r="F31" s="566"/>
      <c r="G31" s="66"/>
      <c r="H31" s="41"/>
      <c r="I31" s="41"/>
      <c r="J31" s="42"/>
      <c r="K31" s="43"/>
      <c r="L31" s="3"/>
    </row>
    <row r="32" spans="1:12" s="18" customFormat="1" ht="16.5" customHeight="1">
      <c r="A32" s="26" t="s">
        <v>23</v>
      </c>
      <c r="B32" s="67"/>
      <c r="C32" s="67"/>
      <c r="D32" s="67"/>
      <c r="E32" s="67"/>
      <c r="F32" s="17"/>
      <c r="G32" s="17"/>
      <c r="H32" s="17"/>
      <c r="I32" s="17"/>
      <c r="J32" s="17"/>
      <c r="K32" s="3"/>
      <c r="L32" s="3"/>
    </row>
    <row r="33" spans="1:12" s="25" customFormat="1" ht="16.5" customHeight="1">
      <c r="A33" s="19" t="s">
        <v>13</v>
      </c>
      <c r="B33" s="567" t="s">
        <v>14</v>
      </c>
      <c r="C33" s="567"/>
      <c r="D33" s="567"/>
      <c r="E33" s="567"/>
      <c r="F33" s="567"/>
      <c r="G33" s="568" t="s">
        <v>24</v>
      </c>
      <c r="H33" s="568"/>
      <c r="I33" s="63" t="s">
        <v>17</v>
      </c>
      <c r="J33" s="60" t="s">
        <v>25</v>
      </c>
      <c r="K33" s="60" t="s">
        <v>26</v>
      </c>
      <c r="L33" s="60" t="s">
        <v>27</v>
      </c>
    </row>
    <row r="34" spans="1:12" s="18" customFormat="1" ht="16.5" customHeight="1">
      <c r="A34" s="317"/>
      <c r="B34" s="563"/>
      <c r="C34" s="563"/>
      <c r="D34" s="563"/>
      <c r="E34" s="563"/>
      <c r="F34" s="563"/>
      <c r="G34" s="564"/>
      <c r="H34" s="564"/>
      <c r="I34" s="64"/>
      <c r="J34" s="64"/>
      <c r="K34" s="55"/>
      <c r="L34" s="55"/>
    </row>
    <row r="35" spans="1:12" s="52" customFormat="1" ht="16.5" customHeight="1">
      <c r="A35" s="79"/>
      <c r="B35" s="563"/>
      <c r="C35" s="563"/>
      <c r="D35" s="563"/>
      <c r="E35" s="563"/>
      <c r="F35" s="563"/>
      <c r="G35" s="564"/>
      <c r="H35" s="564"/>
      <c r="I35" s="64"/>
      <c r="J35" s="64"/>
      <c r="K35" s="55"/>
      <c r="L35" s="55"/>
    </row>
    <row r="36" spans="1:12" s="52" customFormat="1" ht="16.5" customHeight="1">
      <c r="A36" s="79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79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32"/>
      <c r="B38" s="565"/>
      <c r="C38" s="565"/>
      <c r="D38" s="565"/>
      <c r="E38" s="565"/>
      <c r="F38" s="565"/>
      <c r="G38" s="565"/>
      <c r="H38" s="565"/>
      <c r="I38" s="565"/>
      <c r="J38" s="17"/>
      <c r="K38" s="3"/>
      <c r="L38" s="3"/>
    </row>
    <row r="39" spans="1:12" s="51" customFormat="1" ht="16.5" customHeight="1">
      <c r="A39" s="34" t="s">
        <v>28</v>
      </c>
      <c r="B39" s="34"/>
      <c r="C39" s="34"/>
      <c r="D39" s="34"/>
      <c r="E39" s="34"/>
      <c r="F39" s="17"/>
      <c r="G39" s="38"/>
      <c r="H39" s="36" t="s">
        <v>29</v>
      </c>
      <c r="I39" s="34"/>
      <c r="J39" s="34"/>
      <c r="K39" s="34"/>
      <c r="L39" s="34"/>
    </row>
    <row r="40" spans="1:12" s="51" customFormat="1" ht="16.5" customHeight="1">
      <c r="A40" s="569"/>
      <c r="B40" s="569"/>
      <c r="C40" s="569"/>
      <c r="D40" s="569"/>
      <c r="E40" s="569"/>
      <c r="F40" s="569"/>
      <c r="G40" s="56"/>
      <c r="H40" s="569"/>
      <c r="I40" s="569"/>
      <c r="J40" s="569"/>
      <c r="K40" s="569"/>
      <c r="L40" s="569"/>
    </row>
    <row r="41" spans="1:12" s="51" customFormat="1" ht="16.5" customHeight="1">
      <c r="A41" s="571"/>
      <c r="B41" s="571"/>
      <c r="C41" s="571"/>
      <c r="D41" s="571"/>
      <c r="E41" s="571"/>
      <c r="F41" s="571"/>
      <c r="G41" s="56"/>
      <c r="H41" s="569"/>
      <c r="I41" s="569"/>
      <c r="J41" s="569"/>
      <c r="K41" s="569"/>
      <c r="L41" s="569"/>
    </row>
    <row r="42" spans="1:12" s="51" customFormat="1" ht="16.5" customHeight="1">
      <c r="A42" s="571"/>
      <c r="B42" s="571"/>
      <c r="C42" s="571"/>
      <c r="D42" s="571"/>
      <c r="E42" s="571"/>
      <c r="F42" s="571"/>
      <c r="G42" s="57"/>
      <c r="H42" s="569"/>
      <c r="I42" s="569"/>
      <c r="J42" s="569"/>
      <c r="K42" s="569"/>
      <c r="L42" s="569"/>
    </row>
    <row r="43" spans="1:12" s="51" customFormat="1" ht="16.5" customHeight="1">
      <c r="A43" s="569"/>
      <c r="B43" s="569"/>
      <c r="C43" s="569"/>
      <c r="D43" s="569"/>
      <c r="E43" s="569"/>
      <c r="F43" s="569"/>
      <c r="G43" s="57"/>
      <c r="H43" s="569"/>
      <c r="I43" s="569"/>
      <c r="J43" s="569"/>
      <c r="K43" s="569"/>
      <c r="L43" s="569"/>
    </row>
    <row r="44" spans="1:12" s="51" customFormat="1" ht="16.5" customHeight="1">
      <c r="A44" s="570"/>
      <c r="B44" s="570"/>
      <c r="C44" s="570"/>
      <c r="D44" s="570"/>
      <c r="E44" s="570"/>
      <c r="F44" s="570"/>
      <c r="G44" s="39"/>
      <c r="H44" s="569"/>
      <c r="I44" s="569"/>
      <c r="J44" s="569"/>
      <c r="K44" s="569"/>
      <c r="L44" s="569"/>
    </row>
    <row r="45" spans="1:12" s="3" customFormat="1" ht="16.5" customHeight="1">
      <c r="A45" s="571"/>
      <c r="B45" s="571"/>
      <c r="C45" s="571"/>
      <c r="D45" s="571"/>
      <c r="E45" s="571"/>
      <c r="F45" s="571"/>
      <c r="G45" s="56"/>
      <c r="H45" s="569"/>
      <c r="I45" s="569"/>
      <c r="J45" s="569"/>
      <c r="K45" s="569"/>
      <c r="L45" s="569"/>
    </row>
    <row r="46" spans="1:12" s="3" customFormat="1" ht="16.5" customHeight="1">
      <c r="A46" s="571"/>
      <c r="B46" s="571"/>
      <c r="C46" s="571"/>
      <c r="D46" s="571"/>
      <c r="E46" s="571"/>
      <c r="F46" s="571"/>
      <c r="G46" s="57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6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7"/>
      <c r="H49" s="569"/>
      <c r="I49" s="569"/>
      <c r="J49" s="569"/>
      <c r="K49" s="569"/>
      <c r="L49" s="569"/>
    </row>
    <row r="50" spans="1:12" s="3" customFormat="1" ht="16.5" customHeight="1">
      <c r="A50" s="572"/>
      <c r="B50" s="572"/>
      <c r="C50" s="572"/>
      <c r="D50" s="572"/>
      <c r="E50" s="572"/>
      <c r="F50" s="572"/>
      <c r="G50" s="57"/>
      <c r="H50" s="572"/>
      <c r="I50" s="572"/>
      <c r="J50" s="572"/>
      <c r="K50" s="572"/>
      <c r="L50" s="572"/>
    </row>
    <row r="51" spans="1:12" s="3" customFormat="1" ht="16.5" customHeight="1">
      <c r="A51" s="70" t="s">
        <v>34</v>
      </c>
      <c r="B51" s="5"/>
      <c r="C51" s="4"/>
      <c r="H51" s="573" t="s">
        <v>35</v>
      </c>
      <c r="I51" s="573"/>
      <c r="J51" s="573"/>
      <c r="K51" s="573" t="s">
        <v>36</v>
      </c>
      <c r="L51" s="573"/>
    </row>
    <row r="52" spans="1:12" s="3" customFormat="1" ht="16.5" customHeight="1">
      <c r="A52" s="576"/>
      <c r="B52" s="576"/>
      <c r="C52" s="576"/>
      <c r="D52" s="576"/>
      <c r="E52" s="576"/>
      <c r="F52" s="576"/>
      <c r="G52" s="71"/>
      <c r="H52" s="577" t="s">
        <v>14</v>
      </c>
      <c r="I52" s="577"/>
      <c r="J52" s="74" t="s">
        <v>24</v>
      </c>
      <c r="K52" s="74" t="s">
        <v>14</v>
      </c>
      <c r="L52" s="74" t="s">
        <v>24</v>
      </c>
    </row>
    <row r="53" spans="1:12" s="3" customFormat="1" ht="16.5" customHeight="1">
      <c r="A53" s="574"/>
      <c r="B53" s="574"/>
      <c r="C53" s="574"/>
      <c r="D53" s="574"/>
      <c r="E53" s="574"/>
      <c r="F53" s="574"/>
      <c r="G53" s="72"/>
      <c r="H53" s="575"/>
      <c r="I53" s="575"/>
      <c r="J53" s="55"/>
      <c r="K53" s="76"/>
      <c r="L53" s="55"/>
    </row>
    <row r="54" spans="1:12" s="3" customFormat="1" ht="16.5" customHeight="1">
      <c r="A54" s="574"/>
      <c r="B54" s="574"/>
      <c r="C54" s="574"/>
      <c r="D54" s="574"/>
      <c r="E54" s="574"/>
      <c r="F54" s="574"/>
      <c r="G54" s="72"/>
      <c r="H54" s="575"/>
      <c r="I54" s="575"/>
      <c r="J54" s="55"/>
      <c r="K54" s="76"/>
      <c r="L54" s="55"/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/>
      <c r="I55" s="575"/>
      <c r="J55" s="55"/>
      <c r="K55" s="76"/>
      <c r="L55" s="55"/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/>
      <c r="I56" s="575"/>
      <c r="J56" s="55"/>
      <c r="K56" s="76"/>
      <c r="L56" s="55"/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/>
      <c r="I57" s="575"/>
      <c r="J57" s="55"/>
      <c r="K57" s="77"/>
      <c r="L57" s="55"/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/>
      <c r="I58" s="575"/>
      <c r="J58" s="73"/>
      <c r="L58" s="73"/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73"/>
      <c r="K59" s="77"/>
      <c r="L59" s="73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K60" s="77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45"/>
      <c r="B63" s="46"/>
      <c r="C63" s="46"/>
      <c r="D63" s="46"/>
      <c r="E63" s="44"/>
      <c r="F63" s="46"/>
      <c r="G63" s="46"/>
      <c r="H63" s="46"/>
      <c r="I63" s="46"/>
      <c r="J63" s="46"/>
      <c r="K63" s="47"/>
      <c r="L63" s="46"/>
    </row>
    <row r="64" spans="1:12" s="3" customFormat="1" ht="16.5" customHeight="1">
      <c r="A64" s="45" t="s">
        <v>45</v>
      </c>
      <c r="B64" s="46"/>
      <c r="C64" s="46"/>
      <c r="D64" s="46"/>
      <c r="E64" s="44"/>
      <c r="F64" s="46"/>
      <c r="G64" s="46"/>
      <c r="H64" s="46"/>
      <c r="I64" s="46"/>
      <c r="J64" s="46"/>
      <c r="K64" s="47"/>
      <c r="L64" s="46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8"/>
      <c r="J65" s="48"/>
      <c r="K65" s="47"/>
      <c r="L65" s="46"/>
    </row>
    <row r="66" spans="1:14" s="3" customFormat="1" ht="31.5" customHeight="1">
      <c r="A66" s="46" t="s">
        <v>46</v>
      </c>
      <c r="B66" s="578" t="s">
        <v>47</v>
      </c>
      <c r="C66" s="579"/>
      <c r="D66" s="578" t="s">
        <v>48</v>
      </c>
      <c r="E66" s="579"/>
      <c r="F66" s="578" t="s">
        <v>49</v>
      </c>
      <c r="G66" s="579"/>
      <c r="H66" s="578" t="s">
        <v>50</v>
      </c>
      <c r="I66" s="579"/>
      <c r="J66" s="578" t="s">
        <v>51</v>
      </c>
      <c r="K66" s="579"/>
      <c r="L66" s="49"/>
    </row>
    <row r="67" spans="1:14" s="3" customFormat="1" ht="16.5" customHeight="1">
      <c r="A67" s="50"/>
      <c r="B67" s="583"/>
      <c r="C67" s="584"/>
      <c r="D67" s="587"/>
      <c r="E67" s="588"/>
      <c r="F67" s="665"/>
      <c r="G67" s="666"/>
      <c r="H67" s="665"/>
      <c r="I67" s="666"/>
      <c r="J67" s="587"/>
      <c r="K67" s="588"/>
      <c r="L67" s="49"/>
    </row>
    <row r="68" spans="1:14" s="22" customFormat="1" ht="16.5" customHeight="1">
      <c r="A68" s="50"/>
      <c r="B68" s="585"/>
      <c r="C68" s="586"/>
      <c r="D68" s="589"/>
      <c r="E68" s="590"/>
      <c r="F68" s="667"/>
      <c r="G68" s="668"/>
      <c r="H68" s="667"/>
      <c r="I68" s="668"/>
      <c r="J68" s="589"/>
      <c r="K68" s="590"/>
      <c r="L68" s="49"/>
    </row>
    <row r="69" spans="1:14" s="22" customFormat="1" ht="16.5" customHeight="1">
      <c r="A69" s="35"/>
      <c r="B69" s="27"/>
      <c r="C69" s="27"/>
      <c r="D69" s="27"/>
      <c r="E69" s="35"/>
      <c r="F69" s="58"/>
      <c r="G69" s="58"/>
      <c r="H69" s="58"/>
      <c r="I69" s="58"/>
      <c r="J69" s="68"/>
      <c r="K69" s="68"/>
      <c r="L69" s="3"/>
    </row>
    <row r="70" spans="1:14" s="22" customFormat="1" ht="16.5" customHeight="1">
      <c r="A70" s="35" t="s">
        <v>53</v>
      </c>
      <c r="B70" s="27"/>
      <c r="C70" s="27"/>
      <c r="D70" s="35" t="s">
        <v>54</v>
      </c>
      <c r="F70" s="58"/>
      <c r="H70" s="35" t="s">
        <v>250</v>
      </c>
      <c r="I70" s="58"/>
      <c r="K70" s="68" t="s">
        <v>55</v>
      </c>
      <c r="L70" s="3"/>
    </row>
    <row r="71" spans="1:14" s="22" customFormat="1" ht="16.5" customHeight="1">
      <c r="A71" s="29"/>
      <c r="B71" s="29"/>
      <c r="C71" s="29"/>
      <c r="D71" s="29"/>
      <c r="E71" s="29"/>
      <c r="F71" s="29"/>
      <c r="H71" s="29"/>
      <c r="I71" s="29"/>
      <c r="J71" s="3"/>
      <c r="K71" s="3"/>
      <c r="L71" s="3"/>
    </row>
    <row r="72" spans="1:14" s="22" customFormat="1" ht="16.5" customHeight="1">
      <c r="A72" s="659" t="s">
        <v>251</v>
      </c>
      <c r="B72" s="659"/>
      <c r="C72" s="318"/>
      <c r="D72" s="660" t="s">
        <v>57</v>
      </c>
      <c r="E72" s="660"/>
      <c r="F72" s="660"/>
      <c r="H72" s="661" t="s">
        <v>247</v>
      </c>
      <c r="I72" s="661"/>
      <c r="J72" s="661"/>
      <c r="K72" s="662" t="s">
        <v>251</v>
      </c>
      <c r="L72" s="662"/>
      <c r="N72" s="218" t="e">
        <f>#REF!+1.27</f>
        <v>#REF!</v>
      </c>
    </row>
    <row r="73" spans="1:14" s="3" customFormat="1" ht="16.5" customHeight="1">
      <c r="A73" s="663" t="s">
        <v>59</v>
      </c>
      <c r="B73" s="663"/>
      <c r="C73" s="319"/>
      <c r="D73" s="664" t="s">
        <v>60</v>
      </c>
      <c r="E73" s="664"/>
      <c r="F73" s="664"/>
      <c r="H73" s="663" t="s">
        <v>252</v>
      </c>
      <c r="I73" s="663"/>
      <c r="J73" s="663"/>
      <c r="K73" s="320" t="s">
        <v>253</v>
      </c>
      <c r="L73" s="320"/>
    </row>
    <row r="74" spans="1:14" s="3" customFormat="1" ht="16.5" customHeight="1">
      <c r="A74" s="37"/>
      <c r="B74" s="27"/>
      <c r="C74" s="27"/>
      <c r="D74" s="27"/>
      <c r="E74" s="27"/>
      <c r="F74" s="29"/>
      <c r="G74" s="29"/>
      <c r="H74" s="29"/>
      <c r="I74" s="29"/>
      <c r="J74" s="29"/>
    </row>
    <row r="75" spans="1:14" s="3" customFormat="1" ht="16.5" customHeight="1">
      <c r="A75" s="37"/>
      <c r="B75" s="27"/>
      <c r="C75" s="27"/>
      <c r="D75" s="27"/>
      <c r="E75" s="27"/>
      <c r="F75" s="29"/>
      <c r="G75" s="29"/>
      <c r="H75" s="29"/>
      <c r="I75" s="29"/>
      <c r="J75" s="29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  <c r="N76" s="3">
        <f>84.35+1.27</f>
        <v>85.61999999999999</v>
      </c>
    </row>
    <row r="77" spans="1:14" s="3" customFormat="1" ht="16.5" customHeight="1">
      <c r="A77" s="37"/>
      <c r="B77" s="27"/>
      <c r="C77" s="27"/>
      <c r="D77" s="27"/>
      <c r="E77" s="27"/>
      <c r="F77" s="30"/>
      <c r="G77" s="30"/>
      <c r="H77" s="30"/>
      <c r="I77" s="30"/>
      <c r="J77" s="30"/>
    </row>
    <row r="78" spans="1:14" s="3" customFormat="1" ht="16.5" customHeight="1">
      <c r="A78" s="37"/>
      <c r="B78" s="27"/>
      <c r="C78" s="27"/>
      <c r="D78" s="27"/>
      <c r="E78" s="27"/>
      <c r="F78" s="30"/>
      <c r="G78" s="30"/>
      <c r="H78" s="30"/>
      <c r="I78" s="30"/>
      <c r="J78" s="30"/>
    </row>
    <row r="79" spans="1:14" s="3" customFormat="1" ht="15" customHeight="1">
      <c r="A79" s="27"/>
      <c r="B79" s="27"/>
      <c r="C79" s="27"/>
      <c r="D79" s="27"/>
      <c r="E79" s="27"/>
      <c r="F79" s="29"/>
      <c r="G79" s="29"/>
      <c r="H79" s="29"/>
      <c r="I79" s="29"/>
      <c r="J79" s="29"/>
    </row>
    <row r="80" spans="1:14" s="3" customFormat="1" ht="15" customHeight="1">
      <c r="A80" s="27"/>
      <c r="B80" s="27"/>
      <c r="C80" s="27"/>
      <c r="D80" s="27"/>
      <c r="E80" s="27"/>
      <c r="F80" s="28"/>
      <c r="G80" s="28"/>
      <c r="H80" s="28"/>
      <c r="I80" s="28"/>
      <c r="J80" s="28"/>
    </row>
    <row r="81" spans="1:10" s="3" customFormat="1" ht="15" customHeight="1">
      <c r="A81" s="27"/>
      <c r="B81" s="27"/>
      <c r="C81" s="27"/>
      <c r="D81" s="27"/>
      <c r="E81" s="27"/>
      <c r="F81" s="30"/>
      <c r="G81" s="30"/>
      <c r="H81" s="30"/>
      <c r="I81" s="30"/>
      <c r="J81" s="30"/>
    </row>
    <row r="82" spans="1:10" s="3" customFormat="1" ht="15" customHeight="1">
      <c r="A82" s="27"/>
      <c r="B82" s="27"/>
      <c r="C82" s="27"/>
      <c r="D82" s="27"/>
      <c r="E82" s="27"/>
      <c r="F82" s="29"/>
      <c r="G82" s="29"/>
      <c r="H82" s="29"/>
      <c r="I82" s="29"/>
      <c r="J82" s="29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7.399999999999999">
      <c r="A84" s="27"/>
      <c r="B84" s="27"/>
      <c r="C84" s="27"/>
      <c r="D84" s="27"/>
      <c r="E84" s="27"/>
      <c r="F84" s="30"/>
      <c r="G84" s="30"/>
      <c r="H84" s="30"/>
      <c r="I84" s="30"/>
      <c r="J84" s="30"/>
    </row>
    <row r="85" spans="1:10" s="3" customFormat="1" ht="21.9" customHeight="1">
      <c r="A85" s="27"/>
      <c r="B85" s="27"/>
      <c r="C85" s="27"/>
      <c r="D85" s="27"/>
      <c r="E85" s="27"/>
      <c r="F85" s="29"/>
      <c r="G85" s="29"/>
      <c r="H85" s="29"/>
      <c r="I85" s="29"/>
      <c r="J85" s="29"/>
    </row>
    <row r="86" spans="1:10" s="3" customFormat="1" ht="21.9" customHeight="1">
      <c r="A86" s="27"/>
      <c r="B86" s="27"/>
      <c r="C86" s="27"/>
      <c r="D86" s="27"/>
      <c r="E86" s="27"/>
      <c r="F86" s="29"/>
      <c r="G86" s="29"/>
      <c r="H86" s="29"/>
      <c r="I86" s="29"/>
      <c r="J86" s="29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30"/>
      <c r="G92" s="30"/>
      <c r="H92" s="30"/>
      <c r="I92" s="30"/>
      <c r="J92" s="30"/>
    </row>
    <row r="93" spans="1:10" s="3" customFormat="1" ht="21.9" customHeight="1">
      <c r="A93" s="27"/>
      <c r="B93" s="27"/>
      <c r="C93" s="27"/>
      <c r="D93" s="27"/>
      <c r="E93" s="27"/>
      <c r="F93" s="30"/>
      <c r="G93" s="30"/>
      <c r="H93" s="30"/>
      <c r="I93" s="30"/>
      <c r="J93" s="30"/>
    </row>
    <row r="94" spans="1:10" s="3" customFormat="1" ht="21.9" customHeight="1">
      <c r="A94" s="27"/>
      <c r="B94" s="27"/>
      <c r="C94" s="27"/>
      <c r="D94" s="27"/>
      <c r="E94" s="27"/>
      <c r="F94" s="29"/>
      <c r="G94" s="29"/>
      <c r="H94" s="29"/>
      <c r="I94" s="29"/>
      <c r="J94" s="29"/>
    </row>
    <row r="95" spans="1:10" s="3" customFormat="1" ht="21.9" customHeight="1">
      <c r="A95" s="27"/>
      <c r="B95" s="27"/>
      <c r="C95" s="27"/>
      <c r="D95" s="27"/>
      <c r="E95" s="27"/>
      <c r="F95" s="29"/>
      <c r="G95" s="29"/>
      <c r="H95" s="29"/>
      <c r="I95" s="29"/>
      <c r="J95" s="29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4"/>
      <c r="G121" s="4"/>
      <c r="H121" s="4"/>
      <c r="I121" s="4"/>
      <c r="J121" s="4"/>
    </row>
    <row r="122" spans="1:10" s="3" customFormat="1" ht="21.9" customHeight="1">
      <c r="A122" s="27"/>
      <c r="B122" s="27"/>
      <c r="C122" s="27"/>
      <c r="D122" s="27"/>
      <c r="E122" s="27"/>
      <c r="F122" s="4"/>
      <c r="G122" s="4"/>
      <c r="H122" s="4"/>
      <c r="I122" s="4"/>
      <c r="J122" s="4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29"/>
      <c r="G124" s="29"/>
      <c r="H124" s="29"/>
      <c r="I124" s="29"/>
      <c r="J124" s="29"/>
    </row>
    <row r="125" spans="1:10" s="3" customFormat="1" ht="21.9" customHeight="1">
      <c r="A125" s="27"/>
      <c r="B125" s="27"/>
      <c r="C125" s="27"/>
      <c r="D125" s="27"/>
      <c r="E125" s="27"/>
      <c r="F125" s="29"/>
      <c r="G125" s="29"/>
      <c r="H125" s="29"/>
      <c r="I125" s="29"/>
      <c r="J125" s="29"/>
    </row>
    <row r="126" spans="1:10" s="3" customFormat="1" ht="21.9" customHeight="1">
      <c r="A126" s="27"/>
      <c r="B126" s="27"/>
      <c r="C126" s="27"/>
      <c r="D126" s="27"/>
      <c r="E126" s="27"/>
      <c r="F126" s="4"/>
      <c r="G126" s="4"/>
      <c r="H126" s="4"/>
      <c r="I126" s="4"/>
      <c r="J126" s="4"/>
    </row>
    <row r="127" spans="1:10" s="3" customFormat="1" ht="21.9" customHeight="1">
      <c r="A127" s="27"/>
      <c r="B127" s="27"/>
      <c r="C127" s="27"/>
      <c r="D127" s="27"/>
      <c r="E127" s="27"/>
      <c r="F127" s="4"/>
      <c r="G127" s="4"/>
      <c r="H127" s="4"/>
      <c r="I127" s="4"/>
      <c r="J127" s="4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29"/>
      <c r="G129" s="29"/>
      <c r="H129" s="29"/>
      <c r="I129" s="29"/>
      <c r="J129" s="29"/>
    </row>
    <row r="130" spans="1:10" s="3" customFormat="1" ht="21.9" customHeight="1">
      <c r="A130" s="27"/>
      <c r="B130" s="27"/>
      <c r="C130" s="27"/>
      <c r="D130" s="27"/>
      <c r="E130" s="27"/>
      <c r="F130" s="29"/>
      <c r="G130" s="29"/>
      <c r="H130" s="29"/>
      <c r="I130" s="29"/>
      <c r="J130" s="29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31"/>
      <c r="G132" s="31"/>
      <c r="H132" s="31"/>
      <c r="I132" s="31"/>
      <c r="J132" s="31"/>
    </row>
    <row r="133" spans="1:10" s="3" customFormat="1" ht="21.9" customHeight="1">
      <c r="A133" s="32"/>
      <c r="B133" s="32"/>
      <c r="C133" s="32"/>
      <c r="D133" s="32"/>
      <c r="E133" s="32"/>
      <c r="F133" s="31"/>
      <c r="G133" s="31"/>
      <c r="H133" s="31"/>
      <c r="I133" s="31"/>
      <c r="J133" s="31"/>
    </row>
    <row r="134" spans="1:10" s="3" customFormat="1" ht="21.9" customHeight="1">
      <c r="A134" s="32"/>
      <c r="B134" s="32"/>
      <c r="C134" s="32"/>
      <c r="D134" s="32"/>
      <c r="E134" s="32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28"/>
      <c r="G141" s="28"/>
      <c r="H141" s="28"/>
      <c r="I141" s="28"/>
      <c r="J141" s="28"/>
    </row>
    <row r="142" spans="1:10" s="3" customFormat="1" ht="21.9" customHeight="1">
      <c r="A142" s="32"/>
      <c r="B142" s="32"/>
      <c r="C142" s="32"/>
      <c r="D142" s="32"/>
      <c r="E142" s="32"/>
      <c r="F142" s="28"/>
      <c r="G142" s="28"/>
      <c r="H142" s="28"/>
      <c r="I142" s="28"/>
      <c r="J142" s="28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31"/>
      <c r="G145" s="31"/>
      <c r="H145" s="31"/>
      <c r="I145" s="31"/>
      <c r="J145" s="31"/>
    </row>
    <row r="146" spans="1:12" s="3" customFormat="1" ht="21.9" customHeight="1">
      <c r="A146" s="32"/>
      <c r="B146" s="32"/>
      <c r="C146" s="32"/>
      <c r="D146" s="32"/>
      <c r="E146" s="32"/>
      <c r="F146" s="31"/>
      <c r="G146" s="31"/>
      <c r="H146" s="31"/>
      <c r="I146" s="31"/>
      <c r="J146" s="31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29"/>
      <c r="G148" s="29"/>
      <c r="H148" s="29"/>
      <c r="I148" s="29"/>
      <c r="J148" s="29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31"/>
      <c r="G150" s="31"/>
      <c r="H150" s="31"/>
      <c r="I150" s="31"/>
      <c r="J150" s="31"/>
    </row>
    <row r="151" spans="1:12" s="3" customFormat="1" ht="21.9" customHeight="1">
      <c r="A151" s="32"/>
      <c r="B151" s="32"/>
      <c r="C151" s="32"/>
      <c r="D151" s="32"/>
      <c r="E151" s="32"/>
      <c r="F151" s="33"/>
      <c r="G151" s="33"/>
      <c r="H151" s="33"/>
      <c r="I151" s="33"/>
      <c r="J151" s="33"/>
    </row>
    <row r="152" spans="1:12" s="3" customFormat="1" ht="21.9" customHeight="1">
      <c r="A152" s="32"/>
      <c r="B152" s="32"/>
      <c r="C152" s="32"/>
      <c r="D152" s="32"/>
      <c r="E152" s="32"/>
      <c r="F152" s="33"/>
      <c r="G152" s="33"/>
      <c r="H152" s="33"/>
      <c r="I152" s="33"/>
      <c r="J152" s="33"/>
    </row>
    <row r="153" spans="1:12" s="3" customFormat="1" ht="21.9" customHeight="1">
      <c r="A153" s="13"/>
      <c r="B153" s="13"/>
      <c r="C153" s="13"/>
      <c r="D153" s="13"/>
      <c r="E153" s="13"/>
      <c r="F153" s="14"/>
      <c r="G153" s="14"/>
      <c r="H153" s="14"/>
      <c r="I153" s="14"/>
      <c r="J153" s="14"/>
      <c r="K153" s="9"/>
      <c r="L153" s="9"/>
    </row>
    <row r="154" spans="1:12" s="3" customFormat="1" ht="21.9" customHeight="1">
      <c r="A154" s="13"/>
      <c r="B154" s="13"/>
      <c r="C154" s="13"/>
      <c r="D154" s="13"/>
      <c r="E154" s="13"/>
      <c r="F154" s="14"/>
      <c r="G154" s="14"/>
      <c r="H154" s="14"/>
      <c r="I154" s="14"/>
      <c r="J154" s="14"/>
      <c r="K154" s="9"/>
      <c r="L154" s="9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0"/>
      <c r="G158" s="10"/>
      <c r="H158" s="10"/>
      <c r="I158" s="10"/>
      <c r="J158" s="10"/>
      <c r="K158" s="9"/>
      <c r="L158" s="9"/>
    </row>
    <row r="159" spans="1:12" s="9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</row>
    <row r="160" spans="1:12" s="9" customFormat="1" ht="21.9" customHeight="1">
      <c r="A160" s="13"/>
      <c r="B160" s="13"/>
      <c r="C160" s="13"/>
      <c r="D160" s="13"/>
      <c r="E160" s="13"/>
      <c r="F160" s="14"/>
      <c r="G160" s="14"/>
      <c r="H160" s="14"/>
      <c r="I160" s="14"/>
      <c r="J160" s="14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8"/>
      <c r="G162" s="8"/>
      <c r="H162" s="8"/>
      <c r="I162" s="8"/>
      <c r="J162" s="8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10"/>
      <c r="G164" s="10"/>
      <c r="H164" s="10"/>
      <c r="I164" s="10"/>
      <c r="J164" s="10"/>
    </row>
    <row r="165" spans="1:10" s="9" customFormat="1" ht="21.9" customHeight="1">
      <c r="A165" s="13"/>
      <c r="B165" s="13"/>
      <c r="C165" s="13"/>
      <c r="D165" s="13"/>
      <c r="E165" s="13"/>
      <c r="F165" s="12"/>
      <c r="G165" s="12"/>
      <c r="H165" s="12"/>
      <c r="I165" s="12"/>
      <c r="J165" s="12"/>
    </row>
    <row r="166" spans="1:10" s="9" customFormat="1" ht="21.9" customHeight="1">
      <c r="A166" s="13"/>
      <c r="B166" s="13"/>
      <c r="C166" s="13"/>
      <c r="D166" s="13"/>
      <c r="E166" s="13"/>
      <c r="F166" s="12"/>
      <c r="G166" s="12"/>
      <c r="H166" s="12"/>
      <c r="I166" s="12"/>
      <c r="J166" s="12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</row>
    <row r="172" spans="1:10" s="9" customFormat="1" ht="21.9" customHeight="1">
      <c r="A172" s="13"/>
      <c r="B172" s="13"/>
      <c r="C172" s="13"/>
      <c r="D172" s="13"/>
      <c r="E172" s="13"/>
      <c r="F172" s="8"/>
      <c r="G172" s="8"/>
      <c r="H172" s="8"/>
      <c r="I172" s="8"/>
      <c r="J172" s="8"/>
    </row>
    <row r="173" spans="1:10" s="9" customFormat="1" ht="21.9" customHeight="1">
      <c r="A173" s="13"/>
      <c r="B173" s="13"/>
      <c r="C173" s="13"/>
      <c r="D173" s="13"/>
      <c r="E173" s="13"/>
      <c r="F173" s="8"/>
      <c r="G173" s="8"/>
      <c r="H173" s="8"/>
      <c r="I173" s="8"/>
      <c r="J173" s="8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</row>
    <row r="179" spans="1:10" s="9" customFormat="1" ht="21.9" customHeight="1">
      <c r="A179" s="13"/>
      <c r="B179" s="13"/>
      <c r="C179" s="13"/>
      <c r="D179" s="13"/>
      <c r="E179" s="13"/>
      <c r="F179" s="10"/>
      <c r="G179" s="10"/>
      <c r="H179" s="10"/>
      <c r="I179" s="10"/>
      <c r="J179" s="10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</row>
    <row r="183" spans="1:10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8"/>
      <c r="G185" s="8"/>
      <c r="H185" s="8"/>
      <c r="I185" s="8"/>
      <c r="J185" s="8"/>
    </row>
    <row r="186" spans="1:10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</row>
    <row r="187" spans="1:10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</row>
    <row r="188" spans="1:10" s="9" customFormat="1" ht="21.9" customHeight="1">
      <c r="A188" s="13"/>
      <c r="B188" s="13"/>
      <c r="C188" s="13"/>
      <c r="D188" s="13"/>
      <c r="E188" s="13"/>
      <c r="F188" s="12"/>
      <c r="G188" s="12"/>
      <c r="H188" s="12"/>
      <c r="I188" s="12"/>
      <c r="J188" s="12"/>
    </row>
    <row r="189" spans="1:10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</row>
    <row r="190" spans="1:10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11"/>
      <c r="G195" s="11"/>
      <c r="H195" s="11"/>
      <c r="I195" s="11"/>
      <c r="J195" s="11"/>
    </row>
    <row r="196" spans="1:10" s="9" customFormat="1" ht="21.9" customHeight="1">
      <c r="A196" s="13"/>
      <c r="B196" s="13"/>
      <c r="C196" s="13"/>
      <c r="D196" s="13"/>
      <c r="E196" s="13"/>
      <c r="F196" s="11"/>
      <c r="G196" s="11"/>
      <c r="H196" s="11"/>
      <c r="I196" s="11"/>
      <c r="J196" s="11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5"/>
      <c r="B199" s="15"/>
      <c r="C199" s="15"/>
      <c r="D199" s="15"/>
      <c r="E199" s="15"/>
      <c r="F199" s="12"/>
      <c r="G199" s="12"/>
      <c r="H199" s="12"/>
      <c r="I199" s="12"/>
      <c r="J199" s="12"/>
    </row>
    <row r="200" spans="1:10" s="9" customFormat="1" ht="21.9" customHeight="1">
      <c r="A200" s="15"/>
      <c r="B200" s="15"/>
      <c r="C200" s="15"/>
      <c r="D200" s="15"/>
      <c r="E200" s="15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2"/>
      <c r="G202" s="12"/>
      <c r="H202" s="12"/>
      <c r="I202" s="12"/>
      <c r="J202" s="12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8"/>
      <c r="G207" s="8"/>
      <c r="H207" s="8"/>
      <c r="I207" s="8"/>
      <c r="J207" s="8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12"/>
      <c r="G209" s="12"/>
      <c r="H209" s="12"/>
      <c r="I209" s="12"/>
      <c r="J209" s="12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8"/>
      <c r="G211" s="8"/>
      <c r="H211" s="8"/>
      <c r="I211" s="8"/>
      <c r="J211" s="8"/>
    </row>
    <row r="212" spans="1:10" s="9" customFormat="1" ht="21.9" customHeight="1">
      <c r="A212" s="15"/>
      <c r="B212" s="15"/>
      <c r="C212" s="15"/>
      <c r="D212" s="15"/>
      <c r="E212" s="15"/>
      <c r="F212" s="8"/>
      <c r="G212" s="8"/>
      <c r="H212" s="8"/>
      <c r="I212" s="8"/>
      <c r="J212" s="8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11"/>
      <c r="G217" s="11"/>
      <c r="H217" s="11"/>
      <c r="I217" s="11"/>
      <c r="J217" s="11"/>
    </row>
    <row r="218" spans="1:10" s="9" customFormat="1" ht="21.9" customHeight="1">
      <c r="A218" s="15"/>
      <c r="B218" s="15"/>
      <c r="C218" s="15"/>
      <c r="D218" s="15"/>
      <c r="E218" s="15"/>
      <c r="F218" s="11"/>
      <c r="G218" s="11"/>
      <c r="H218" s="11"/>
      <c r="I218" s="11"/>
      <c r="J218" s="11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8"/>
      <c r="G223" s="8"/>
      <c r="H223" s="8"/>
      <c r="I223" s="8"/>
      <c r="J223" s="8"/>
    </row>
    <row r="224" spans="1:10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6"/>
      <c r="B230" s="6"/>
      <c r="C230" s="6"/>
      <c r="D230" s="6"/>
      <c r="E230" s="6"/>
      <c r="F230" s="12"/>
      <c r="G230" s="12"/>
      <c r="H230" s="12"/>
      <c r="I230" s="12"/>
      <c r="J230" s="12"/>
    </row>
    <row r="231" spans="1:10" s="9" customFormat="1" ht="21.9" customHeight="1">
      <c r="A231" s="6"/>
      <c r="B231" s="6"/>
      <c r="C231" s="6"/>
      <c r="D231" s="6"/>
      <c r="E231" s="6"/>
      <c r="F231" s="12"/>
      <c r="G231" s="12"/>
      <c r="H231" s="12"/>
      <c r="I231" s="12"/>
      <c r="J231" s="12"/>
    </row>
    <row r="232" spans="1:10" s="9" customFormat="1" ht="21.9" customHeight="1">
      <c r="A232" s="6"/>
      <c r="B232" s="6"/>
      <c r="C232" s="6"/>
      <c r="D232" s="6"/>
      <c r="E232" s="6"/>
      <c r="F232" s="11"/>
      <c r="G232" s="11"/>
      <c r="H232" s="11"/>
      <c r="I232" s="11"/>
      <c r="J232" s="11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8"/>
      <c r="G234" s="8"/>
      <c r="H234" s="8"/>
      <c r="I234" s="8"/>
      <c r="J234" s="8"/>
    </row>
    <row r="235" spans="1:10" s="9" customFormat="1" ht="21.9" customHeight="1">
      <c r="A235" s="6"/>
      <c r="B235" s="6"/>
      <c r="C235" s="6"/>
      <c r="D235" s="6"/>
      <c r="E235" s="6"/>
      <c r="F235" s="8"/>
      <c r="G235" s="8"/>
      <c r="H235" s="8"/>
      <c r="I235" s="8"/>
      <c r="J235" s="8"/>
    </row>
    <row r="236" spans="1:10" s="9" customFormat="1" ht="21.9" customHeight="1">
      <c r="A236" s="6"/>
      <c r="B236" s="6"/>
      <c r="C236" s="6"/>
      <c r="D236" s="6"/>
      <c r="E236" s="6"/>
      <c r="F236" s="11"/>
      <c r="G236" s="11"/>
      <c r="H236" s="11"/>
      <c r="I236" s="11"/>
      <c r="J236" s="11"/>
    </row>
    <row r="237" spans="1:10" s="9" customFormat="1" ht="21.9" customHeight="1">
      <c r="A237" s="6"/>
      <c r="B237" s="6"/>
      <c r="C237" s="6"/>
      <c r="D237" s="6"/>
      <c r="E237" s="6"/>
      <c r="F237" s="12"/>
      <c r="G237" s="12"/>
      <c r="H237" s="12"/>
      <c r="I237" s="12"/>
      <c r="J237" s="12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1"/>
      <c r="G239" s="11"/>
      <c r="H239" s="11"/>
      <c r="I239" s="11"/>
      <c r="J239" s="11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8"/>
      <c r="G246" s="8"/>
      <c r="H246" s="8"/>
      <c r="I246" s="8"/>
      <c r="J246" s="8"/>
    </row>
    <row r="247" spans="1:10" s="9" customFormat="1" ht="21.9" customHeight="1">
      <c r="A247" s="6"/>
      <c r="B247" s="6"/>
      <c r="C247" s="6"/>
      <c r="D247" s="6"/>
      <c r="E247" s="6"/>
      <c r="F247" s="8"/>
      <c r="G247" s="8"/>
      <c r="H247" s="8"/>
      <c r="I247" s="8"/>
      <c r="J247" s="8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13.2">
      <c r="A252" s="6"/>
      <c r="B252" s="6"/>
      <c r="C252" s="6"/>
      <c r="D252" s="6"/>
      <c r="E252" s="6"/>
      <c r="F252" s="12"/>
      <c r="G252" s="12"/>
      <c r="H252" s="12"/>
      <c r="I252" s="12"/>
      <c r="J252" s="12"/>
    </row>
    <row r="253" spans="1:10" s="9" customFormat="1" ht="13.2">
      <c r="A253" s="6"/>
      <c r="B253" s="6"/>
      <c r="C253" s="6"/>
      <c r="D253" s="6"/>
      <c r="E253" s="6"/>
      <c r="F253" s="10"/>
      <c r="G253" s="10"/>
      <c r="H253" s="10"/>
      <c r="I253" s="10"/>
      <c r="J253" s="10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2"/>
      <c r="G255" s="12"/>
      <c r="H255" s="12"/>
      <c r="I255" s="12"/>
      <c r="J255" s="12"/>
    </row>
    <row r="256" spans="1:10" s="9" customFormat="1" ht="13.2">
      <c r="A256" s="6"/>
      <c r="B256" s="6"/>
      <c r="C256" s="6"/>
      <c r="D256" s="6"/>
      <c r="E256" s="6"/>
      <c r="F256" s="8"/>
      <c r="G256" s="8"/>
      <c r="H256" s="8"/>
      <c r="I256" s="8"/>
      <c r="J256" s="8"/>
    </row>
    <row r="257" spans="1:10" s="9" customFormat="1" ht="13.2">
      <c r="A257" s="6"/>
      <c r="B257" s="6"/>
      <c r="C257" s="6"/>
      <c r="D257" s="6"/>
      <c r="E257" s="6"/>
      <c r="F257" s="8"/>
      <c r="G257" s="8"/>
      <c r="H257" s="8"/>
      <c r="I257" s="8"/>
      <c r="J257" s="8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11"/>
      <c r="G260" s="11"/>
      <c r="H260" s="11"/>
      <c r="I260" s="11"/>
      <c r="J260" s="11"/>
    </row>
    <row r="261" spans="1:10" s="9" customFormat="1" ht="13.2">
      <c r="A261" s="6"/>
      <c r="B261" s="6"/>
      <c r="C261" s="6"/>
      <c r="D261" s="6"/>
      <c r="E261" s="6"/>
      <c r="F261" s="12"/>
      <c r="G261" s="12"/>
      <c r="H261" s="12"/>
      <c r="I261" s="12"/>
      <c r="J261" s="12"/>
    </row>
    <row r="262" spans="1:10" s="9" customFormat="1" ht="13.2">
      <c r="A262" s="6"/>
      <c r="B262" s="6"/>
      <c r="C262" s="6"/>
      <c r="D262" s="6"/>
      <c r="E262" s="6"/>
      <c r="F262" s="10"/>
      <c r="G262" s="10"/>
      <c r="H262" s="10"/>
      <c r="I262" s="10"/>
      <c r="J262" s="10"/>
    </row>
    <row r="263" spans="1:10" s="9" customFormat="1" ht="13.2">
      <c r="A263" s="6"/>
      <c r="B263" s="6"/>
      <c r="C263" s="6"/>
      <c r="D263" s="6"/>
      <c r="E263" s="6"/>
      <c r="F263" s="11"/>
      <c r="G263" s="11"/>
      <c r="H263" s="11"/>
      <c r="I263" s="11"/>
      <c r="J263" s="11"/>
    </row>
    <row r="264" spans="1:10" s="9" customFormat="1" ht="13.2">
      <c r="A264" s="6"/>
      <c r="B264" s="6"/>
      <c r="C264" s="6"/>
      <c r="D264" s="6"/>
      <c r="E264" s="6"/>
      <c r="F264" s="8"/>
      <c r="G264" s="8"/>
      <c r="H264" s="8"/>
      <c r="I264" s="8"/>
      <c r="J264" s="8"/>
    </row>
    <row r="265" spans="1:10" s="9" customFormat="1" ht="13.2">
      <c r="A265" s="6"/>
      <c r="B265" s="6"/>
      <c r="C265" s="6"/>
      <c r="D265" s="6"/>
      <c r="E265" s="6"/>
      <c r="F265" s="7"/>
      <c r="G265" s="7"/>
      <c r="H265" s="7"/>
      <c r="I265" s="7"/>
      <c r="J265" s="7"/>
    </row>
    <row r="266" spans="1:10" s="9" customFormat="1" ht="13.2">
      <c r="A266" s="6"/>
      <c r="B266" s="6"/>
      <c r="C266" s="6"/>
      <c r="D266" s="6"/>
      <c r="E266" s="6"/>
      <c r="F266" s="7"/>
      <c r="G266" s="7"/>
      <c r="H266" s="7"/>
      <c r="I266" s="7"/>
      <c r="J266" s="7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8"/>
      <c r="G269" s="8"/>
      <c r="H269" s="8"/>
      <c r="I269" s="8"/>
      <c r="J269" s="8"/>
    </row>
    <row r="270" spans="1:10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12"/>
      <c r="G277" s="12"/>
      <c r="H277" s="12"/>
      <c r="I277" s="12"/>
      <c r="J277" s="12"/>
    </row>
    <row r="278" spans="1:10" s="9" customFormat="1" ht="13.2">
      <c r="A278" s="6"/>
      <c r="B278" s="6"/>
      <c r="C278" s="6"/>
      <c r="D278" s="6"/>
      <c r="E278" s="6"/>
      <c r="F278" s="11"/>
      <c r="G278" s="11"/>
      <c r="H278" s="11"/>
      <c r="I278" s="11"/>
      <c r="J278" s="11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8"/>
      <c r="G280" s="8"/>
      <c r="H280" s="8"/>
      <c r="I280" s="8"/>
      <c r="J280" s="8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</row>
    <row r="284" spans="1:10" s="9" customFormat="1" ht="13.2">
      <c r="A284" s="6"/>
      <c r="B284" s="6"/>
      <c r="C284" s="6"/>
      <c r="D284" s="6"/>
      <c r="E284" s="6"/>
      <c r="F284" s="12"/>
      <c r="G284" s="12"/>
      <c r="H284" s="12"/>
      <c r="I284" s="12"/>
      <c r="J284" s="12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</row>
    <row r="287" spans="1:10" s="9" customFormat="1" ht="13.2">
      <c r="A287" s="6"/>
      <c r="B287" s="6"/>
      <c r="C287" s="6"/>
      <c r="D287" s="6"/>
      <c r="E287" s="6"/>
      <c r="F287" s="11"/>
      <c r="G287" s="11"/>
      <c r="H287" s="11"/>
      <c r="I287" s="11"/>
      <c r="J287" s="11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11"/>
      <c r="G291" s="11"/>
      <c r="H291" s="11"/>
      <c r="I291" s="11"/>
      <c r="J291" s="11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10"/>
      <c r="G298" s="10"/>
      <c r="H298" s="10"/>
      <c r="I298" s="10"/>
      <c r="J298" s="10"/>
    </row>
    <row r="299" spans="1:10" s="9" customFormat="1" ht="13.2">
      <c r="A299" s="6"/>
      <c r="B299" s="6"/>
      <c r="C299" s="6"/>
      <c r="D299" s="6"/>
      <c r="E299" s="6"/>
      <c r="F299" s="11"/>
      <c r="G299" s="11"/>
      <c r="H299" s="11"/>
      <c r="I299" s="11"/>
      <c r="J299" s="11"/>
    </row>
    <row r="300" spans="1:10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</row>
    <row r="304" spans="1:10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</row>
    <row r="305" spans="1:10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</row>
    <row r="306" spans="1:10" s="9" customFormat="1" ht="13.2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</row>
    <row r="309" spans="1:10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</row>
    <row r="310" spans="1:10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7"/>
      <c r="G314" s="7"/>
      <c r="H314" s="7"/>
      <c r="I314" s="7"/>
      <c r="J314" s="7"/>
    </row>
    <row r="315" spans="1:10" s="9" customFormat="1" ht="13.2">
      <c r="A315" s="6"/>
      <c r="B315" s="6"/>
      <c r="C315" s="6"/>
      <c r="D315" s="6"/>
      <c r="E315" s="6"/>
      <c r="F315" s="7"/>
      <c r="G315" s="7"/>
      <c r="H315" s="7"/>
      <c r="I315" s="7"/>
      <c r="J315" s="7"/>
    </row>
    <row r="316" spans="1:10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</row>
    <row r="317" spans="1:10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</row>
    <row r="318" spans="1:10" s="9" customFormat="1" ht="13.2">
      <c r="A318" s="6"/>
      <c r="B318" s="6"/>
      <c r="C318" s="6"/>
      <c r="D318" s="6"/>
      <c r="E318" s="6"/>
      <c r="F318" s="7"/>
      <c r="G318" s="7"/>
      <c r="H318" s="7"/>
      <c r="I318" s="7"/>
      <c r="J318" s="7"/>
    </row>
    <row r="319" spans="1:10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7"/>
      <c r="G321" s="7"/>
      <c r="H321" s="7"/>
      <c r="I321" s="7"/>
      <c r="J321" s="7"/>
    </row>
    <row r="322" spans="1:10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</row>
    <row r="323" spans="1:10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</row>
    <row r="330" spans="1:10" s="9" customFormat="1" ht="13.2">
      <c r="A330" s="6"/>
      <c r="B330" s="6"/>
      <c r="C330" s="6"/>
      <c r="D330" s="6"/>
      <c r="E330" s="6"/>
      <c r="F330" s="7"/>
      <c r="G330" s="7"/>
      <c r="H330" s="7"/>
      <c r="I330" s="7"/>
      <c r="J330" s="7"/>
    </row>
    <row r="331" spans="1:10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</row>
    <row r="332" spans="1:10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10"/>
      <c r="G358" s="10"/>
      <c r="H358" s="10"/>
      <c r="I358" s="10"/>
      <c r="J358" s="10"/>
    </row>
    <row r="359" spans="1:10" s="9" customFormat="1" ht="13.2">
      <c r="A359" s="6"/>
      <c r="B359" s="6"/>
      <c r="C359" s="6"/>
      <c r="D359" s="6"/>
      <c r="E359" s="6"/>
      <c r="F359" s="10"/>
      <c r="G359" s="10"/>
      <c r="H359" s="10"/>
      <c r="I359" s="10"/>
      <c r="J359" s="10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</row>
    <row r="362" spans="1:10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</row>
    <row r="363" spans="1:10" s="9" customFormat="1" ht="13.2">
      <c r="A363" s="6"/>
      <c r="B363" s="6"/>
      <c r="C363" s="6"/>
      <c r="D363" s="6"/>
      <c r="E363" s="6"/>
      <c r="F363" s="10"/>
      <c r="G363" s="10"/>
      <c r="H363" s="10"/>
      <c r="I363" s="10"/>
      <c r="J363" s="10"/>
    </row>
    <row r="364" spans="1:10" s="9" customFormat="1" ht="13.2">
      <c r="A364" s="6"/>
      <c r="B364" s="6"/>
      <c r="C364" s="6"/>
      <c r="D364" s="6"/>
      <c r="E364" s="6"/>
      <c r="F364" s="10"/>
      <c r="G364" s="10"/>
      <c r="H364" s="10"/>
      <c r="I364" s="10"/>
      <c r="J364" s="10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</row>
    <row r="367" spans="1:10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12"/>
      <c r="G369" s="12"/>
      <c r="H369" s="12"/>
      <c r="I369" s="12"/>
      <c r="J369" s="12"/>
    </row>
    <row r="370" spans="1:10" s="9" customFormat="1" ht="13.2">
      <c r="A370" s="13"/>
      <c r="B370" s="13"/>
      <c r="C370" s="13"/>
      <c r="D370" s="13"/>
      <c r="E370" s="13"/>
      <c r="F370" s="12"/>
      <c r="G370" s="12"/>
      <c r="H370" s="12"/>
      <c r="I370" s="12"/>
      <c r="J370" s="12"/>
    </row>
    <row r="371" spans="1:10" s="9" customFormat="1" ht="13.2">
      <c r="A371" s="13"/>
      <c r="B371" s="13"/>
      <c r="C371" s="13"/>
      <c r="D371" s="13"/>
      <c r="E371" s="13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1"/>
      <c r="G378" s="11"/>
      <c r="H378" s="11"/>
      <c r="I378" s="11"/>
      <c r="J378" s="11"/>
    </row>
    <row r="379" spans="1:10" s="9" customFormat="1" ht="13.2">
      <c r="A379" s="13"/>
      <c r="B379" s="13"/>
      <c r="C379" s="13"/>
      <c r="D379" s="13"/>
      <c r="E379" s="13"/>
      <c r="F379" s="11"/>
      <c r="G379" s="11"/>
      <c r="H379" s="11"/>
      <c r="I379" s="11"/>
      <c r="J379" s="11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2"/>
      <c r="G382" s="12"/>
      <c r="H382" s="12"/>
      <c r="I382" s="12"/>
      <c r="J382" s="12"/>
    </row>
    <row r="383" spans="1:10" s="9" customFormat="1" ht="13.2">
      <c r="A383" s="13"/>
      <c r="B383" s="13"/>
      <c r="C383" s="13"/>
      <c r="D383" s="13"/>
      <c r="E383" s="13"/>
      <c r="F383" s="12"/>
      <c r="G383" s="12"/>
      <c r="H383" s="12"/>
      <c r="I383" s="12"/>
      <c r="J383" s="12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8"/>
      <c r="G385" s="8"/>
      <c r="H385" s="8"/>
      <c r="I385" s="8"/>
      <c r="J385" s="8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</row>
    <row r="388" spans="1:10" s="9" customFormat="1" ht="13.2">
      <c r="A388" s="13"/>
      <c r="B388" s="13"/>
      <c r="C388" s="13"/>
      <c r="D388" s="13"/>
      <c r="E388" s="13"/>
      <c r="F388" s="14"/>
      <c r="G388" s="14"/>
      <c r="H388" s="14"/>
      <c r="I388" s="14"/>
      <c r="J388" s="14"/>
    </row>
    <row r="389" spans="1:10" s="9" customFormat="1" ht="13.2">
      <c r="A389" s="13"/>
      <c r="B389" s="13"/>
      <c r="C389" s="13"/>
      <c r="D389" s="13"/>
      <c r="E389" s="13"/>
      <c r="F389" s="14"/>
      <c r="G389" s="14"/>
      <c r="H389" s="14"/>
      <c r="I389" s="14"/>
      <c r="J389" s="14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0"/>
      <c r="G395" s="10"/>
      <c r="H395" s="10"/>
      <c r="I395" s="10"/>
      <c r="J395" s="10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4"/>
      <c r="G397" s="14"/>
      <c r="H397" s="14"/>
      <c r="I397" s="14"/>
      <c r="J397" s="14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10"/>
      <c r="G401" s="10"/>
      <c r="H401" s="10"/>
      <c r="I401" s="10"/>
      <c r="J401" s="10"/>
    </row>
    <row r="402" spans="1:10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</row>
    <row r="403" spans="1:10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</row>
    <row r="409" spans="1:10" s="9" customFormat="1" ht="13.2">
      <c r="A409" s="13"/>
      <c r="B409" s="13"/>
      <c r="C409" s="13"/>
      <c r="D409" s="13"/>
      <c r="E409" s="13"/>
      <c r="F409" s="8"/>
      <c r="G409" s="8"/>
      <c r="H409" s="8"/>
      <c r="I409" s="8"/>
      <c r="J409" s="8"/>
    </row>
    <row r="410" spans="1:10" s="9" customFormat="1" ht="13.2">
      <c r="A410" s="13"/>
      <c r="B410" s="13"/>
      <c r="C410" s="13"/>
      <c r="D410" s="13"/>
      <c r="E410" s="13"/>
      <c r="F410" s="8"/>
      <c r="G410" s="8"/>
      <c r="H410" s="8"/>
      <c r="I410" s="8"/>
      <c r="J410" s="8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</row>
    <row r="416" spans="1:10" s="9" customFormat="1" ht="13.2">
      <c r="A416" s="13"/>
      <c r="B416" s="13"/>
      <c r="C416" s="13"/>
      <c r="D416" s="13"/>
      <c r="E416" s="13"/>
      <c r="F416" s="10"/>
      <c r="G416" s="10"/>
      <c r="H416" s="10"/>
      <c r="I416" s="10"/>
      <c r="J416" s="10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</row>
    <row r="420" spans="1:10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8"/>
      <c r="G422" s="8"/>
      <c r="H422" s="8"/>
      <c r="I422" s="8"/>
      <c r="J422" s="8"/>
    </row>
    <row r="423" spans="1:10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</row>
    <row r="424" spans="1:10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</row>
    <row r="425" spans="1:10" s="9" customFormat="1" ht="13.2">
      <c r="A425" s="13"/>
      <c r="B425" s="13"/>
      <c r="C425" s="13"/>
      <c r="D425" s="13"/>
      <c r="E425" s="13"/>
      <c r="F425" s="12"/>
      <c r="G425" s="12"/>
      <c r="H425" s="12"/>
      <c r="I425" s="12"/>
      <c r="J425" s="12"/>
    </row>
    <row r="426" spans="1:10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</row>
    <row r="427" spans="1:10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11"/>
      <c r="G432" s="11"/>
      <c r="H432" s="11"/>
      <c r="I432" s="11"/>
      <c r="J432" s="11"/>
    </row>
    <row r="433" spans="1:10" s="9" customFormat="1" ht="13.2">
      <c r="A433" s="13"/>
      <c r="B433" s="13"/>
      <c r="C433" s="13"/>
      <c r="D433" s="13"/>
      <c r="E433" s="13"/>
      <c r="F433" s="11"/>
      <c r="G433" s="11"/>
      <c r="H433" s="11"/>
      <c r="I433" s="11"/>
      <c r="J433" s="11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5"/>
      <c r="B436" s="15"/>
      <c r="C436" s="15"/>
      <c r="D436" s="15"/>
      <c r="E436" s="15"/>
      <c r="F436" s="12"/>
      <c r="G436" s="12"/>
      <c r="H436" s="12"/>
      <c r="I436" s="12"/>
      <c r="J436" s="12"/>
    </row>
    <row r="437" spans="1:10" s="9" customFormat="1" ht="13.2">
      <c r="A437" s="15"/>
      <c r="B437" s="15"/>
      <c r="C437" s="15"/>
      <c r="D437" s="15"/>
      <c r="E437" s="15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2"/>
      <c r="G439" s="12"/>
      <c r="H439" s="12"/>
      <c r="I439" s="12"/>
      <c r="J439" s="12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8"/>
      <c r="G444" s="8"/>
      <c r="H444" s="8"/>
      <c r="I444" s="8"/>
      <c r="J444" s="8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12"/>
      <c r="G446" s="12"/>
      <c r="H446" s="12"/>
      <c r="I446" s="12"/>
      <c r="J446" s="12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8"/>
      <c r="G448" s="8"/>
      <c r="H448" s="8"/>
      <c r="I448" s="8"/>
      <c r="J448" s="8"/>
    </row>
    <row r="449" spans="1:10" s="9" customFormat="1" ht="13.2">
      <c r="A449" s="15"/>
      <c r="B449" s="15"/>
      <c r="C449" s="15"/>
      <c r="D449" s="15"/>
      <c r="E449" s="15"/>
      <c r="F449" s="8"/>
      <c r="G449" s="8"/>
      <c r="H449" s="8"/>
      <c r="I449" s="8"/>
      <c r="J449" s="8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11"/>
      <c r="G454" s="11"/>
      <c r="H454" s="11"/>
      <c r="I454" s="11"/>
      <c r="J454" s="11"/>
    </row>
    <row r="455" spans="1:10" s="9" customFormat="1" ht="13.2">
      <c r="A455" s="15"/>
      <c r="B455" s="15"/>
      <c r="C455" s="15"/>
      <c r="D455" s="15"/>
      <c r="E455" s="15"/>
      <c r="F455" s="11"/>
      <c r="G455" s="11"/>
      <c r="H455" s="11"/>
      <c r="I455" s="11"/>
      <c r="J455" s="11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8"/>
      <c r="G460" s="8"/>
      <c r="H460" s="8"/>
      <c r="I460" s="8"/>
      <c r="J460" s="8"/>
    </row>
    <row r="461" spans="1:10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6"/>
      <c r="B467" s="6"/>
      <c r="C467" s="6"/>
      <c r="D467" s="6"/>
      <c r="E467" s="6"/>
      <c r="F467" s="12"/>
      <c r="G467" s="12"/>
      <c r="H467" s="12"/>
      <c r="I467" s="12"/>
      <c r="J467" s="12"/>
    </row>
    <row r="468" spans="1:10" s="9" customFormat="1" ht="13.2">
      <c r="A468" s="6"/>
      <c r="B468" s="6"/>
      <c r="C468" s="6"/>
      <c r="D468" s="6"/>
      <c r="E468" s="6"/>
      <c r="F468" s="12"/>
      <c r="G468" s="12"/>
      <c r="H468" s="12"/>
      <c r="I468" s="12"/>
      <c r="J468" s="12"/>
    </row>
    <row r="469" spans="1:10" s="9" customFormat="1" ht="13.2">
      <c r="A469" s="6"/>
      <c r="B469" s="6"/>
      <c r="C469" s="6"/>
      <c r="D469" s="6"/>
      <c r="E469" s="6"/>
      <c r="F469" s="11"/>
      <c r="G469" s="11"/>
      <c r="H469" s="11"/>
      <c r="I469" s="11"/>
      <c r="J469" s="11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8"/>
      <c r="G471" s="8"/>
      <c r="H471" s="8"/>
      <c r="I471" s="8"/>
      <c r="J471" s="8"/>
    </row>
    <row r="472" spans="1:10" s="9" customFormat="1" ht="13.2">
      <c r="A472" s="6"/>
      <c r="B472" s="6"/>
      <c r="C472" s="6"/>
      <c r="D472" s="6"/>
      <c r="E472" s="6"/>
      <c r="F472" s="8"/>
      <c r="G472" s="8"/>
      <c r="H472" s="8"/>
      <c r="I472" s="8"/>
      <c r="J472" s="8"/>
    </row>
    <row r="473" spans="1:10" s="9" customFormat="1" ht="13.2">
      <c r="A473" s="6"/>
      <c r="B473" s="6"/>
      <c r="C473" s="6"/>
      <c r="D473" s="6"/>
      <c r="E473" s="6"/>
      <c r="F473" s="11"/>
      <c r="G473" s="11"/>
      <c r="H473" s="11"/>
      <c r="I473" s="11"/>
      <c r="J473" s="11"/>
    </row>
    <row r="474" spans="1:10" s="9" customFormat="1" ht="13.2">
      <c r="A474" s="6"/>
      <c r="B474" s="6"/>
      <c r="C474" s="6"/>
      <c r="D474" s="6"/>
      <c r="E474" s="6"/>
      <c r="F474" s="12"/>
      <c r="G474" s="12"/>
      <c r="H474" s="12"/>
      <c r="I474" s="12"/>
      <c r="J474" s="12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1"/>
      <c r="G476" s="11"/>
      <c r="H476" s="11"/>
      <c r="I476" s="11"/>
      <c r="J476" s="11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8"/>
      <c r="G483" s="8"/>
      <c r="H483" s="8"/>
      <c r="I483" s="8"/>
      <c r="J483" s="8"/>
    </row>
    <row r="484" spans="1:10" s="9" customFormat="1" ht="13.2">
      <c r="A484" s="6"/>
      <c r="B484" s="6"/>
      <c r="C484" s="6"/>
      <c r="D484" s="6"/>
      <c r="E484" s="6"/>
      <c r="F484" s="8"/>
      <c r="G484" s="8"/>
      <c r="H484" s="8"/>
      <c r="I484" s="8"/>
      <c r="J484" s="8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12"/>
      <c r="G489" s="12"/>
      <c r="H489" s="12"/>
      <c r="I489" s="12"/>
      <c r="J489" s="12"/>
    </row>
    <row r="490" spans="1:10" s="9" customFormat="1" ht="13.2">
      <c r="A490" s="6"/>
      <c r="B490" s="6"/>
      <c r="C490" s="6"/>
      <c r="D490" s="6"/>
      <c r="E490" s="6"/>
      <c r="F490" s="10"/>
      <c r="G490" s="10"/>
      <c r="H490" s="10"/>
      <c r="I490" s="10"/>
      <c r="J490" s="10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2"/>
      <c r="G492" s="12"/>
      <c r="H492" s="12"/>
      <c r="I492" s="12"/>
      <c r="J492" s="12"/>
    </row>
    <row r="493" spans="1:10" s="9" customFormat="1" ht="13.2">
      <c r="A493" s="6"/>
      <c r="B493" s="6"/>
      <c r="C493" s="6"/>
      <c r="D493" s="6"/>
      <c r="E493" s="6"/>
      <c r="F493" s="8"/>
      <c r="G493" s="8"/>
      <c r="H493" s="8"/>
      <c r="I493" s="8"/>
      <c r="J493" s="8"/>
    </row>
    <row r="494" spans="1:10" s="9" customFormat="1" ht="13.2">
      <c r="A494" s="6"/>
      <c r="B494" s="6"/>
      <c r="C494" s="6"/>
      <c r="D494" s="6"/>
      <c r="E494" s="6"/>
      <c r="F494" s="8"/>
      <c r="G494" s="8"/>
      <c r="H494" s="8"/>
      <c r="I494" s="8"/>
      <c r="J494" s="8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</row>
    <row r="498" spans="1:10" s="9" customFormat="1" ht="13.2">
      <c r="A498" s="6"/>
      <c r="B498" s="6"/>
      <c r="C498" s="6"/>
      <c r="D498" s="6"/>
      <c r="E498" s="6"/>
      <c r="F498" s="12"/>
      <c r="G498" s="12"/>
      <c r="H498" s="12"/>
      <c r="I498" s="12"/>
      <c r="J498" s="12"/>
    </row>
    <row r="499" spans="1:10" s="9" customFormat="1" ht="13.2">
      <c r="A499" s="6"/>
      <c r="B499" s="6"/>
      <c r="C499" s="6"/>
      <c r="D499" s="6"/>
      <c r="E499" s="6"/>
      <c r="F499" s="10"/>
      <c r="G499" s="10"/>
      <c r="H499" s="10"/>
      <c r="I499" s="10"/>
      <c r="J499" s="10"/>
    </row>
    <row r="500" spans="1:10" s="9" customFormat="1" ht="13.2">
      <c r="A500" s="6"/>
      <c r="B500" s="6"/>
      <c r="C500" s="6"/>
      <c r="D500" s="6"/>
      <c r="E500" s="6"/>
      <c r="F500" s="11"/>
      <c r="G500" s="11"/>
      <c r="H500" s="11"/>
      <c r="I500" s="11"/>
      <c r="J500" s="11"/>
    </row>
    <row r="501" spans="1:10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</row>
    <row r="502" spans="1:10" s="9" customFormat="1" ht="13.2">
      <c r="A502" s="6"/>
      <c r="B502" s="6"/>
      <c r="C502" s="6"/>
      <c r="D502" s="6"/>
      <c r="E502" s="6"/>
      <c r="F502" s="7"/>
      <c r="G502" s="7"/>
      <c r="H502" s="7"/>
      <c r="I502" s="7"/>
      <c r="J502" s="7"/>
    </row>
    <row r="503" spans="1:10" s="9" customFormat="1" ht="13.2">
      <c r="A503" s="6"/>
      <c r="B503" s="6"/>
      <c r="C503" s="6"/>
      <c r="D503" s="6"/>
      <c r="E503" s="6"/>
      <c r="F503" s="7"/>
      <c r="G503" s="7"/>
      <c r="H503" s="7"/>
      <c r="I503" s="7"/>
      <c r="J503" s="7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8"/>
      <c r="G506" s="8"/>
      <c r="H506" s="8"/>
      <c r="I506" s="8"/>
      <c r="J506" s="8"/>
    </row>
    <row r="507" spans="1:10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12"/>
      <c r="G514" s="12"/>
      <c r="H514" s="12"/>
      <c r="I514" s="12"/>
      <c r="J514" s="12"/>
    </row>
    <row r="515" spans="1:10" s="9" customFormat="1" ht="13.2">
      <c r="A515" s="6"/>
      <c r="B515" s="6"/>
      <c r="C515" s="6"/>
      <c r="D515" s="6"/>
      <c r="E515" s="6"/>
      <c r="F515" s="11"/>
      <c r="G515" s="11"/>
      <c r="H515" s="11"/>
      <c r="I515" s="11"/>
      <c r="J515" s="11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</row>
    <row r="521" spans="1:10" s="9" customFormat="1" ht="13.2">
      <c r="A521" s="6"/>
      <c r="B521" s="6"/>
      <c r="C521" s="6"/>
      <c r="D521" s="6"/>
      <c r="E521" s="6"/>
      <c r="F521" s="12"/>
      <c r="G521" s="12"/>
      <c r="H521" s="12"/>
      <c r="I521" s="12"/>
      <c r="J521" s="12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</row>
    <row r="524" spans="1:10" s="9" customFormat="1" ht="13.2">
      <c r="A524" s="6"/>
      <c r="B524" s="6"/>
      <c r="C524" s="6"/>
      <c r="D524" s="6"/>
      <c r="E524" s="6"/>
      <c r="F524" s="11"/>
      <c r="G524" s="11"/>
      <c r="H524" s="11"/>
      <c r="I524" s="11"/>
      <c r="J524" s="11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11"/>
      <c r="G528" s="11"/>
      <c r="H528" s="11"/>
      <c r="I528" s="11"/>
      <c r="J528" s="11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10"/>
      <c r="G535" s="10"/>
      <c r="H535" s="10"/>
      <c r="I535" s="10"/>
      <c r="J535" s="10"/>
    </row>
    <row r="536" spans="1:10" s="9" customFormat="1" ht="13.2">
      <c r="A536" s="6"/>
      <c r="B536" s="6"/>
      <c r="C536" s="6"/>
      <c r="D536" s="6"/>
      <c r="E536" s="6"/>
      <c r="F536" s="11"/>
      <c r="G536" s="11"/>
      <c r="H536" s="11"/>
      <c r="I536" s="11"/>
      <c r="J536" s="11"/>
    </row>
    <row r="537" spans="1:10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</row>
    <row r="541" spans="1:10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</row>
    <row r="542" spans="1:10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</row>
    <row r="543" spans="1:10" s="9" customFormat="1" ht="13.2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</row>
    <row r="546" spans="1:10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</row>
    <row r="547" spans="1:10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7"/>
      <c r="G551" s="7"/>
      <c r="H551" s="7"/>
      <c r="I551" s="7"/>
      <c r="J551" s="7"/>
    </row>
    <row r="552" spans="1:10" s="9" customFormat="1" ht="13.2">
      <c r="A552" s="6"/>
      <c r="B552" s="6"/>
      <c r="C552" s="6"/>
      <c r="D552" s="6"/>
      <c r="E552" s="6"/>
      <c r="F552" s="7"/>
      <c r="G552" s="7"/>
      <c r="H552" s="7"/>
      <c r="I552" s="7"/>
      <c r="J552" s="7"/>
    </row>
    <row r="553" spans="1:10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</row>
    <row r="554" spans="1:10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</row>
    <row r="555" spans="1:10" s="9" customFormat="1" ht="13.2">
      <c r="A555" s="6"/>
      <c r="B555" s="6"/>
      <c r="C555" s="6"/>
      <c r="D555" s="6"/>
      <c r="E555" s="6"/>
      <c r="F555" s="7"/>
      <c r="G555" s="7"/>
      <c r="H555" s="7"/>
      <c r="I555" s="7"/>
      <c r="J555" s="7"/>
    </row>
    <row r="556" spans="1:10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7"/>
      <c r="G558" s="7"/>
      <c r="H558" s="7"/>
      <c r="I558" s="7"/>
      <c r="J558" s="7"/>
    </row>
    <row r="559" spans="1:10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</row>
    <row r="560" spans="1:10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</row>
    <row r="567" spans="1:10" s="9" customFormat="1" ht="13.2">
      <c r="A567" s="6"/>
      <c r="B567" s="6"/>
      <c r="C567" s="6"/>
      <c r="D567" s="6"/>
      <c r="E567" s="6"/>
      <c r="F567" s="7"/>
      <c r="G567" s="7"/>
      <c r="H567" s="7"/>
      <c r="I567" s="7"/>
      <c r="J567" s="7"/>
    </row>
    <row r="568" spans="1:10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</row>
    <row r="569" spans="1:10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10"/>
      <c r="G595" s="10"/>
      <c r="H595" s="10"/>
      <c r="I595" s="10"/>
      <c r="J595" s="10"/>
    </row>
    <row r="596" spans="1:10" s="9" customFormat="1" ht="13.2">
      <c r="A596" s="6"/>
      <c r="B596" s="6"/>
      <c r="C596" s="6"/>
      <c r="D596" s="6"/>
      <c r="E596" s="6"/>
      <c r="F596" s="10"/>
      <c r="G596" s="10"/>
      <c r="H596" s="10"/>
      <c r="I596" s="10"/>
      <c r="J596" s="10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</row>
    <row r="599" spans="1:10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</row>
    <row r="600" spans="1:10" s="9" customFormat="1" ht="13.2">
      <c r="A600" s="6"/>
      <c r="B600" s="6"/>
      <c r="C600" s="6"/>
      <c r="D600" s="6"/>
      <c r="E600" s="6"/>
      <c r="F600" s="10"/>
      <c r="G600" s="10"/>
      <c r="H600" s="10"/>
      <c r="I600" s="10"/>
      <c r="J600" s="10"/>
    </row>
    <row r="601" spans="1:10" s="9" customFormat="1" ht="13.2">
      <c r="A601" s="6"/>
      <c r="B601" s="6"/>
      <c r="C601" s="6"/>
      <c r="D601" s="6"/>
      <c r="E601" s="6"/>
      <c r="F601" s="10"/>
      <c r="G601" s="10"/>
      <c r="H601" s="10"/>
      <c r="I601" s="10"/>
      <c r="J601" s="10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</row>
    <row r="604" spans="1:10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12"/>
      <c r="G606" s="12"/>
      <c r="H606" s="12"/>
      <c r="I606" s="12"/>
      <c r="J606" s="12"/>
    </row>
    <row r="607" spans="1:10" s="9" customFormat="1" ht="13.2">
      <c r="A607" s="6"/>
      <c r="B607" s="6"/>
      <c r="C607" s="6"/>
      <c r="D607" s="6"/>
      <c r="E607" s="6"/>
      <c r="F607" s="12"/>
      <c r="G607" s="12"/>
      <c r="H607" s="12"/>
      <c r="I607" s="12"/>
      <c r="J607" s="12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s="9" customForma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</sheetData>
  <mergeCells count="130">
    <mergeCell ref="B3:H3"/>
    <mergeCell ref="K3:L3"/>
    <mergeCell ref="B4:H4"/>
    <mergeCell ref="K4:L4"/>
    <mergeCell ref="K5:L5"/>
    <mergeCell ref="K6:L6"/>
    <mergeCell ref="B5:H5"/>
    <mergeCell ref="B11:F11"/>
    <mergeCell ref="G11:I11"/>
    <mergeCell ref="B7:H7"/>
    <mergeCell ref="B12:F12"/>
    <mergeCell ref="G12:I12"/>
    <mergeCell ref="B13:F13"/>
    <mergeCell ref="G13:I13"/>
    <mergeCell ref="K8:L8"/>
    <mergeCell ref="A9:A10"/>
    <mergeCell ref="B9:F10"/>
    <mergeCell ref="G9:I10"/>
    <mergeCell ref="J9:K9"/>
    <mergeCell ref="L9:L10"/>
    <mergeCell ref="B17:F17"/>
    <mergeCell ref="G17:I17"/>
    <mergeCell ref="B18:F18"/>
    <mergeCell ref="G18:I18"/>
    <mergeCell ref="B19:F19"/>
    <mergeCell ref="G19:I19"/>
    <mergeCell ref="B14:F14"/>
    <mergeCell ref="G14:I14"/>
    <mergeCell ref="B15:F15"/>
    <mergeCell ref="G15:I15"/>
    <mergeCell ref="B16:F16"/>
    <mergeCell ref="G16:I16"/>
    <mergeCell ref="B23:F23"/>
    <mergeCell ref="G23:I23"/>
    <mergeCell ref="B24:F24"/>
    <mergeCell ref="G24:I24"/>
    <mergeCell ref="B25:F25"/>
    <mergeCell ref="G25:I25"/>
    <mergeCell ref="B20:F20"/>
    <mergeCell ref="G20:I20"/>
    <mergeCell ref="B21:F21"/>
    <mergeCell ref="G21:I21"/>
    <mergeCell ref="B22:F22"/>
    <mergeCell ref="G22:I22"/>
    <mergeCell ref="B29:F29"/>
    <mergeCell ref="G29:I29"/>
    <mergeCell ref="B30:F30"/>
    <mergeCell ref="G30:I30"/>
    <mergeCell ref="B31:F31"/>
    <mergeCell ref="B33:F33"/>
    <mergeCell ref="G33:H33"/>
    <mergeCell ref="B26:F26"/>
    <mergeCell ref="G26:I26"/>
    <mergeCell ref="B27:F27"/>
    <mergeCell ref="G27:I27"/>
    <mergeCell ref="B28:F28"/>
    <mergeCell ref="G28:I28"/>
    <mergeCell ref="B37:F37"/>
    <mergeCell ref="G37:H37"/>
    <mergeCell ref="B38:F38"/>
    <mergeCell ref="G38:I38"/>
    <mergeCell ref="A40:F40"/>
    <mergeCell ref="H40:L40"/>
    <mergeCell ref="B34:F34"/>
    <mergeCell ref="G34:H34"/>
    <mergeCell ref="B35:F35"/>
    <mergeCell ref="G35:H35"/>
    <mergeCell ref="B36:F36"/>
    <mergeCell ref="G36:H36"/>
    <mergeCell ref="A44:F44"/>
    <mergeCell ref="H44:L44"/>
    <mergeCell ref="A45:F45"/>
    <mergeCell ref="H45:L45"/>
    <mergeCell ref="A46:F46"/>
    <mergeCell ref="H46:L46"/>
    <mergeCell ref="A41:F41"/>
    <mergeCell ref="H41:L41"/>
    <mergeCell ref="A42:F42"/>
    <mergeCell ref="H42:L42"/>
    <mergeCell ref="A43:F43"/>
    <mergeCell ref="H43:L43"/>
    <mergeCell ref="A50:F50"/>
    <mergeCell ref="H50:L50"/>
    <mergeCell ref="H51:J51"/>
    <mergeCell ref="K51:L51"/>
    <mergeCell ref="A52:F52"/>
    <mergeCell ref="H52:I52"/>
    <mergeCell ref="A47:F47"/>
    <mergeCell ref="H47:L47"/>
    <mergeCell ref="A48:F48"/>
    <mergeCell ref="H48:L48"/>
    <mergeCell ref="A49:F49"/>
    <mergeCell ref="H49:L49"/>
    <mergeCell ref="A56:F56"/>
    <mergeCell ref="H56:I56"/>
    <mergeCell ref="A57:F57"/>
    <mergeCell ref="H57:I57"/>
    <mergeCell ref="A58:F58"/>
    <mergeCell ref="H58:I58"/>
    <mergeCell ref="A53:F53"/>
    <mergeCell ref="H53:I53"/>
    <mergeCell ref="A54:F54"/>
    <mergeCell ref="H54:I54"/>
    <mergeCell ref="A55:F55"/>
    <mergeCell ref="H55:I55"/>
    <mergeCell ref="A72:B72"/>
    <mergeCell ref="D72:F72"/>
    <mergeCell ref="H72:J72"/>
    <mergeCell ref="K72:L72"/>
    <mergeCell ref="A73:B73"/>
    <mergeCell ref="D73:F73"/>
    <mergeCell ref="H73:J73"/>
    <mergeCell ref="J66:K66"/>
    <mergeCell ref="B67:C68"/>
    <mergeCell ref="D67:E68"/>
    <mergeCell ref="F67:G68"/>
    <mergeCell ref="H67:I68"/>
    <mergeCell ref="J67:K68"/>
    <mergeCell ref="A62:F62"/>
    <mergeCell ref="H62:I62"/>
    <mergeCell ref="B66:C66"/>
    <mergeCell ref="D66:E66"/>
    <mergeCell ref="F66:G66"/>
    <mergeCell ref="H66:I66"/>
    <mergeCell ref="A59:F59"/>
    <mergeCell ref="H59:I59"/>
    <mergeCell ref="A60:F60"/>
    <mergeCell ref="H60:I60"/>
    <mergeCell ref="A61:F61"/>
    <mergeCell ref="H61:I61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5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O618"/>
  <sheetViews>
    <sheetView view="pageBreakPreview" zoomScale="55" zoomScaleNormal="100" zoomScaleSheetLayoutView="55" workbookViewId="0">
      <selection activeCell="K5" sqref="K5:L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254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255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256</v>
      </c>
      <c r="L5" s="557"/>
    </row>
    <row r="6" spans="1:15" s="16" customFormat="1" ht="16.5" customHeight="1">
      <c r="A6" s="22" t="s">
        <v>10</v>
      </c>
      <c r="B6" s="556" t="s">
        <v>257</v>
      </c>
      <c r="C6" s="556"/>
      <c r="D6" s="556"/>
      <c r="E6" s="556"/>
      <c r="F6" s="556"/>
      <c r="G6" s="556"/>
      <c r="H6" s="556"/>
      <c r="I6" s="21" t="s">
        <v>8</v>
      </c>
      <c r="J6" s="21"/>
      <c r="K6" s="669" t="s">
        <v>258</v>
      </c>
      <c r="L6" s="669"/>
    </row>
    <row r="7" spans="1:15" s="16" customFormat="1" ht="16.5" customHeight="1">
      <c r="A7" s="22"/>
      <c r="J7" s="59"/>
      <c r="K7" s="62"/>
      <c r="L7" s="62"/>
    </row>
    <row r="8" spans="1:15" ht="16.5" customHeigh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555"/>
      <c r="L8" s="555"/>
    </row>
    <row r="9" spans="1:15" s="2" customFormat="1" ht="16.5" customHeight="1">
      <c r="A9" s="552" t="s">
        <v>13</v>
      </c>
      <c r="B9" s="552" t="s">
        <v>14</v>
      </c>
      <c r="C9" s="552"/>
      <c r="D9" s="552"/>
      <c r="E9" s="552"/>
      <c r="F9" s="552"/>
      <c r="G9" s="552" t="s">
        <v>15</v>
      </c>
      <c r="H9" s="552"/>
      <c r="I9" s="552"/>
      <c r="J9" s="553" t="s">
        <v>16</v>
      </c>
      <c r="K9" s="553"/>
      <c r="L9" s="552" t="s">
        <v>17</v>
      </c>
    </row>
    <row r="10" spans="1:15" s="2" customFormat="1" ht="16.5" customHeight="1">
      <c r="A10" s="552"/>
      <c r="B10" s="552"/>
      <c r="C10" s="552"/>
      <c r="D10" s="552"/>
      <c r="E10" s="552"/>
      <c r="F10" s="552"/>
      <c r="G10" s="552"/>
      <c r="H10" s="552"/>
      <c r="I10" s="552"/>
      <c r="J10" s="60" t="s">
        <v>18</v>
      </c>
      <c r="K10" s="20" t="s">
        <v>19</v>
      </c>
      <c r="L10" s="552"/>
    </row>
    <row r="11" spans="1:15" s="18" customFormat="1" ht="16.5" customHeight="1">
      <c r="A11" s="79"/>
      <c r="B11" s="558"/>
      <c r="C11" s="558"/>
      <c r="D11" s="558"/>
      <c r="E11" s="558"/>
      <c r="F11" s="558"/>
      <c r="G11" s="559"/>
      <c r="H11" s="559"/>
      <c r="I11" s="559"/>
      <c r="J11" s="216"/>
      <c r="K11" s="53"/>
      <c r="L11" s="55"/>
    </row>
    <row r="12" spans="1:15" s="18" customFormat="1" ht="16.5" customHeight="1">
      <c r="A12" s="215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/>
      <c r="B13" s="558"/>
      <c r="C13" s="558"/>
      <c r="D13" s="558"/>
      <c r="E13" s="558"/>
      <c r="F13" s="558"/>
      <c r="G13" s="559"/>
      <c r="H13" s="559"/>
      <c r="I13" s="559"/>
      <c r="J13" s="216"/>
      <c r="K13" s="53"/>
      <c r="L13" s="55"/>
      <c r="N13" s="18">
        <f>8*9</f>
        <v>72</v>
      </c>
    </row>
    <row r="14" spans="1:15" s="18" customFormat="1" ht="16.5" customHeight="1">
      <c r="A14" s="215"/>
      <c r="B14" s="558"/>
      <c r="C14" s="558"/>
      <c r="D14" s="558"/>
      <c r="E14" s="558"/>
      <c r="F14" s="558"/>
      <c r="G14" s="559"/>
      <c r="H14" s="559"/>
      <c r="I14" s="559"/>
      <c r="J14" s="216"/>
      <c r="K14" s="53"/>
      <c r="L14" s="55"/>
      <c r="N14" s="18">
        <f>75*1.5</f>
        <v>112.5</v>
      </c>
      <c r="O14" s="18">
        <f>102/1.5</f>
        <v>68</v>
      </c>
    </row>
    <row r="15" spans="1:15" s="18" customFormat="1" ht="16.5" customHeight="1">
      <c r="A15" s="215"/>
      <c r="B15" s="558"/>
      <c r="C15" s="558"/>
      <c r="D15" s="558"/>
      <c r="E15" s="558"/>
      <c r="F15" s="558"/>
      <c r="G15" s="559"/>
      <c r="H15" s="559"/>
      <c r="I15" s="559"/>
      <c r="J15" s="53"/>
      <c r="K15" s="53"/>
      <c r="L15" s="55"/>
      <c r="N15" s="18">
        <v>3</v>
      </c>
    </row>
    <row r="16" spans="1:15" s="18" customFormat="1" ht="16.5" customHeight="1">
      <c r="A16" s="54"/>
      <c r="B16" s="558"/>
      <c r="C16" s="558"/>
      <c r="D16" s="558"/>
      <c r="E16" s="558"/>
      <c r="F16" s="558"/>
      <c r="G16" s="559"/>
      <c r="H16" s="559"/>
      <c r="I16" s="559"/>
      <c r="J16" s="53"/>
      <c r="K16" s="53"/>
      <c r="L16" s="55"/>
      <c r="N16" s="18">
        <f>N14*3</f>
        <v>337.5</v>
      </c>
    </row>
    <row r="17" spans="1:12" s="18" customFormat="1" ht="16.5" customHeight="1">
      <c r="A17" s="54"/>
      <c r="B17" s="562"/>
      <c r="C17" s="562"/>
      <c r="D17" s="562"/>
      <c r="E17" s="562"/>
      <c r="F17" s="562"/>
      <c r="G17" s="559"/>
      <c r="H17" s="559"/>
      <c r="I17" s="559"/>
      <c r="J17" s="53"/>
      <c r="K17" s="53"/>
      <c r="L17" s="55"/>
    </row>
    <row r="18" spans="1:12" s="18" customFormat="1" ht="16.5" customHeight="1">
      <c r="A18" s="54"/>
      <c r="B18" s="562"/>
      <c r="C18" s="562"/>
      <c r="D18" s="562"/>
      <c r="E18" s="562"/>
      <c r="F18" s="562"/>
      <c r="G18" s="559"/>
      <c r="H18" s="559"/>
      <c r="I18" s="559"/>
      <c r="J18" s="53"/>
      <c r="K18" s="53"/>
      <c r="L18" s="55"/>
    </row>
    <row r="19" spans="1:12" s="18" customFormat="1" ht="16.5" customHeight="1">
      <c r="A19" s="61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2" s="18" customFormat="1" ht="16.5" customHeight="1">
      <c r="A20" s="61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2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2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2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2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2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2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2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2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2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2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2" s="18" customFormat="1" ht="16.5" customHeight="1">
      <c r="A31" s="66"/>
      <c r="B31" s="566"/>
      <c r="C31" s="566"/>
      <c r="D31" s="566"/>
      <c r="E31" s="566"/>
      <c r="F31" s="566"/>
      <c r="G31" s="66"/>
      <c r="H31" s="41"/>
      <c r="I31" s="41"/>
      <c r="J31" s="42"/>
      <c r="K31" s="43"/>
      <c r="L31" s="3"/>
    </row>
    <row r="32" spans="1:12" s="18" customFormat="1" ht="16.5" customHeight="1">
      <c r="A32" s="26" t="s">
        <v>23</v>
      </c>
      <c r="B32" s="67"/>
      <c r="C32" s="67"/>
      <c r="D32" s="67"/>
      <c r="E32" s="67"/>
      <c r="F32" s="17"/>
      <c r="G32" s="17"/>
      <c r="H32" s="17"/>
      <c r="I32" s="17"/>
      <c r="J32" s="17"/>
      <c r="K32" s="3"/>
      <c r="L32" s="3"/>
    </row>
    <row r="33" spans="1:12" s="25" customFormat="1" ht="16.5" customHeight="1">
      <c r="A33" s="19" t="s">
        <v>13</v>
      </c>
      <c r="B33" s="567" t="s">
        <v>14</v>
      </c>
      <c r="C33" s="567"/>
      <c r="D33" s="567"/>
      <c r="E33" s="567"/>
      <c r="F33" s="567"/>
      <c r="G33" s="568" t="s">
        <v>24</v>
      </c>
      <c r="H33" s="568"/>
      <c r="I33" s="63" t="s">
        <v>17</v>
      </c>
      <c r="J33" s="60" t="s">
        <v>25</v>
      </c>
      <c r="K33" s="60" t="s">
        <v>26</v>
      </c>
      <c r="L33" s="60" t="s">
        <v>27</v>
      </c>
    </row>
    <row r="34" spans="1:12" s="18" customFormat="1" ht="16.5" customHeight="1">
      <c r="A34" s="317"/>
      <c r="B34" s="563"/>
      <c r="C34" s="563"/>
      <c r="D34" s="563"/>
      <c r="E34" s="563"/>
      <c r="F34" s="563"/>
      <c r="G34" s="564"/>
      <c r="H34" s="564"/>
      <c r="I34" s="64"/>
      <c r="J34" s="64"/>
      <c r="K34" s="55"/>
      <c r="L34" s="55"/>
    </row>
    <row r="35" spans="1:12" s="52" customFormat="1" ht="16.5" customHeight="1">
      <c r="A35" s="79"/>
      <c r="B35" s="563"/>
      <c r="C35" s="563"/>
      <c r="D35" s="563"/>
      <c r="E35" s="563"/>
      <c r="F35" s="563"/>
      <c r="G35" s="564"/>
      <c r="H35" s="564"/>
      <c r="I35" s="64"/>
      <c r="J35" s="64"/>
      <c r="K35" s="55"/>
      <c r="L35" s="55"/>
    </row>
    <row r="36" spans="1:12" s="52" customFormat="1" ht="16.5" customHeight="1">
      <c r="A36" s="79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79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32"/>
      <c r="B38" s="565"/>
      <c r="C38" s="565"/>
      <c r="D38" s="565"/>
      <c r="E38" s="565"/>
      <c r="F38" s="565"/>
      <c r="G38" s="565"/>
      <c r="H38" s="565"/>
      <c r="I38" s="565"/>
      <c r="J38" s="17"/>
      <c r="K38" s="3"/>
      <c r="L38" s="3"/>
    </row>
    <row r="39" spans="1:12" s="51" customFormat="1" ht="16.5" customHeight="1">
      <c r="A39" s="34" t="s">
        <v>28</v>
      </c>
      <c r="B39" s="34"/>
      <c r="C39" s="34"/>
      <c r="D39" s="34"/>
      <c r="E39" s="34"/>
      <c r="F39" s="17"/>
      <c r="G39" s="38"/>
      <c r="H39" s="36" t="s">
        <v>29</v>
      </c>
      <c r="I39" s="34"/>
      <c r="J39" s="34"/>
      <c r="K39" s="34"/>
      <c r="L39" s="34"/>
    </row>
    <row r="40" spans="1:12" s="51" customFormat="1" ht="16.5" customHeight="1">
      <c r="A40" s="569"/>
      <c r="B40" s="569"/>
      <c r="C40" s="569"/>
      <c r="D40" s="569"/>
      <c r="E40" s="569"/>
      <c r="F40" s="569"/>
      <c r="G40" s="56"/>
      <c r="H40" s="569"/>
      <c r="I40" s="569"/>
      <c r="J40" s="569"/>
      <c r="K40" s="569"/>
      <c r="L40" s="569"/>
    </row>
    <row r="41" spans="1:12" s="51" customFormat="1" ht="16.5" customHeight="1">
      <c r="A41" s="571"/>
      <c r="B41" s="571"/>
      <c r="C41" s="571"/>
      <c r="D41" s="571"/>
      <c r="E41" s="571"/>
      <c r="F41" s="571"/>
      <c r="G41" s="56"/>
      <c r="H41" s="569"/>
      <c r="I41" s="569"/>
      <c r="J41" s="569"/>
      <c r="K41" s="569"/>
      <c r="L41" s="569"/>
    </row>
    <row r="42" spans="1:12" s="51" customFormat="1" ht="16.5" customHeight="1">
      <c r="A42" s="571"/>
      <c r="B42" s="571"/>
      <c r="C42" s="571"/>
      <c r="D42" s="571"/>
      <c r="E42" s="571"/>
      <c r="F42" s="571"/>
      <c r="G42" s="57"/>
      <c r="H42" s="569"/>
      <c r="I42" s="569"/>
      <c r="J42" s="569"/>
      <c r="K42" s="569"/>
      <c r="L42" s="569"/>
    </row>
    <row r="43" spans="1:12" s="51" customFormat="1" ht="16.5" customHeight="1">
      <c r="A43" s="569"/>
      <c r="B43" s="569"/>
      <c r="C43" s="569"/>
      <c r="D43" s="569"/>
      <c r="E43" s="569"/>
      <c r="F43" s="569"/>
      <c r="G43" s="57"/>
      <c r="H43" s="569"/>
      <c r="I43" s="569"/>
      <c r="J43" s="569"/>
      <c r="K43" s="569"/>
      <c r="L43" s="569"/>
    </row>
    <row r="44" spans="1:12" s="51" customFormat="1" ht="16.5" customHeight="1">
      <c r="A44" s="570"/>
      <c r="B44" s="570"/>
      <c r="C44" s="570"/>
      <c r="D44" s="570"/>
      <c r="E44" s="570"/>
      <c r="F44" s="570"/>
      <c r="G44" s="39"/>
      <c r="H44" s="569"/>
      <c r="I44" s="569"/>
      <c r="J44" s="569"/>
      <c r="K44" s="569"/>
      <c r="L44" s="569"/>
    </row>
    <row r="45" spans="1:12" s="3" customFormat="1" ht="16.5" customHeight="1">
      <c r="A45" s="571"/>
      <c r="B45" s="571"/>
      <c r="C45" s="571"/>
      <c r="D45" s="571"/>
      <c r="E45" s="571"/>
      <c r="F45" s="571"/>
      <c r="G45" s="56"/>
      <c r="H45" s="569"/>
      <c r="I45" s="569"/>
      <c r="J45" s="569"/>
      <c r="K45" s="569"/>
      <c r="L45" s="569"/>
    </row>
    <row r="46" spans="1:12" s="3" customFormat="1" ht="16.5" customHeight="1">
      <c r="A46" s="571"/>
      <c r="B46" s="571"/>
      <c r="C46" s="571"/>
      <c r="D46" s="571"/>
      <c r="E46" s="571"/>
      <c r="F46" s="571"/>
      <c r="G46" s="57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6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7"/>
      <c r="H49" s="569"/>
      <c r="I49" s="569"/>
      <c r="J49" s="569"/>
      <c r="K49" s="569"/>
      <c r="L49" s="569"/>
    </row>
    <row r="50" spans="1:12" s="3" customFormat="1" ht="16.5" customHeight="1">
      <c r="A50" s="572"/>
      <c r="B50" s="572"/>
      <c r="C50" s="572"/>
      <c r="D50" s="572"/>
      <c r="E50" s="572"/>
      <c r="F50" s="572"/>
      <c r="G50" s="57"/>
      <c r="H50" s="572"/>
      <c r="I50" s="572"/>
      <c r="J50" s="572"/>
      <c r="K50" s="572"/>
      <c r="L50" s="572"/>
    </row>
    <row r="51" spans="1:12" s="3" customFormat="1" ht="16.5" customHeight="1">
      <c r="A51" s="70" t="s">
        <v>34</v>
      </c>
      <c r="B51" s="5"/>
      <c r="C51" s="4"/>
      <c r="H51" s="573" t="s">
        <v>35</v>
      </c>
      <c r="I51" s="573"/>
      <c r="J51" s="573"/>
      <c r="K51" s="573" t="s">
        <v>36</v>
      </c>
      <c r="L51" s="573"/>
    </row>
    <row r="52" spans="1:12" s="3" customFormat="1" ht="16.5" customHeight="1">
      <c r="A52" s="576"/>
      <c r="B52" s="576"/>
      <c r="C52" s="576"/>
      <c r="D52" s="576"/>
      <c r="E52" s="576"/>
      <c r="F52" s="576"/>
      <c r="G52" s="71"/>
      <c r="H52" s="577" t="s">
        <v>14</v>
      </c>
      <c r="I52" s="577"/>
      <c r="J52" s="74" t="s">
        <v>24</v>
      </c>
      <c r="K52" s="74" t="s">
        <v>14</v>
      </c>
      <c r="L52" s="74" t="s">
        <v>24</v>
      </c>
    </row>
    <row r="53" spans="1:12" s="3" customFormat="1" ht="16.5" customHeight="1">
      <c r="A53" s="574"/>
      <c r="B53" s="574"/>
      <c r="C53" s="574"/>
      <c r="D53" s="574"/>
      <c r="E53" s="574"/>
      <c r="F53" s="574"/>
      <c r="G53" s="72"/>
      <c r="H53" s="575"/>
      <c r="I53" s="575"/>
      <c r="J53" s="55"/>
      <c r="K53" s="76"/>
      <c r="L53" s="55"/>
    </row>
    <row r="54" spans="1:12" s="3" customFormat="1" ht="16.5" customHeight="1">
      <c r="A54" s="574"/>
      <c r="B54" s="574"/>
      <c r="C54" s="574"/>
      <c r="D54" s="574"/>
      <c r="E54" s="574"/>
      <c r="F54" s="574"/>
      <c r="G54" s="72"/>
      <c r="H54" s="575"/>
      <c r="I54" s="575"/>
      <c r="J54" s="55"/>
      <c r="K54" s="76"/>
      <c r="L54" s="55"/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/>
      <c r="I55" s="575"/>
      <c r="J55" s="55"/>
      <c r="K55" s="76"/>
      <c r="L55" s="55"/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/>
      <c r="I56" s="575"/>
      <c r="J56" s="55"/>
      <c r="K56" s="76"/>
      <c r="L56" s="55"/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/>
      <c r="I57" s="575"/>
      <c r="J57" s="55"/>
      <c r="K57" s="77"/>
      <c r="L57" s="55"/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/>
      <c r="I58" s="575"/>
      <c r="J58" s="73"/>
      <c r="L58" s="73"/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73"/>
      <c r="K59" s="77"/>
      <c r="L59" s="73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K60" s="77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45"/>
      <c r="B63" s="46"/>
      <c r="C63" s="46"/>
      <c r="D63" s="46"/>
      <c r="E63" s="44"/>
      <c r="F63" s="46"/>
      <c r="G63" s="46"/>
      <c r="H63" s="46"/>
      <c r="I63" s="46"/>
      <c r="J63" s="46"/>
      <c r="K63" s="47"/>
      <c r="L63" s="46"/>
    </row>
    <row r="64" spans="1:12" s="3" customFormat="1" ht="16.5" customHeight="1">
      <c r="A64" s="45" t="s">
        <v>45</v>
      </c>
      <c r="B64" s="46"/>
      <c r="C64" s="46"/>
      <c r="D64" s="46"/>
      <c r="E64" s="44"/>
      <c r="F64" s="46"/>
      <c r="G64" s="46"/>
      <c r="H64" s="46"/>
      <c r="I64" s="46"/>
      <c r="J64" s="46"/>
      <c r="K64" s="47"/>
      <c r="L64" s="46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8"/>
      <c r="J65" s="48"/>
      <c r="K65" s="47"/>
      <c r="L65" s="46"/>
    </row>
    <row r="66" spans="1:14" s="3" customFormat="1" ht="31.5" customHeight="1">
      <c r="A66" s="46" t="s">
        <v>46</v>
      </c>
      <c r="B66" s="578" t="s">
        <v>47</v>
      </c>
      <c r="C66" s="579"/>
      <c r="D66" s="578" t="s">
        <v>48</v>
      </c>
      <c r="E66" s="579"/>
      <c r="F66" s="578" t="s">
        <v>49</v>
      </c>
      <c r="G66" s="579"/>
      <c r="H66" s="578" t="s">
        <v>50</v>
      </c>
      <c r="I66" s="579"/>
      <c r="J66" s="578" t="s">
        <v>51</v>
      </c>
      <c r="K66" s="579"/>
      <c r="L66" s="49"/>
    </row>
    <row r="67" spans="1:14" s="3" customFormat="1" ht="16.5" customHeight="1">
      <c r="A67" s="50"/>
      <c r="B67" s="583"/>
      <c r="C67" s="584"/>
      <c r="D67" s="587"/>
      <c r="E67" s="588"/>
      <c r="F67" s="665"/>
      <c r="G67" s="666"/>
      <c r="H67" s="665"/>
      <c r="I67" s="666"/>
      <c r="J67" s="587"/>
      <c r="K67" s="588"/>
      <c r="L67" s="49"/>
    </row>
    <row r="68" spans="1:14" s="22" customFormat="1" ht="16.5" customHeight="1">
      <c r="A68" s="50"/>
      <c r="B68" s="585"/>
      <c r="C68" s="586"/>
      <c r="D68" s="589"/>
      <c r="E68" s="590"/>
      <c r="F68" s="667"/>
      <c r="G68" s="668"/>
      <c r="H68" s="667"/>
      <c r="I68" s="668"/>
      <c r="J68" s="589"/>
      <c r="K68" s="590"/>
      <c r="L68" s="49"/>
    </row>
    <row r="69" spans="1:14" s="22" customFormat="1" ht="16.5" customHeight="1">
      <c r="A69" s="35"/>
      <c r="B69" s="27"/>
      <c r="C69" s="27"/>
      <c r="D69" s="27"/>
      <c r="E69" s="35"/>
      <c r="F69" s="58"/>
      <c r="G69" s="58"/>
      <c r="H69" s="58"/>
      <c r="I69" s="58"/>
      <c r="J69" s="68"/>
      <c r="K69" s="68"/>
      <c r="L69" s="3"/>
    </row>
    <row r="70" spans="1:14" s="22" customFormat="1" ht="16.5" customHeight="1">
      <c r="A70" s="35" t="s">
        <v>53</v>
      </c>
      <c r="B70" s="27"/>
      <c r="C70" s="27"/>
      <c r="D70" s="35" t="s">
        <v>54</v>
      </c>
      <c r="F70" s="58"/>
      <c r="H70" s="35" t="s">
        <v>250</v>
      </c>
      <c r="I70" s="58"/>
      <c r="K70" s="68" t="s">
        <v>55</v>
      </c>
      <c r="L70" s="3"/>
    </row>
    <row r="71" spans="1:14" s="22" customFormat="1" ht="16.5" customHeight="1">
      <c r="A71" s="29"/>
      <c r="B71" s="29"/>
      <c r="C71" s="29"/>
      <c r="D71" s="29"/>
      <c r="E71" s="29"/>
      <c r="F71" s="29"/>
      <c r="H71" s="29"/>
      <c r="I71" s="29"/>
      <c r="J71" s="3"/>
      <c r="K71" s="3"/>
      <c r="L71" s="3"/>
    </row>
    <row r="72" spans="1:14" s="22" customFormat="1" ht="16.5" customHeight="1">
      <c r="A72" s="659" t="s">
        <v>251</v>
      </c>
      <c r="B72" s="659"/>
      <c r="C72" s="318"/>
      <c r="D72" s="660" t="s">
        <v>57</v>
      </c>
      <c r="E72" s="660"/>
      <c r="F72" s="660"/>
      <c r="H72" s="661" t="s">
        <v>247</v>
      </c>
      <c r="I72" s="661"/>
      <c r="J72" s="661"/>
      <c r="K72" s="662" t="s">
        <v>251</v>
      </c>
      <c r="L72" s="662"/>
      <c r="N72" s="218" t="e">
        <f>#REF!+1.27</f>
        <v>#REF!</v>
      </c>
    </row>
    <row r="73" spans="1:14" s="3" customFormat="1" ht="16.5" customHeight="1">
      <c r="A73" s="663" t="s">
        <v>59</v>
      </c>
      <c r="B73" s="663"/>
      <c r="C73" s="319"/>
      <c r="D73" s="664" t="s">
        <v>60</v>
      </c>
      <c r="E73" s="664"/>
      <c r="F73" s="664"/>
      <c r="H73" s="663" t="s">
        <v>252</v>
      </c>
      <c r="I73" s="663"/>
      <c r="J73" s="663"/>
      <c r="K73" s="320" t="s">
        <v>253</v>
      </c>
      <c r="L73" s="320"/>
    </row>
    <row r="74" spans="1:14" s="3" customFormat="1" ht="16.5" customHeight="1">
      <c r="A74" s="37"/>
      <c r="B74" s="27"/>
      <c r="C74" s="27"/>
      <c r="D74" s="27"/>
      <c r="E74" s="27"/>
      <c r="F74" s="29"/>
      <c r="G74" s="29"/>
      <c r="H74" s="29"/>
      <c r="I74" s="29"/>
      <c r="J74" s="29"/>
    </row>
    <row r="75" spans="1:14" s="3" customFormat="1" ht="16.5" customHeight="1">
      <c r="A75" s="37"/>
      <c r="B75" s="27"/>
      <c r="C75" s="27"/>
      <c r="D75" s="27"/>
      <c r="E75" s="27"/>
      <c r="F75" s="29"/>
      <c r="G75" s="29"/>
      <c r="H75" s="29"/>
      <c r="I75" s="29"/>
      <c r="J75" s="29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  <c r="N76" s="3">
        <f>84.35+1.27</f>
        <v>85.61999999999999</v>
      </c>
    </row>
    <row r="77" spans="1:14" s="3" customFormat="1" ht="16.5" customHeight="1">
      <c r="A77" s="37"/>
      <c r="B77" s="27"/>
      <c r="C77" s="27"/>
      <c r="D77" s="27"/>
      <c r="E77" s="27"/>
      <c r="F77" s="30"/>
      <c r="G77" s="30"/>
      <c r="H77" s="30"/>
      <c r="I77" s="30"/>
      <c r="J77" s="30"/>
    </row>
    <row r="78" spans="1:14" s="3" customFormat="1" ht="16.5" customHeight="1">
      <c r="A78" s="37"/>
      <c r="B78" s="27"/>
      <c r="C78" s="27"/>
      <c r="D78" s="27"/>
      <c r="E78" s="27"/>
      <c r="F78" s="30"/>
      <c r="G78" s="30"/>
      <c r="H78" s="30"/>
      <c r="I78" s="30"/>
      <c r="J78" s="30"/>
    </row>
    <row r="79" spans="1:14" s="3" customFormat="1" ht="15" customHeight="1">
      <c r="A79" s="27"/>
      <c r="B79" s="27"/>
      <c r="C79" s="27"/>
      <c r="D79" s="27"/>
      <c r="E79" s="27"/>
      <c r="F79" s="29"/>
      <c r="G79" s="29"/>
      <c r="H79" s="29"/>
      <c r="I79" s="29"/>
      <c r="J79" s="29"/>
    </row>
    <row r="80" spans="1:14" s="3" customFormat="1" ht="15" customHeight="1">
      <c r="A80" s="27"/>
      <c r="B80" s="27"/>
      <c r="C80" s="27"/>
      <c r="D80" s="27"/>
      <c r="E80" s="27"/>
      <c r="F80" s="28"/>
      <c r="G80" s="28"/>
      <c r="H80" s="28"/>
      <c r="I80" s="28"/>
      <c r="J80" s="28"/>
    </row>
    <row r="81" spans="1:10" s="3" customFormat="1" ht="15" customHeight="1">
      <c r="A81" s="27"/>
      <c r="B81" s="27"/>
      <c r="C81" s="27"/>
      <c r="D81" s="27"/>
      <c r="E81" s="27"/>
      <c r="F81" s="30"/>
      <c r="G81" s="30"/>
      <c r="H81" s="30"/>
      <c r="I81" s="30"/>
      <c r="J81" s="30"/>
    </row>
    <row r="82" spans="1:10" s="3" customFormat="1" ht="15" customHeight="1">
      <c r="A82" s="27"/>
      <c r="B82" s="27"/>
      <c r="C82" s="27"/>
      <c r="D82" s="27"/>
      <c r="E82" s="27"/>
      <c r="F82" s="29"/>
      <c r="G82" s="29"/>
      <c r="H82" s="29"/>
      <c r="I82" s="29"/>
      <c r="J82" s="29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7.399999999999999">
      <c r="A84" s="27"/>
      <c r="B84" s="27"/>
      <c r="C84" s="27"/>
      <c r="D84" s="27"/>
      <c r="E84" s="27"/>
      <c r="F84" s="30"/>
      <c r="G84" s="30"/>
      <c r="H84" s="30"/>
      <c r="I84" s="30"/>
      <c r="J84" s="30"/>
    </row>
    <row r="85" spans="1:10" s="3" customFormat="1" ht="21.9" customHeight="1">
      <c r="A85" s="27"/>
      <c r="B85" s="27"/>
      <c r="C85" s="27"/>
      <c r="D85" s="27"/>
      <c r="E85" s="27"/>
      <c r="F85" s="29"/>
      <c r="G85" s="29"/>
      <c r="H85" s="29"/>
      <c r="I85" s="29"/>
      <c r="J85" s="29"/>
    </row>
    <row r="86" spans="1:10" s="3" customFormat="1" ht="21.9" customHeight="1">
      <c r="A86" s="27"/>
      <c r="B86" s="27"/>
      <c r="C86" s="27"/>
      <c r="D86" s="27"/>
      <c r="E86" s="27"/>
      <c r="F86" s="29"/>
      <c r="G86" s="29"/>
      <c r="H86" s="29"/>
      <c r="I86" s="29"/>
      <c r="J86" s="29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30"/>
      <c r="G92" s="30"/>
      <c r="H92" s="30"/>
      <c r="I92" s="30"/>
      <c r="J92" s="30"/>
    </row>
    <row r="93" spans="1:10" s="3" customFormat="1" ht="21.9" customHeight="1">
      <c r="A93" s="27"/>
      <c r="B93" s="27"/>
      <c r="C93" s="27"/>
      <c r="D93" s="27"/>
      <c r="E93" s="27"/>
      <c r="F93" s="30"/>
      <c r="G93" s="30"/>
      <c r="H93" s="30"/>
      <c r="I93" s="30"/>
      <c r="J93" s="30"/>
    </row>
    <row r="94" spans="1:10" s="3" customFormat="1" ht="21.9" customHeight="1">
      <c r="A94" s="27"/>
      <c r="B94" s="27"/>
      <c r="C94" s="27"/>
      <c r="D94" s="27"/>
      <c r="E94" s="27"/>
      <c r="F94" s="29"/>
      <c r="G94" s="29"/>
      <c r="H94" s="29"/>
      <c r="I94" s="29"/>
      <c r="J94" s="29"/>
    </row>
    <row r="95" spans="1:10" s="3" customFormat="1" ht="21.9" customHeight="1">
      <c r="A95" s="27"/>
      <c r="B95" s="27"/>
      <c r="C95" s="27"/>
      <c r="D95" s="27"/>
      <c r="E95" s="27"/>
      <c r="F95" s="29"/>
      <c r="G95" s="29"/>
      <c r="H95" s="29"/>
      <c r="I95" s="29"/>
      <c r="J95" s="29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4"/>
      <c r="G121" s="4"/>
      <c r="H121" s="4"/>
      <c r="I121" s="4"/>
      <c r="J121" s="4"/>
    </row>
    <row r="122" spans="1:10" s="3" customFormat="1" ht="21.9" customHeight="1">
      <c r="A122" s="27"/>
      <c r="B122" s="27"/>
      <c r="C122" s="27"/>
      <c r="D122" s="27"/>
      <c r="E122" s="27"/>
      <c r="F122" s="4"/>
      <c r="G122" s="4"/>
      <c r="H122" s="4"/>
      <c r="I122" s="4"/>
      <c r="J122" s="4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29"/>
      <c r="G124" s="29"/>
      <c r="H124" s="29"/>
      <c r="I124" s="29"/>
      <c r="J124" s="29"/>
    </row>
    <row r="125" spans="1:10" s="3" customFormat="1" ht="21.9" customHeight="1">
      <c r="A125" s="27"/>
      <c r="B125" s="27"/>
      <c r="C125" s="27"/>
      <c r="D125" s="27"/>
      <c r="E125" s="27"/>
      <c r="F125" s="29"/>
      <c r="G125" s="29"/>
      <c r="H125" s="29"/>
      <c r="I125" s="29"/>
      <c r="J125" s="29"/>
    </row>
    <row r="126" spans="1:10" s="3" customFormat="1" ht="21.9" customHeight="1">
      <c r="A126" s="27"/>
      <c r="B126" s="27"/>
      <c r="C126" s="27"/>
      <c r="D126" s="27"/>
      <c r="E126" s="27"/>
      <c r="F126" s="4"/>
      <c r="G126" s="4"/>
      <c r="H126" s="4"/>
      <c r="I126" s="4"/>
      <c r="J126" s="4"/>
    </row>
    <row r="127" spans="1:10" s="3" customFormat="1" ht="21.9" customHeight="1">
      <c r="A127" s="27"/>
      <c r="B127" s="27"/>
      <c r="C127" s="27"/>
      <c r="D127" s="27"/>
      <c r="E127" s="27"/>
      <c r="F127" s="4"/>
      <c r="G127" s="4"/>
      <c r="H127" s="4"/>
      <c r="I127" s="4"/>
      <c r="J127" s="4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29"/>
      <c r="G129" s="29"/>
      <c r="H129" s="29"/>
      <c r="I129" s="29"/>
      <c r="J129" s="29"/>
    </row>
    <row r="130" spans="1:10" s="3" customFormat="1" ht="21.9" customHeight="1">
      <c r="A130" s="27"/>
      <c r="B130" s="27"/>
      <c r="C130" s="27"/>
      <c r="D130" s="27"/>
      <c r="E130" s="27"/>
      <c r="F130" s="29"/>
      <c r="G130" s="29"/>
      <c r="H130" s="29"/>
      <c r="I130" s="29"/>
      <c r="J130" s="29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31"/>
      <c r="G132" s="31"/>
      <c r="H132" s="31"/>
      <c r="I132" s="31"/>
      <c r="J132" s="31"/>
    </row>
    <row r="133" spans="1:10" s="3" customFormat="1" ht="21.9" customHeight="1">
      <c r="A133" s="32"/>
      <c r="B133" s="32"/>
      <c r="C133" s="32"/>
      <c r="D133" s="32"/>
      <c r="E133" s="32"/>
      <c r="F133" s="31"/>
      <c r="G133" s="31"/>
      <c r="H133" s="31"/>
      <c r="I133" s="31"/>
      <c r="J133" s="31"/>
    </row>
    <row r="134" spans="1:10" s="3" customFormat="1" ht="21.9" customHeight="1">
      <c r="A134" s="32"/>
      <c r="B134" s="32"/>
      <c r="C134" s="32"/>
      <c r="D134" s="32"/>
      <c r="E134" s="32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28"/>
      <c r="G141" s="28"/>
      <c r="H141" s="28"/>
      <c r="I141" s="28"/>
      <c r="J141" s="28"/>
    </row>
    <row r="142" spans="1:10" s="3" customFormat="1" ht="21.9" customHeight="1">
      <c r="A142" s="32"/>
      <c r="B142" s="32"/>
      <c r="C142" s="32"/>
      <c r="D142" s="32"/>
      <c r="E142" s="32"/>
      <c r="F142" s="28"/>
      <c r="G142" s="28"/>
      <c r="H142" s="28"/>
      <c r="I142" s="28"/>
      <c r="J142" s="28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31"/>
      <c r="G145" s="31"/>
      <c r="H145" s="31"/>
      <c r="I145" s="31"/>
      <c r="J145" s="31"/>
    </row>
    <row r="146" spans="1:12" s="3" customFormat="1" ht="21.9" customHeight="1">
      <c r="A146" s="32"/>
      <c r="B146" s="32"/>
      <c r="C146" s="32"/>
      <c r="D146" s="32"/>
      <c r="E146" s="32"/>
      <c r="F146" s="31"/>
      <c r="G146" s="31"/>
      <c r="H146" s="31"/>
      <c r="I146" s="31"/>
      <c r="J146" s="31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29"/>
      <c r="G148" s="29"/>
      <c r="H148" s="29"/>
      <c r="I148" s="29"/>
      <c r="J148" s="29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31"/>
      <c r="G150" s="31"/>
      <c r="H150" s="31"/>
      <c r="I150" s="31"/>
      <c r="J150" s="31"/>
    </row>
    <row r="151" spans="1:12" s="3" customFormat="1" ht="21.9" customHeight="1">
      <c r="A151" s="32"/>
      <c r="B151" s="32"/>
      <c r="C151" s="32"/>
      <c r="D151" s="32"/>
      <c r="E151" s="32"/>
      <c r="F151" s="33"/>
      <c r="G151" s="33"/>
      <c r="H151" s="33"/>
      <c r="I151" s="33"/>
      <c r="J151" s="33"/>
    </row>
    <row r="152" spans="1:12" s="3" customFormat="1" ht="21.9" customHeight="1">
      <c r="A152" s="32"/>
      <c r="B152" s="32"/>
      <c r="C152" s="32"/>
      <c r="D152" s="32"/>
      <c r="E152" s="32"/>
      <c r="F152" s="33"/>
      <c r="G152" s="33"/>
      <c r="H152" s="33"/>
      <c r="I152" s="33"/>
      <c r="J152" s="33"/>
    </row>
    <row r="153" spans="1:12" s="3" customFormat="1" ht="21.9" customHeight="1">
      <c r="A153" s="13"/>
      <c r="B153" s="13"/>
      <c r="C153" s="13"/>
      <c r="D153" s="13"/>
      <c r="E153" s="13"/>
      <c r="F153" s="14"/>
      <c r="G153" s="14"/>
      <c r="H153" s="14"/>
      <c r="I153" s="14"/>
      <c r="J153" s="14"/>
      <c r="K153" s="9"/>
      <c r="L153" s="9"/>
    </row>
    <row r="154" spans="1:12" s="3" customFormat="1" ht="21.9" customHeight="1">
      <c r="A154" s="13"/>
      <c r="B154" s="13"/>
      <c r="C154" s="13"/>
      <c r="D154" s="13"/>
      <c r="E154" s="13"/>
      <c r="F154" s="14"/>
      <c r="G154" s="14"/>
      <c r="H154" s="14"/>
      <c r="I154" s="14"/>
      <c r="J154" s="14"/>
      <c r="K154" s="9"/>
      <c r="L154" s="9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0"/>
      <c r="G158" s="10"/>
      <c r="H158" s="10"/>
      <c r="I158" s="10"/>
      <c r="J158" s="10"/>
      <c r="K158" s="9"/>
      <c r="L158" s="9"/>
    </row>
    <row r="159" spans="1:12" s="9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</row>
    <row r="160" spans="1:12" s="9" customFormat="1" ht="21.9" customHeight="1">
      <c r="A160" s="13"/>
      <c r="B160" s="13"/>
      <c r="C160" s="13"/>
      <c r="D160" s="13"/>
      <c r="E160" s="13"/>
      <c r="F160" s="14"/>
      <c r="G160" s="14"/>
      <c r="H160" s="14"/>
      <c r="I160" s="14"/>
      <c r="J160" s="14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8"/>
      <c r="G162" s="8"/>
      <c r="H162" s="8"/>
      <c r="I162" s="8"/>
      <c r="J162" s="8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10"/>
      <c r="G164" s="10"/>
      <c r="H164" s="10"/>
      <c r="I164" s="10"/>
      <c r="J164" s="10"/>
    </row>
    <row r="165" spans="1:10" s="9" customFormat="1" ht="21.9" customHeight="1">
      <c r="A165" s="13"/>
      <c r="B165" s="13"/>
      <c r="C165" s="13"/>
      <c r="D165" s="13"/>
      <c r="E165" s="13"/>
      <c r="F165" s="12"/>
      <c r="G165" s="12"/>
      <c r="H165" s="12"/>
      <c r="I165" s="12"/>
      <c r="J165" s="12"/>
    </row>
    <row r="166" spans="1:10" s="9" customFormat="1" ht="21.9" customHeight="1">
      <c r="A166" s="13"/>
      <c r="B166" s="13"/>
      <c r="C166" s="13"/>
      <c r="D166" s="13"/>
      <c r="E166" s="13"/>
      <c r="F166" s="12"/>
      <c r="G166" s="12"/>
      <c r="H166" s="12"/>
      <c r="I166" s="12"/>
      <c r="J166" s="12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</row>
    <row r="172" spans="1:10" s="9" customFormat="1" ht="21.9" customHeight="1">
      <c r="A172" s="13"/>
      <c r="B172" s="13"/>
      <c r="C172" s="13"/>
      <c r="D172" s="13"/>
      <c r="E172" s="13"/>
      <c r="F172" s="8"/>
      <c r="G172" s="8"/>
      <c r="H172" s="8"/>
      <c r="I172" s="8"/>
      <c r="J172" s="8"/>
    </row>
    <row r="173" spans="1:10" s="9" customFormat="1" ht="21.9" customHeight="1">
      <c r="A173" s="13"/>
      <c r="B173" s="13"/>
      <c r="C173" s="13"/>
      <c r="D173" s="13"/>
      <c r="E173" s="13"/>
      <c r="F173" s="8"/>
      <c r="G173" s="8"/>
      <c r="H173" s="8"/>
      <c r="I173" s="8"/>
      <c r="J173" s="8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</row>
    <row r="179" spans="1:10" s="9" customFormat="1" ht="21.9" customHeight="1">
      <c r="A179" s="13"/>
      <c r="B179" s="13"/>
      <c r="C179" s="13"/>
      <c r="D179" s="13"/>
      <c r="E179" s="13"/>
      <c r="F179" s="10"/>
      <c r="G179" s="10"/>
      <c r="H179" s="10"/>
      <c r="I179" s="10"/>
      <c r="J179" s="10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</row>
    <row r="183" spans="1:10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8"/>
      <c r="G185" s="8"/>
      <c r="H185" s="8"/>
      <c r="I185" s="8"/>
      <c r="J185" s="8"/>
    </row>
    <row r="186" spans="1:10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</row>
    <row r="187" spans="1:10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</row>
    <row r="188" spans="1:10" s="9" customFormat="1" ht="21.9" customHeight="1">
      <c r="A188" s="13"/>
      <c r="B188" s="13"/>
      <c r="C188" s="13"/>
      <c r="D188" s="13"/>
      <c r="E188" s="13"/>
      <c r="F188" s="12"/>
      <c r="G188" s="12"/>
      <c r="H188" s="12"/>
      <c r="I188" s="12"/>
      <c r="J188" s="12"/>
    </row>
    <row r="189" spans="1:10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</row>
    <row r="190" spans="1:10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11"/>
      <c r="G195" s="11"/>
      <c r="H195" s="11"/>
      <c r="I195" s="11"/>
      <c r="J195" s="11"/>
    </row>
    <row r="196" spans="1:10" s="9" customFormat="1" ht="21.9" customHeight="1">
      <c r="A196" s="13"/>
      <c r="B196" s="13"/>
      <c r="C196" s="13"/>
      <c r="D196" s="13"/>
      <c r="E196" s="13"/>
      <c r="F196" s="11"/>
      <c r="G196" s="11"/>
      <c r="H196" s="11"/>
      <c r="I196" s="11"/>
      <c r="J196" s="11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5"/>
      <c r="B199" s="15"/>
      <c r="C199" s="15"/>
      <c r="D199" s="15"/>
      <c r="E199" s="15"/>
      <c r="F199" s="12"/>
      <c r="G199" s="12"/>
      <c r="H199" s="12"/>
      <c r="I199" s="12"/>
      <c r="J199" s="12"/>
    </row>
    <row r="200" spans="1:10" s="9" customFormat="1" ht="21.9" customHeight="1">
      <c r="A200" s="15"/>
      <c r="B200" s="15"/>
      <c r="C200" s="15"/>
      <c r="D200" s="15"/>
      <c r="E200" s="15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2"/>
      <c r="G202" s="12"/>
      <c r="H202" s="12"/>
      <c r="I202" s="12"/>
      <c r="J202" s="12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8"/>
      <c r="G207" s="8"/>
      <c r="H207" s="8"/>
      <c r="I207" s="8"/>
      <c r="J207" s="8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12"/>
      <c r="G209" s="12"/>
      <c r="H209" s="12"/>
      <c r="I209" s="12"/>
      <c r="J209" s="12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8"/>
      <c r="G211" s="8"/>
      <c r="H211" s="8"/>
      <c r="I211" s="8"/>
      <c r="J211" s="8"/>
    </row>
    <row r="212" spans="1:10" s="9" customFormat="1" ht="21.9" customHeight="1">
      <c r="A212" s="15"/>
      <c r="B212" s="15"/>
      <c r="C212" s="15"/>
      <c r="D212" s="15"/>
      <c r="E212" s="15"/>
      <c r="F212" s="8"/>
      <c r="G212" s="8"/>
      <c r="H212" s="8"/>
      <c r="I212" s="8"/>
      <c r="J212" s="8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11"/>
      <c r="G217" s="11"/>
      <c r="H217" s="11"/>
      <c r="I217" s="11"/>
      <c r="J217" s="11"/>
    </row>
    <row r="218" spans="1:10" s="9" customFormat="1" ht="21.9" customHeight="1">
      <c r="A218" s="15"/>
      <c r="B218" s="15"/>
      <c r="C218" s="15"/>
      <c r="D218" s="15"/>
      <c r="E218" s="15"/>
      <c r="F218" s="11"/>
      <c r="G218" s="11"/>
      <c r="H218" s="11"/>
      <c r="I218" s="11"/>
      <c r="J218" s="11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8"/>
      <c r="G223" s="8"/>
      <c r="H223" s="8"/>
      <c r="I223" s="8"/>
      <c r="J223" s="8"/>
    </row>
    <row r="224" spans="1:10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6"/>
      <c r="B230" s="6"/>
      <c r="C230" s="6"/>
      <c r="D230" s="6"/>
      <c r="E230" s="6"/>
      <c r="F230" s="12"/>
      <c r="G230" s="12"/>
      <c r="H230" s="12"/>
      <c r="I230" s="12"/>
      <c r="J230" s="12"/>
    </row>
    <row r="231" spans="1:10" s="9" customFormat="1" ht="21.9" customHeight="1">
      <c r="A231" s="6"/>
      <c r="B231" s="6"/>
      <c r="C231" s="6"/>
      <c r="D231" s="6"/>
      <c r="E231" s="6"/>
      <c r="F231" s="12"/>
      <c r="G231" s="12"/>
      <c r="H231" s="12"/>
      <c r="I231" s="12"/>
      <c r="J231" s="12"/>
    </row>
    <row r="232" spans="1:10" s="9" customFormat="1" ht="21.9" customHeight="1">
      <c r="A232" s="6"/>
      <c r="B232" s="6"/>
      <c r="C232" s="6"/>
      <c r="D232" s="6"/>
      <c r="E232" s="6"/>
      <c r="F232" s="11"/>
      <c r="G232" s="11"/>
      <c r="H232" s="11"/>
      <c r="I232" s="11"/>
      <c r="J232" s="11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8"/>
      <c r="G234" s="8"/>
      <c r="H234" s="8"/>
      <c r="I234" s="8"/>
      <c r="J234" s="8"/>
    </row>
    <row r="235" spans="1:10" s="9" customFormat="1" ht="21.9" customHeight="1">
      <c r="A235" s="6"/>
      <c r="B235" s="6"/>
      <c r="C235" s="6"/>
      <c r="D235" s="6"/>
      <c r="E235" s="6"/>
      <c r="F235" s="8"/>
      <c r="G235" s="8"/>
      <c r="H235" s="8"/>
      <c r="I235" s="8"/>
      <c r="J235" s="8"/>
    </row>
    <row r="236" spans="1:10" s="9" customFormat="1" ht="21.9" customHeight="1">
      <c r="A236" s="6"/>
      <c r="B236" s="6"/>
      <c r="C236" s="6"/>
      <c r="D236" s="6"/>
      <c r="E236" s="6"/>
      <c r="F236" s="11"/>
      <c r="G236" s="11"/>
      <c r="H236" s="11"/>
      <c r="I236" s="11"/>
      <c r="J236" s="11"/>
    </row>
    <row r="237" spans="1:10" s="9" customFormat="1" ht="21.9" customHeight="1">
      <c r="A237" s="6"/>
      <c r="B237" s="6"/>
      <c r="C237" s="6"/>
      <c r="D237" s="6"/>
      <c r="E237" s="6"/>
      <c r="F237" s="12"/>
      <c r="G237" s="12"/>
      <c r="H237" s="12"/>
      <c r="I237" s="12"/>
      <c r="J237" s="12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1"/>
      <c r="G239" s="11"/>
      <c r="H239" s="11"/>
      <c r="I239" s="11"/>
      <c r="J239" s="11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8"/>
      <c r="G246" s="8"/>
      <c r="H246" s="8"/>
      <c r="I246" s="8"/>
      <c r="J246" s="8"/>
    </row>
    <row r="247" spans="1:10" s="9" customFormat="1" ht="21.9" customHeight="1">
      <c r="A247" s="6"/>
      <c r="B247" s="6"/>
      <c r="C247" s="6"/>
      <c r="D247" s="6"/>
      <c r="E247" s="6"/>
      <c r="F247" s="8"/>
      <c r="G247" s="8"/>
      <c r="H247" s="8"/>
      <c r="I247" s="8"/>
      <c r="J247" s="8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13.2">
      <c r="A252" s="6"/>
      <c r="B252" s="6"/>
      <c r="C252" s="6"/>
      <c r="D252" s="6"/>
      <c r="E252" s="6"/>
      <c r="F252" s="12"/>
      <c r="G252" s="12"/>
      <c r="H252" s="12"/>
      <c r="I252" s="12"/>
      <c r="J252" s="12"/>
    </row>
    <row r="253" spans="1:10" s="9" customFormat="1" ht="13.2">
      <c r="A253" s="6"/>
      <c r="B253" s="6"/>
      <c r="C253" s="6"/>
      <c r="D253" s="6"/>
      <c r="E253" s="6"/>
      <c r="F253" s="10"/>
      <c r="G253" s="10"/>
      <c r="H253" s="10"/>
      <c r="I253" s="10"/>
      <c r="J253" s="10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2"/>
      <c r="G255" s="12"/>
      <c r="H255" s="12"/>
      <c r="I255" s="12"/>
      <c r="J255" s="12"/>
    </row>
    <row r="256" spans="1:10" s="9" customFormat="1" ht="13.2">
      <c r="A256" s="6"/>
      <c r="B256" s="6"/>
      <c r="C256" s="6"/>
      <c r="D256" s="6"/>
      <c r="E256" s="6"/>
      <c r="F256" s="8"/>
      <c r="G256" s="8"/>
      <c r="H256" s="8"/>
      <c r="I256" s="8"/>
      <c r="J256" s="8"/>
    </row>
    <row r="257" spans="1:10" s="9" customFormat="1" ht="13.2">
      <c r="A257" s="6"/>
      <c r="B257" s="6"/>
      <c r="C257" s="6"/>
      <c r="D257" s="6"/>
      <c r="E257" s="6"/>
      <c r="F257" s="8"/>
      <c r="G257" s="8"/>
      <c r="H257" s="8"/>
      <c r="I257" s="8"/>
      <c r="J257" s="8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11"/>
      <c r="G260" s="11"/>
      <c r="H260" s="11"/>
      <c r="I260" s="11"/>
      <c r="J260" s="11"/>
    </row>
    <row r="261" spans="1:10" s="9" customFormat="1" ht="13.2">
      <c r="A261" s="6"/>
      <c r="B261" s="6"/>
      <c r="C261" s="6"/>
      <c r="D261" s="6"/>
      <c r="E261" s="6"/>
      <c r="F261" s="12"/>
      <c r="G261" s="12"/>
      <c r="H261" s="12"/>
      <c r="I261" s="12"/>
      <c r="J261" s="12"/>
    </row>
    <row r="262" spans="1:10" s="9" customFormat="1" ht="13.2">
      <c r="A262" s="6"/>
      <c r="B262" s="6"/>
      <c r="C262" s="6"/>
      <c r="D262" s="6"/>
      <c r="E262" s="6"/>
      <c r="F262" s="10"/>
      <c r="G262" s="10"/>
      <c r="H262" s="10"/>
      <c r="I262" s="10"/>
      <c r="J262" s="10"/>
    </row>
    <row r="263" spans="1:10" s="9" customFormat="1" ht="13.2">
      <c r="A263" s="6"/>
      <c r="B263" s="6"/>
      <c r="C263" s="6"/>
      <c r="D263" s="6"/>
      <c r="E263" s="6"/>
      <c r="F263" s="11"/>
      <c r="G263" s="11"/>
      <c r="H263" s="11"/>
      <c r="I263" s="11"/>
      <c r="J263" s="11"/>
    </row>
    <row r="264" spans="1:10" s="9" customFormat="1" ht="13.2">
      <c r="A264" s="6"/>
      <c r="B264" s="6"/>
      <c r="C264" s="6"/>
      <c r="D264" s="6"/>
      <c r="E264" s="6"/>
      <c r="F264" s="8"/>
      <c r="G264" s="8"/>
      <c r="H264" s="8"/>
      <c r="I264" s="8"/>
      <c r="J264" s="8"/>
    </row>
    <row r="265" spans="1:10" s="9" customFormat="1" ht="13.2">
      <c r="A265" s="6"/>
      <c r="B265" s="6"/>
      <c r="C265" s="6"/>
      <c r="D265" s="6"/>
      <c r="E265" s="6"/>
      <c r="F265" s="7"/>
      <c r="G265" s="7"/>
      <c r="H265" s="7"/>
      <c r="I265" s="7"/>
      <c r="J265" s="7"/>
    </row>
    <row r="266" spans="1:10" s="9" customFormat="1" ht="13.2">
      <c r="A266" s="6"/>
      <c r="B266" s="6"/>
      <c r="C266" s="6"/>
      <c r="D266" s="6"/>
      <c r="E266" s="6"/>
      <c r="F266" s="7"/>
      <c r="G266" s="7"/>
      <c r="H266" s="7"/>
      <c r="I266" s="7"/>
      <c r="J266" s="7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8"/>
      <c r="G269" s="8"/>
      <c r="H269" s="8"/>
      <c r="I269" s="8"/>
      <c r="J269" s="8"/>
    </row>
    <row r="270" spans="1:10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12"/>
      <c r="G277" s="12"/>
      <c r="H277" s="12"/>
      <c r="I277" s="12"/>
      <c r="J277" s="12"/>
    </row>
    <row r="278" spans="1:10" s="9" customFormat="1" ht="13.2">
      <c r="A278" s="6"/>
      <c r="B278" s="6"/>
      <c r="C278" s="6"/>
      <c r="D278" s="6"/>
      <c r="E278" s="6"/>
      <c r="F278" s="11"/>
      <c r="G278" s="11"/>
      <c r="H278" s="11"/>
      <c r="I278" s="11"/>
      <c r="J278" s="11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8"/>
      <c r="G280" s="8"/>
      <c r="H280" s="8"/>
      <c r="I280" s="8"/>
      <c r="J280" s="8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</row>
    <row r="284" spans="1:10" s="9" customFormat="1" ht="13.2">
      <c r="A284" s="6"/>
      <c r="B284" s="6"/>
      <c r="C284" s="6"/>
      <c r="D284" s="6"/>
      <c r="E284" s="6"/>
      <c r="F284" s="12"/>
      <c r="G284" s="12"/>
      <c r="H284" s="12"/>
      <c r="I284" s="12"/>
      <c r="J284" s="12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</row>
    <row r="287" spans="1:10" s="9" customFormat="1" ht="13.2">
      <c r="A287" s="6"/>
      <c r="B287" s="6"/>
      <c r="C287" s="6"/>
      <c r="D287" s="6"/>
      <c r="E287" s="6"/>
      <c r="F287" s="11"/>
      <c r="G287" s="11"/>
      <c r="H287" s="11"/>
      <c r="I287" s="11"/>
      <c r="J287" s="11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11"/>
      <c r="G291" s="11"/>
      <c r="H291" s="11"/>
      <c r="I291" s="11"/>
      <c r="J291" s="11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10"/>
      <c r="G298" s="10"/>
      <c r="H298" s="10"/>
      <c r="I298" s="10"/>
      <c r="J298" s="10"/>
    </row>
    <row r="299" spans="1:10" s="9" customFormat="1" ht="13.2">
      <c r="A299" s="6"/>
      <c r="B299" s="6"/>
      <c r="C299" s="6"/>
      <c r="D299" s="6"/>
      <c r="E299" s="6"/>
      <c r="F299" s="11"/>
      <c r="G299" s="11"/>
      <c r="H299" s="11"/>
      <c r="I299" s="11"/>
      <c r="J299" s="11"/>
    </row>
    <row r="300" spans="1:10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</row>
    <row r="304" spans="1:10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</row>
    <row r="305" spans="1:10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</row>
    <row r="306" spans="1:10" s="9" customFormat="1" ht="13.2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</row>
    <row r="309" spans="1:10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</row>
    <row r="310" spans="1:10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7"/>
      <c r="G314" s="7"/>
      <c r="H314" s="7"/>
      <c r="I314" s="7"/>
      <c r="J314" s="7"/>
    </row>
    <row r="315" spans="1:10" s="9" customFormat="1" ht="13.2">
      <c r="A315" s="6"/>
      <c r="B315" s="6"/>
      <c r="C315" s="6"/>
      <c r="D315" s="6"/>
      <c r="E315" s="6"/>
      <c r="F315" s="7"/>
      <c r="G315" s="7"/>
      <c r="H315" s="7"/>
      <c r="I315" s="7"/>
      <c r="J315" s="7"/>
    </row>
    <row r="316" spans="1:10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</row>
    <row r="317" spans="1:10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</row>
    <row r="318" spans="1:10" s="9" customFormat="1" ht="13.2">
      <c r="A318" s="6"/>
      <c r="B318" s="6"/>
      <c r="C318" s="6"/>
      <c r="D318" s="6"/>
      <c r="E318" s="6"/>
      <c r="F318" s="7"/>
      <c r="G318" s="7"/>
      <c r="H318" s="7"/>
      <c r="I318" s="7"/>
      <c r="J318" s="7"/>
    </row>
    <row r="319" spans="1:10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7"/>
      <c r="G321" s="7"/>
      <c r="H321" s="7"/>
      <c r="I321" s="7"/>
      <c r="J321" s="7"/>
    </row>
    <row r="322" spans="1:10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</row>
    <row r="323" spans="1:10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</row>
    <row r="330" spans="1:10" s="9" customFormat="1" ht="13.2">
      <c r="A330" s="6"/>
      <c r="B330" s="6"/>
      <c r="C330" s="6"/>
      <c r="D330" s="6"/>
      <c r="E330" s="6"/>
      <c r="F330" s="7"/>
      <c r="G330" s="7"/>
      <c r="H330" s="7"/>
      <c r="I330" s="7"/>
      <c r="J330" s="7"/>
    </row>
    <row r="331" spans="1:10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</row>
    <row r="332" spans="1:10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10"/>
      <c r="G358" s="10"/>
      <c r="H358" s="10"/>
      <c r="I358" s="10"/>
      <c r="J358" s="10"/>
    </row>
    <row r="359" spans="1:10" s="9" customFormat="1" ht="13.2">
      <c r="A359" s="6"/>
      <c r="B359" s="6"/>
      <c r="C359" s="6"/>
      <c r="D359" s="6"/>
      <c r="E359" s="6"/>
      <c r="F359" s="10"/>
      <c r="G359" s="10"/>
      <c r="H359" s="10"/>
      <c r="I359" s="10"/>
      <c r="J359" s="10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</row>
    <row r="362" spans="1:10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</row>
    <row r="363" spans="1:10" s="9" customFormat="1" ht="13.2">
      <c r="A363" s="6"/>
      <c r="B363" s="6"/>
      <c r="C363" s="6"/>
      <c r="D363" s="6"/>
      <c r="E363" s="6"/>
      <c r="F363" s="10"/>
      <c r="G363" s="10"/>
      <c r="H363" s="10"/>
      <c r="I363" s="10"/>
      <c r="J363" s="10"/>
    </row>
    <row r="364" spans="1:10" s="9" customFormat="1" ht="13.2">
      <c r="A364" s="6"/>
      <c r="B364" s="6"/>
      <c r="C364" s="6"/>
      <c r="D364" s="6"/>
      <c r="E364" s="6"/>
      <c r="F364" s="10"/>
      <c r="G364" s="10"/>
      <c r="H364" s="10"/>
      <c r="I364" s="10"/>
      <c r="J364" s="10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</row>
    <row r="367" spans="1:10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12"/>
      <c r="G369" s="12"/>
      <c r="H369" s="12"/>
      <c r="I369" s="12"/>
      <c r="J369" s="12"/>
    </row>
    <row r="370" spans="1:10" s="9" customFormat="1" ht="13.2">
      <c r="A370" s="13"/>
      <c r="B370" s="13"/>
      <c r="C370" s="13"/>
      <c r="D370" s="13"/>
      <c r="E370" s="13"/>
      <c r="F370" s="12"/>
      <c r="G370" s="12"/>
      <c r="H370" s="12"/>
      <c r="I370" s="12"/>
      <c r="J370" s="12"/>
    </row>
    <row r="371" spans="1:10" s="9" customFormat="1" ht="13.2">
      <c r="A371" s="13"/>
      <c r="B371" s="13"/>
      <c r="C371" s="13"/>
      <c r="D371" s="13"/>
      <c r="E371" s="13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1"/>
      <c r="G378" s="11"/>
      <c r="H378" s="11"/>
      <c r="I378" s="11"/>
      <c r="J378" s="11"/>
    </row>
    <row r="379" spans="1:10" s="9" customFormat="1" ht="13.2">
      <c r="A379" s="13"/>
      <c r="B379" s="13"/>
      <c r="C379" s="13"/>
      <c r="D379" s="13"/>
      <c r="E379" s="13"/>
      <c r="F379" s="11"/>
      <c r="G379" s="11"/>
      <c r="H379" s="11"/>
      <c r="I379" s="11"/>
      <c r="J379" s="11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2"/>
      <c r="G382" s="12"/>
      <c r="H382" s="12"/>
      <c r="I382" s="12"/>
      <c r="J382" s="12"/>
    </row>
    <row r="383" spans="1:10" s="9" customFormat="1" ht="13.2">
      <c r="A383" s="13"/>
      <c r="B383" s="13"/>
      <c r="C383" s="13"/>
      <c r="D383" s="13"/>
      <c r="E383" s="13"/>
      <c r="F383" s="12"/>
      <c r="G383" s="12"/>
      <c r="H383" s="12"/>
      <c r="I383" s="12"/>
      <c r="J383" s="12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8"/>
      <c r="G385" s="8"/>
      <c r="H385" s="8"/>
      <c r="I385" s="8"/>
      <c r="J385" s="8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</row>
    <row r="388" spans="1:10" s="9" customFormat="1" ht="13.2">
      <c r="A388" s="13"/>
      <c r="B388" s="13"/>
      <c r="C388" s="13"/>
      <c r="D388" s="13"/>
      <c r="E388" s="13"/>
      <c r="F388" s="14"/>
      <c r="G388" s="14"/>
      <c r="H388" s="14"/>
      <c r="I388" s="14"/>
      <c r="J388" s="14"/>
    </row>
    <row r="389" spans="1:10" s="9" customFormat="1" ht="13.2">
      <c r="A389" s="13"/>
      <c r="B389" s="13"/>
      <c r="C389" s="13"/>
      <c r="D389" s="13"/>
      <c r="E389" s="13"/>
      <c r="F389" s="14"/>
      <c r="G389" s="14"/>
      <c r="H389" s="14"/>
      <c r="I389" s="14"/>
      <c r="J389" s="14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0"/>
      <c r="G395" s="10"/>
      <c r="H395" s="10"/>
      <c r="I395" s="10"/>
      <c r="J395" s="10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4"/>
      <c r="G397" s="14"/>
      <c r="H397" s="14"/>
      <c r="I397" s="14"/>
      <c r="J397" s="14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10"/>
      <c r="G401" s="10"/>
      <c r="H401" s="10"/>
      <c r="I401" s="10"/>
      <c r="J401" s="10"/>
    </row>
    <row r="402" spans="1:10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</row>
    <row r="403" spans="1:10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</row>
    <row r="409" spans="1:10" s="9" customFormat="1" ht="13.2">
      <c r="A409" s="13"/>
      <c r="B409" s="13"/>
      <c r="C409" s="13"/>
      <c r="D409" s="13"/>
      <c r="E409" s="13"/>
      <c r="F409" s="8"/>
      <c r="G409" s="8"/>
      <c r="H409" s="8"/>
      <c r="I409" s="8"/>
      <c r="J409" s="8"/>
    </row>
    <row r="410" spans="1:10" s="9" customFormat="1" ht="13.2">
      <c r="A410" s="13"/>
      <c r="B410" s="13"/>
      <c r="C410" s="13"/>
      <c r="D410" s="13"/>
      <c r="E410" s="13"/>
      <c r="F410" s="8"/>
      <c r="G410" s="8"/>
      <c r="H410" s="8"/>
      <c r="I410" s="8"/>
      <c r="J410" s="8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</row>
    <row r="416" spans="1:10" s="9" customFormat="1" ht="13.2">
      <c r="A416" s="13"/>
      <c r="B416" s="13"/>
      <c r="C416" s="13"/>
      <c r="D416" s="13"/>
      <c r="E416" s="13"/>
      <c r="F416" s="10"/>
      <c r="G416" s="10"/>
      <c r="H416" s="10"/>
      <c r="I416" s="10"/>
      <c r="J416" s="10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</row>
    <row r="420" spans="1:10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8"/>
      <c r="G422" s="8"/>
      <c r="H422" s="8"/>
      <c r="I422" s="8"/>
      <c r="J422" s="8"/>
    </row>
    <row r="423" spans="1:10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</row>
    <row r="424" spans="1:10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</row>
    <row r="425" spans="1:10" s="9" customFormat="1" ht="13.2">
      <c r="A425" s="13"/>
      <c r="B425" s="13"/>
      <c r="C425" s="13"/>
      <c r="D425" s="13"/>
      <c r="E425" s="13"/>
      <c r="F425" s="12"/>
      <c r="G425" s="12"/>
      <c r="H425" s="12"/>
      <c r="I425" s="12"/>
      <c r="J425" s="12"/>
    </row>
    <row r="426" spans="1:10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</row>
    <row r="427" spans="1:10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11"/>
      <c r="G432" s="11"/>
      <c r="H432" s="11"/>
      <c r="I432" s="11"/>
      <c r="J432" s="11"/>
    </row>
    <row r="433" spans="1:10" s="9" customFormat="1" ht="13.2">
      <c r="A433" s="13"/>
      <c r="B433" s="13"/>
      <c r="C433" s="13"/>
      <c r="D433" s="13"/>
      <c r="E433" s="13"/>
      <c r="F433" s="11"/>
      <c r="G433" s="11"/>
      <c r="H433" s="11"/>
      <c r="I433" s="11"/>
      <c r="J433" s="11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5"/>
      <c r="B436" s="15"/>
      <c r="C436" s="15"/>
      <c r="D436" s="15"/>
      <c r="E436" s="15"/>
      <c r="F436" s="12"/>
      <c r="G436" s="12"/>
      <c r="H436" s="12"/>
      <c r="I436" s="12"/>
      <c r="J436" s="12"/>
    </row>
    <row r="437" spans="1:10" s="9" customFormat="1" ht="13.2">
      <c r="A437" s="15"/>
      <c r="B437" s="15"/>
      <c r="C437" s="15"/>
      <c r="D437" s="15"/>
      <c r="E437" s="15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2"/>
      <c r="G439" s="12"/>
      <c r="H439" s="12"/>
      <c r="I439" s="12"/>
      <c r="J439" s="12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8"/>
      <c r="G444" s="8"/>
      <c r="H444" s="8"/>
      <c r="I444" s="8"/>
      <c r="J444" s="8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12"/>
      <c r="G446" s="12"/>
      <c r="H446" s="12"/>
      <c r="I446" s="12"/>
      <c r="J446" s="12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8"/>
      <c r="G448" s="8"/>
      <c r="H448" s="8"/>
      <c r="I448" s="8"/>
      <c r="J448" s="8"/>
    </row>
    <row r="449" spans="1:10" s="9" customFormat="1" ht="13.2">
      <c r="A449" s="15"/>
      <c r="B449" s="15"/>
      <c r="C449" s="15"/>
      <c r="D449" s="15"/>
      <c r="E449" s="15"/>
      <c r="F449" s="8"/>
      <c r="G449" s="8"/>
      <c r="H449" s="8"/>
      <c r="I449" s="8"/>
      <c r="J449" s="8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11"/>
      <c r="G454" s="11"/>
      <c r="H454" s="11"/>
      <c r="I454" s="11"/>
      <c r="J454" s="11"/>
    </row>
    <row r="455" spans="1:10" s="9" customFormat="1" ht="13.2">
      <c r="A455" s="15"/>
      <c r="B455" s="15"/>
      <c r="C455" s="15"/>
      <c r="D455" s="15"/>
      <c r="E455" s="15"/>
      <c r="F455" s="11"/>
      <c r="G455" s="11"/>
      <c r="H455" s="11"/>
      <c r="I455" s="11"/>
      <c r="J455" s="11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8"/>
      <c r="G460" s="8"/>
      <c r="H460" s="8"/>
      <c r="I460" s="8"/>
      <c r="J460" s="8"/>
    </row>
    <row r="461" spans="1:10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6"/>
      <c r="B467" s="6"/>
      <c r="C467" s="6"/>
      <c r="D467" s="6"/>
      <c r="E467" s="6"/>
      <c r="F467" s="12"/>
      <c r="G467" s="12"/>
      <c r="H467" s="12"/>
      <c r="I467" s="12"/>
      <c r="J467" s="12"/>
    </row>
    <row r="468" spans="1:10" s="9" customFormat="1" ht="13.2">
      <c r="A468" s="6"/>
      <c r="B468" s="6"/>
      <c r="C468" s="6"/>
      <c r="D468" s="6"/>
      <c r="E468" s="6"/>
      <c r="F468" s="12"/>
      <c r="G468" s="12"/>
      <c r="H468" s="12"/>
      <c r="I468" s="12"/>
      <c r="J468" s="12"/>
    </row>
    <row r="469" spans="1:10" s="9" customFormat="1" ht="13.2">
      <c r="A469" s="6"/>
      <c r="B469" s="6"/>
      <c r="C469" s="6"/>
      <c r="D469" s="6"/>
      <c r="E469" s="6"/>
      <c r="F469" s="11"/>
      <c r="G469" s="11"/>
      <c r="H469" s="11"/>
      <c r="I469" s="11"/>
      <c r="J469" s="11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8"/>
      <c r="G471" s="8"/>
      <c r="H471" s="8"/>
      <c r="I471" s="8"/>
      <c r="J471" s="8"/>
    </row>
    <row r="472" spans="1:10" s="9" customFormat="1" ht="13.2">
      <c r="A472" s="6"/>
      <c r="B472" s="6"/>
      <c r="C472" s="6"/>
      <c r="D472" s="6"/>
      <c r="E472" s="6"/>
      <c r="F472" s="8"/>
      <c r="G472" s="8"/>
      <c r="H472" s="8"/>
      <c r="I472" s="8"/>
      <c r="J472" s="8"/>
    </row>
    <row r="473" spans="1:10" s="9" customFormat="1" ht="13.2">
      <c r="A473" s="6"/>
      <c r="B473" s="6"/>
      <c r="C473" s="6"/>
      <c r="D473" s="6"/>
      <c r="E473" s="6"/>
      <c r="F473" s="11"/>
      <c r="G473" s="11"/>
      <c r="H473" s="11"/>
      <c r="I473" s="11"/>
      <c r="J473" s="11"/>
    </row>
    <row r="474" spans="1:10" s="9" customFormat="1" ht="13.2">
      <c r="A474" s="6"/>
      <c r="B474" s="6"/>
      <c r="C474" s="6"/>
      <c r="D474" s="6"/>
      <c r="E474" s="6"/>
      <c r="F474" s="12"/>
      <c r="G474" s="12"/>
      <c r="H474" s="12"/>
      <c r="I474" s="12"/>
      <c r="J474" s="12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1"/>
      <c r="G476" s="11"/>
      <c r="H476" s="11"/>
      <c r="I476" s="11"/>
      <c r="J476" s="11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8"/>
      <c r="G483" s="8"/>
      <c r="H483" s="8"/>
      <c r="I483" s="8"/>
      <c r="J483" s="8"/>
    </row>
    <row r="484" spans="1:10" s="9" customFormat="1" ht="13.2">
      <c r="A484" s="6"/>
      <c r="B484" s="6"/>
      <c r="C484" s="6"/>
      <c r="D484" s="6"/>
      <c r="E484" s="6"/>
      <c r="F484" s="8"/>
      <c r="G484" s="8"/>
      <c r="H484" s="8"/>
      <c r="I484" s="8"/>
      <c r="J484" s="8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12"/>
      <c r="G489" s="12"/>
      <c r="H489" s="12"/>
      <c r="I489" s="12"/>
      <c r="J489" s="12"/>
    </row>
    <row r="490" spans="1:10" s="9" customFormat="1" ht="13.2">
      <c r="A490" s="6"/>
      <c r="B490" s="6"/>
      <c r="C490" s="6"/>
      <c r="D490" s="6"/>
      <c r="E490" s="6"/>
      <c r="F490" s="10"/>
      <c r="G490" s="10"/>
      <c r="H490" s="10"/>
      <c r="I490" s="10"/>
      <c r="J490" s="10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2"/>
      <c r="G492" s="12"/>
      <c r="H492" s="12"/>
      <c r="I492" s="12"/>
      <c r="J492" s="12"/>
    </row>
    <row r="493" spans="1:10" s="9" customFormat="1" ht="13.2">
      <c r="A493" s="6"/>
      <c r="B493" s="6"/>
      <c r="C493" s="6"/>
      <c r="D493" s="6"/>
      <c r="E493" s="6"/>
      <c r="F493" s="8"/>
      <c r="G493" s="8"/>
      <c r="H493" s="8"/>
      <c r="I493" s="8"/>
      <c r="J493" s="8"/>
    </row>
    <row r="494" spans="1:10" s="9" customFormat="1" ht="13.2">
      <c r="A494" s="6"/>
      <c r="B494" s="6"/>
      <c r="C494" s="6"/>
      <c r="D494" s="6"/>
      <c r="E494" s="6"/>
      <c r="F494" s="8"/>
      <c r="G494" s="8"/>
      <c r="H494" s="8"/>
      <c r="I494" s="8"/>
      <c r="J494" s="8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</row>
    <row r="498" spans="1:10" s="9" customFormat="1" ht="13.2">
      <c r="A498" s="6"/>
      <c r="B498" s="6"/>
      <c r="C498" s="6"/>
      <c r="D498" s="6"/>
      <c r="E498" s="6"/>
      <c r="F498" s="12"/>
      <c r="G498" s="12"/>
      <c r="H498" s="12"/>
      <c r="I498" s="12"/>
      <c r="J498" s="12"/>
    </row>
    <row r="499" spans="1:10" s="9" customFormat="1" ht="13.2">
      <c r="A499" s="6"/>
      <c r="B499" s="6"/>
      <c r="C499" s="6"/>
      <c r="D499" s="6"/>
      <c r="E499" s="6"/>
      <c r="F499" s="10"/>
      <c r="G499" s="10"/>
      <c r="H499" s="10"/>
      <c r="I499" s="10"/>
      <c r="J499" s="10"/>
    </row>
    <row r="500" spans="1:10" s="9" customFormat="1" ht="13.2">
      <c r="A500" s="6"/>
      <c r="B500" s="6"/>
      <c r="C500" s="6"/>
      <c r="D500" s="6"/>
      <c r="E500" s="6"/>
      <c r="F500" s="11"/>
      <c r="G500" s="11"/>
      <c r="H500" s="11"/>
      <c r="I500" s="11"/>
      <c r="J500" s="11"/>
    </row>
    <row r="501" spans="1:10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</row>
    <row r="502" spans="1:10" s="9" customFormat="1" ht="13.2">
      <c r="A502" s="6"/>
      <c r="B502" s="6"/>
      <c r="C502" s="6"/>
      <c r="D502" s="6"/>
      <c r="E502" s="6"/>
      <c r="F502" s="7"/>
      <c r="G502" s="7"/>
      <c r="H502" s="7"/>
      <c r="I502" s="7"/>
      <c r="J502" s="7"/>
    </row>
    <row r="503" spans="1:10" s="9" customFormat="1" ht="13.2">
      <c r="A503" s="6"/>
      <c r="B503" s="6"/>
      <c r="C503" s="6"/>
      <c r="D503" s="6"/>
      <c r="E503" s="6"/>
      <c r="F503" s="7"/>
      <c r="G503" s="7"/>
      <c r="H503" s="7"/>
      <c r="I503" s="7"/>
      <c r="J503" s="7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8"/>
      <c r="G506" s="8"/>
      <c r="H506" s="8"/>
      <c r="I506" s="8"/>
      <c r="J506" s="8"/>
    </row>
    <row r="507" spans="1:10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12"/>
      <c r="G514" s="12"/>
      <c r="H514" s="12"/>
      <c r="I514" s="12"/>
      <c r="J514" s="12"/>
    </row>
    <row r="515" spans="1:10" s="9" customFormat="1" ht="13.2">
      <c r="A515" s="6"/>
      <c r="B515" s="6"/>
      <c r="C515" s="6"/>
      <c r="D515" s="6"/>
      <c r="E515" s="6"/>
      <c r="F515" s="11"/>
      <c r="G515" s="11"/>
      <c r="H515" s="11"/>
      <c r="I515" s="11"/>
      <c r="J515" s="11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</row>
    <row r="521" spans="1:10" s="9" customFormat="1" ht="13.2">
      <c r="A521" s="6"/>
      <c r="B521" s="6"/>
      <c r="C521" s="6"/>
      <c r="D521" s="6"/>
      <c r="E521" s="6"/>
      <c r="F521" s="12"/>
      <c r="G521" s="12"/>
      <c r="H521" s="12"/>
      <c r="I521" s="12"/>
      <c r="J521" s="12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</row>
    <row r="524" spans="1:10" s="9" customFormat="1" ht="13.2">
      <c r="A524" s="6"/>
      <c r="B524" s="6"/>
      <c r="C524" s="6"/>
      <c r="D524" s="6"/>
      <c r="E524" s="6"/>
      <c r="F524" s="11"/>
      <c r="G524" s="11"/>
      <c r="H524" s="11"/>
      <c r="I524" s="11"/>
      <c r="J524" s="11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11"/>
      <c r="G528" s="11"/>
      <c r="H528" s="11"/>
      <c r="I528" s="11"/>
      <c r="J528" s="11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10"/>
      <c r="G535" s="10"/>
      <c r="H535" s="10"/>
      <c r="I535" s="10"/>
      <c r="J535" s="10"/>
    </row>
    <row r="536" spans="1:10" s="9" customFormat="1" ht="13.2">
      <c r="A536" s="6"/>
      <c r="B536" s="6"/>
      <c r="C536" s="6"/>
      <c r="D536" s="6"/>
      <c r="E536" s="6"/>
      <c r="F536" s="11"/>
      <c r="G536" s="11"/>
      <c r="H536" s="11"/>
      <c r="I536" s="11"/>
      <c r="J536" s="11"/>
    </row>
    <row r="537" spans="1:10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</row>
    <row r="541" spans="1:10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</row>
    <row r="542" spans="1:10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</row>
    <row r="543" spans="1:10" s="9" customFormat="1" ht="13.2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</row>
    <row r="546" spans="1:10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</row>
    <row r="547" spans="1:10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7"/>
      <c r="G551" s="7"/>
      <c r="H551" s="7"/>
      <c r="I551" s="7"/>
      <c r="J551" s="7"/>
    </row>
    <row r="552" spans="1:10" s="9" customFormat="1" ht="13.2">
      <c r="A552" s="6"/>
      <c r="B552" s="6"/>
      <c r="C552" s="6"/>
      <c r="D552" s="6"/>
      <c r="E552" s="6"/>
      <c r="F552" s="7"/>
      <c r="G552" s="7"/>
      <c r="H552" s="7"/>
      <c r="I552" s="7"/>
      <c r="J552" s="7"/>
    </row>
    <row r="553" spans="1:10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</row>
    <row r="554" spans="1:10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</row>
    <row r="555" spans="1:10" s="9" customFormat="1" ht="13.2">
      <c r="A555" s="6"/>
      <c r="B555" s="6"/>
      <c r="C555" s="6"/>
      <c r="D555" s="6"/>
      <c r="E555" s="6"/>
      <c r="F555" s="7"/>
      <c r="G555" s="7"/>
      <c r="H555" s="7"/>
      <c r="I555" s="7"/>
      <c r="J555" s="7"/>
    </row>
    <row r="556" spans="1:10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7"/>
      <c r="G558" s="7"/>
      <c r="H558" s="7"/>
      <c r="I558" s="7"/>
      <c r="J558" s="7"/>
    </row>
    <row r="559" spans="1:10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</row>
    <row r="560" spans="1:10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</row>
    <row r="567" spans="1:10" s="9" customFormat="1" ht="13.2">
      <c r="A567" s="6"/>
      <c r="B567" s="6"/>
      <c r="C567" s="6"/>
      <c r="D567" s="6"/>
      <c r="E567" s="6"/>
      <c r="F567" s="7"/>
      <c r="G567" s="7"/>
      <c r="H567" s="7"/>
      <c r="I567" s="7"/>
      <c r="J567" s="7"/>
    </row>
    <row r="568" spans="1:10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</row>
    <row r="569" spans="1:10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10"/>
      <c r="G595" s="10"/>
      <c r="H595" s="10"/>
      <c r="I595" s="10"/>
      <c r="J595" s="10"/>
    </row>
    <row r="596" spans="1:10" s="9" customFormat="1" ht="13.2">
      <c r="A596" s="6"/>
      <c r="B596" s="6"/>
      <c r="C596" s="6"/>
      <c r="D596" s="6"/>
      <c r="E596" s="6"/>
      <c r="F596" s="10"/>
      <c r="G596" s="10"/>
      <c r="H596" s="10"/>
      <c r="I596" s="10"/>
      <c r="J596" s="10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</row>
    <row r="599" spans="1:10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</row>
    <row r="600" spans="1:10" s="9" customFormat="1" ht="13.2">
      <c r="A600" s="6"/>
      <c r="B600" s="6"/>
      <c r="C600" s="6"/>
      <c r="D600" s="6"/>
      <c r="E600" s="6"/>
      <c r="F600" s="10"/>
      <c r="G600" s="10"/>
      <c r="H600" s="10"/>
      <c r="I600" s="10"/>
      <c r="J600" s="10"/>
    </row>
    <row r="601" spans="1:10" s="9" customFormat="1" ht="13.2">
      <c r="A601" s="6"/>
      <c r="B601" s="6"/>
      <c r="C601" s="6"/>
      <c r="D601" s="6"/>
      <c r="E601" s="6"/>
      <c r="F601" s="10"/>
      <c r="G601" s="10"/>
      <c r="H601" s="10"/>
      <c r="I601" s="10"/>
      <c r="J601" s="10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</row>
    <row r="604" spans="1:10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12"/>
      <c r="G606" s="12"/>
      <c r="H606" s="12"/>
      <c r="I606" s="12"/>
      <c r="J606" s="12"/>
    </row>
    <row r="607" spans="1:10" s="9" customFormat="1" ht="13.2">
      <c r="A607" s="6"/>
      <c r="B607" s="6"/>
      <c r="C607" s="6"/>
      <c r="D607" s="6"/>
      <c r="E607" s="6"/>
      <c r="F607" s="12"/>
      <c r="G607" s="12"/>
      <c r="H607" s="12"/>
      <c r="I607" s="12"/>
      <c r="J607" s="12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s="9" customForma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</sheetData>
  <mergeCells count="130">
    <mergeCell ref="B3:H3"/>
    <mergeCell ref="K3:L3"/>
    <mergeCell ref="B4:H4"/>
    <mergeCell ref="K4:L4"/>
    <mergeCell ref="K5:L5"/>
    <mergeCell ref="K6:L6"/>
    <mergeCell ref="B5:H5"/>
    <mergeCell ref="B11:F11"/>
    <mergeCell ref="G11:I11"/>
    <mergeCell ref="B6:H6"/>
    <mergeCell ref="B12:F12"/>
    <mergeCell ref="G12:I12"/>
    <mergeCell ref="B13:F13"/>
    <mergeCell ref="G13:I13"/>
    <mergeCell ref="K8:L8"/>
    <mergeCell ref="A9:A10"/>
    <mergeCell ref="B9:F10"/>
    <mergeCell ref="G9:I10"/>
    <mergeCell ref="J9:K9"/>
    <mergeCell ref="L9:L10"/>
    <mergeCell ref="B17:F17"/>
    <mergeCell ref="G17:I17"/>
    <mergeCell ref="B18:F18"/>
    <mergeCell ref="G18:I18"/>
    <mergeCell ref="B19:F19"/>
    <mergeCell ref="G19:I19"/>
    <mergeCell ref="B14:F14"/>
    <mergeCell ref="G14:I14"/>
    <mergeCell ref="B15:F15"/>
    <mergeCell ref="G15:I15"/>
    <mergeCell ref="B16:F16"/>
    <mergeCell ref="G16:I16"/>
    <mergeCell ref="B23:F23"/>
    <mergeCell ref="G23:I23"/>
    <mergeCell ref="B24:F24"/>
    <mergeCell ref="G24:I24"/>
    <mergeCell ref="B25:F25"/>
    <mergeCell ref="G25:I25"/>
    <mergeCell ref="B20:F20"/>
    <mergeCell ref="G20:I20"/>
    <mergeCell ref="B21:F21"/>
    <mergeCell ref="G21:I21"/>
    <mergeCell ref="B22:F22"/>
    <mergeCell ref="G22:I22"/>
    <mergeCell ref="B29:F29"/>
    <mergeCell ref="G29:I29"/>
    <mergeCell ref="B30:F30"/>
    <mergeCell ref="G30:I30"/>
    <mergeCell ref="B31:F31"/>
    <mergeCell ref="B33:F33"/>
    <mergeCell ref="G33:H33"/>
    <mergeCell ref="B26:F26"/>
    <mergeCell ref="G26:I26"/>
    <mergeCell ref="B27:F27"/>
    <mergeCell ref="G27:I27"/>
    <mergeCell ref="B28:F28"/>
    <mergeCell ref="G28:I28"/>
    <mergeCell ref="B37:F37"/>
    <mergeCell ref="G37:H37"/>
    <mergeCell ref="B38:F38"/>
    <mergeCell ref="G38:I38"/>
    <mergeCell ref="A40:F40"/>
    <mergeCell ref="H40:L40"/>
    <mergeCell ref="B34:F34"/>
    <mergeCell ref="G34:H34"/>
    <mergeCell ref="B35:F35"/>
    <mergeCell ref="G35:H35"/>
    <mergeCell ref="B36:F36"/>
    <mergeCell ref="G36:H36"/>
    <mergeCell ref="A44:F44"/>
    <mergeCell ref="H44:L44"/>
    <mergeCell ref="A45:F45"/>
    <mergeCell ref="H45:L45"/>
    <mergeCell ref="A46:F46"/>
    <mergeCell ref="H46:L46"/>
    <mergeCell ref="A41:F41"/>
    <mergeCell ref="H41:L41"/>
    <mergeCell ref="A42:F42"/>
    <mergeCell ref="H42:L42"/>
    <mergeCell ref="A43:F43"/>
    <mergeCell ref="H43:L43"/>
    <mergeCell ref="A50:F50"/>
    <mergeCell ref="H50:L50"/>
    <mergeCell ref="H51:J51"/>
    <mergeCell ref="K51:L51"/>
    <mergeCell ref="A52:F52"/>
    <mergeCell ref="H52:I52"/>
    <mergeCell ref="A47:F47"/>
    <mergeCell ref="H47:L47"/>
    <mergeCell ref="A48:F48"/>
    <mergeCell ref="H48:L48"/>
    <mergeCell ref="A49:F49"/>
    <mergeCell ref="H49:L49"/>
    <mergeCell ref="A56:F56"/>
    <mergeCell ref="H56:I56"/>
    <mergeCell ref="A57:F57"/>
    <mergeCell ref="H57:I57"/>
    <mergeCell ref="A58:F58"/>
    <mergeCell ref="H58:I58"/>
    <mergeCell ref="A53:F53"/>
    <mergeCell ref="H53:I53"/>
    <mergeCell ref="A54:F54"/>
    <mergeCell ref="H54:I54"/>
    <mergeCell ref="A55:F55"/>
    <mergeCell ref="H55:I55"/>
    <mergeCell ref="A72:B72"/>
    <mergeCell ref="D72:F72"/>
    <mergeCell ref="H72:J72"/>
    <mergeCell ref="K72:L72"/>
    <mergeCell ref="A73:B73"/>
    <mergeCell ref="D73:F73"/>
    <mergeCell ref="H73:J73"/>
    <mergeCell ref="J66:K66"/>
    <mergeCell ref="B67:C68"/>
    <mergeCell ref="D67:E68"/>
    <mergeCell ref="F67:G68"/>
    <mergeCell ref="H67:I68"/>
    <mergeCell ref="J67:K68"/>
    <mergeCell ref="A62:F62"/>
    <mergeCell ref="H62:I62"/>
    <mergeCell ref="B66:C66"/>
    <mergeCell ref="D66:E66"/>
    <mergeCell ref="F66:G66"/>
    <mergeCell ref="H66:I66"/>
    <mergeCell ref="A59:F59"/>
    <mergeCell ref="H59:I59"/>
    <mergeCell ref="A60:F60"/>
    <mergeCell ref="H60:I60"/>
    <mergeCell ref="A61:F61"/>
    <mergeCell ref="H61:I61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5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O618"/>
  <sheetViews>
    <sheetView view="pageBreakPreview" zoomScale="55" zoomScaleNormal="100" zoomScaleSheetLayoutView="55" workbookViewId="0">
      <selection activeCell="K5" sqref="K5:L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254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255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256</v>
      </c>
      <c r="L5" s="557"/>
    </row>
    <row r="6" spans="1:15" s="16" customFormat="1" ht="16.5" customHeight="1">
      <c r="A6" s="22" t="s">
        <v>10</v>
      </c>
      <c r="B6" s="556" t="s">
        <v>257</v>
      </c>
      <c r="C6" s="556"/>
      <c r="D6" s="556"/>
      <c r="E6" s="556"/>
      <c r="F6" s="556"/>
      <c r="G6" s="556"/>
      <c r="H6" s="556"/>
      <c r="I6" s="21" t="s">
        <v>8</v>
      </c>
      <c r="J6" s="21"/>
      <c r="K6" s="669" t="s">
        <v>259</v>
      </c>
      <c r="L6" s="669"/>
    </row>
    <row r="7" spans="1:15" s="16" customFormat="1" ht="16.5" customHeight="1">
      <c r="A7" s="22"/>
      <c r="J7" s="59"/>
      <c r="K7" s="62"/>
      <c r="L7" s="62"/>
    </row>
    <row r="8" spans="1:15" ht="16.5" customHeigh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555"/>
      <c r="L8" s="555"/>
    </row>
    <row r="9" spans="1:15" s="2" customFormat="1" ht="16.5" customHeight="1">
      <c r="A9" s="552" t="s">
        <v>13</v>
      </c>
      <c r="B9" s="552" t="s">
        <v>14</v>
      </c>
      <c r="C9" s="552"/>
      <c r="D9" s="552"/>
      <c r="E9" s="552"/>
      <c r="F9" s="552"/>
      <c r="G9" s="552" t="s">
        <v>15</v>
      </c>
      <c r="H9" s="552"/>
      <c r="I9" s="552"/>
      <c r="J9" s="553" t="s">
        <v>16</v>
      </c>
      <c r="K9" s="553"/>
      <c r="L9" s="552" t="s">
        <v>17</v>
      </c>
    </row>
    <row r="10" spans="1:15" s="2" customFormat="1" ht="16.5" customHeight="1">
      <c r="A10" s="552"/>
      <c r="B10" s="552"/>
      <c r="C10" s="552"/>
      <c r="D10" s="552"/>
      <c r="E10" s="552"/>
      <c r="F10" s="552"/>
      <c r="G10" s="552"/>
      <c r="H10" s="552"/>
      <c r="I10" s="552"/>
      <c r="J10" s="60" t="s">
        <v>18</v>
      </c>
      <c r="K10" s="20" t="s">
        <v>19</v>
      </c>
      <c r="L10" s="552"/>
    </row>
    <row r="11" spans="1:15" s="18" customFormat="1" ht="16.5" customHeight="1">
      <c r="A11" s="79"/>
      <c r="B11" s="558"/>
      <c r="C11" s="558"/>
      <c r="D11" s="558"/>
      <c r="E11" s="558"/>
      <c r="F11" s="558"/>
      <c r="G11" s="559"/>
      <c r="H11" s="559"/>
      <c r="I11" s="559"/>
      <c r="J11" s="216"/>
      <c r="K11" s="53"/>
      <c r="L11" s="55"/>
    </row>
    <row r="12" spans="1:15" s="18" customFormat="1" ht="16.5" customHeight="1">
      <c r="A12" s="215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/>
      <c r="B13" s="558"/>
      <c r="C13" s="558"/>
      <c r="D13" s="558"/>
      <c r="E13" s="558"/>
      <c r="F13" s="558"/>
      <c r="G13" s="559"/>
      <c r="H13" s="559"/>
      <c r="I13" s="559"/>
      <c r="J13" s="216"/>
      <c r="K13" s="53"/>
      <c r="L13" s="55"/>
      <c r="N13" s="18">
        <f>8*9</f>
        <v>72</v>
      </c>
    </row>
    <row r="14" spans="1:15" s="18" customFormat="1" ht="16.5" customHeight="1">
      <c r="A14" s="215"/>
      <c r="B14" s="558"/>
      <c r="C14" s="558"/>
      <c r="D14" s="558"/>
      <c r="E14" s="558"/>
      <c r="F14" s="558"/>
      <c r="G14" s="559"/>
      <c r="H14" s="559"/>
      <c r="I14" s="559"/>
      <c r="J14" s="216"/>
      <c r="K14" s="53"/>
      <c r="L14" s="55"/>
      <c r="N14" s="18">
        <f>75*1.5</f>
        <v>112.5</v>
      </c>
      <c r="O14" s="18">
        <f>102/1.5</f>
        <v>68</v>
      </c>
    </row>
    <row r="15" spans="1:15" s="18" customFormat="1" ht="16.5" customHeight="1">
      <c r="A15" s="215"/>
      <c r="B15" s="558"/>
      <c r="C15" s="558"/>
      <c r="D15" s="558"/>
      <c r="E15" s="558"/>
      <c r="F15" s="558"/>
      <c r="G15" s="559"/>
      <c r="H15" s="559"/>
      <c r="I15" s="559"/>
      <c r="J15" s="53"/>
      <c r="K15" s="53"/>
      <c r="L15" s="55"/>
      <c r="N15" s="18">
        <v>3</v>
      </c>
    </row>
    <row r="16" spans="1:15" s="18" customFormat="1" ht="16.5" customHeight="1">
      <c r="A16" s="54"/>
      <c r="B16" s="558"/>
      <c r="C16" s="558"/>
      <c r="D16" s="558"/>
      <c r="E16" s="558"/>
      <c r="F16" s="558"/>
      <c r="G16" s="559"/>
      <c r="H16" s="559"/>
      <c r="I16" s="559"/>
      <c r="J16" s="53"/>
      <c r="K16" s="53"/>
      <c r="L16" s="55"/>
      <c r="N16" s="18">
        <f>N14*3</f>
        <v>337.5</v>
      </c>
    </row>
    <row r="17" spans="1:12" s="18" customFormat="1" ht="16.5" customHeight="1">
      <c r="A17" s="54"/>
      <c r="B17" s="562"/>
      <c r="C17" s="562"/>
      <c r="D17" s="562"/>
      <c r="E17" s="562"/>
      <c r="F17" s="562"/>
      <c r="G17" s="559"/>
      <c r="H17" s="559"/>
      <c r="I17" s="559"/>
      <c r="J17" s="53"/>
      <c r="K17" s="53"/>
      <c r="L17" s="55"/>
    </row>
    <row r="18" spans="1:12" s="18" customFormat="1" ht="16.5" customHeight="1">
      <c r="A18" s="54"/>
      <c r="B18" s="562"/>
      <c r="C18" s="562"/>
      <c r="D18" s="562"/>
      <c r="E18" s="562"/>
      <c r="F18" s="562"/>
      <c r="G18" s="559"/>
      <c r="H18" s="559"/>
      <c r="I18" s="559"/>
      <c r="J18" s="53"/>
      <c r="K18" s="53"/>
      <c r="L18" s="55"/>
    </row>
    <row r="19" spans="1:12" s="18" customFormat="1" ht="16.5" customHeight="1">
      <c r="A19" s="61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2" s="18" customFormat="1" ht="16.5" customHeight="1">
      <c r="A20" s="61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2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2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2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2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2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2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2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2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2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2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2" s="18" customFormat="1" ht="16.5" customHeight="1">
      <c r="A31" s="66"/>
      <c r="B31" s="566"/>
      <c r="C31" s="566"/>
      <c r="D31" s="566"/>
      <c r="E31" s="566"/>
      <c r="F31" s="566"/>
      <c r="G31" s="66"/>
      <c r="H31" s="41"/>
      <c r="I31" s="41"/>
      <c r="J31" s="42"/>
      <c r="K31" s="43"/>
      <c r="L31" s="3"/>
    </row>
    <row r="32" spans="1:12" s="18" customFormat="1" ht="16.5" customHeight="1">
      <c r="A32" s="26" t="s">
        <v>23</v>
      </c>
      <c r="B32" s="67"/>
      <c r="C32" s="67"/>
      <c r="D32" s="67"/>
      <c r="E32" s="67"/>
      <c r="F32" s="17"/>
      <c r="G32" s="17"/>
      <c r="H32" s="17"/>
      <c r="I32" s="17"/>
      <c r="J32" s="17"/>
      <c r="K32" s="3"/>
      <c r="L32" s="3"/>
    </row>
    <row r="33" spans="1:12" s="25" customFormat="1" ht="16.5" customHeight="1">
      <c r="A33" s="19" t="s">
        <v>13</v>
      </c>
      <c r="B33" s="567" t="s">
        <v>14</v>
      </c>
      <c r="C33" s="567"/>
      <c r="D33" s="567"/>
      <c r="E33" s="567"/>
      <c r="F33" s="567"/>
      <c r="G33" s="568" t="s">
        <v>24</v>
      </c>
      <c r="H33" s="568"/>
      <c r="I33" s="63" t="s">
        <v>17</v>
      </c>
      <c r="J33" s="60" t="s">
        <v>25</v>
      </c>
      <c r="K33" s="60" t="s">
        <v>26</v>
      </c>
      <c r="L33" s="60" t="s">
        <v>27</v>
      </c>
    </row>
    <row r="34" spans="1:12" s="18" customFormat="1" ht="16.5" customHeight="1">
      <c r="A34" s="317"/>
      <c r="B34" s="563"/>
      <c r="C34" s="563"/>
      <c r="D34" s="563"/>
      <c r="E34" s="563"/>
      <c r="F34" s="563"/>
      <c r="G34" s="564"/>
      <c r="H34" s="564"/>
      <c r="I34" s="64"/>
      <c r="J34" s="64"/>
      <c r="K34" s="55"/>
      <c r="L34" s="55"/>
    </row>
    <row r="35" spans="1:12" s="52" customFormat="1" ht="16.5" customHeight="1">
      <c r="A35" s="79"/>
      <c r="B35" s="563"/>
      <c r="C35" s="563"/>
      <c r="D35" s="563"/>
      <c r="E35" s="563"/>
      <c r="F35" s="563"/>
      <c r="G35" s="564"/>
      <c r="H35" s="564"/>
      <c r="I35" s="64"/>
      <c r="J35" s="64"/>
      <c r="K35" s="55"/>
      <c r="L35" s="55"/>
    </row>
    <row r="36" spans="1:12" s="52" customFormat="1" ht="16.5" customHeight="1">
      <c r="A36" s="79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79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32"/>
      <c r="B38" s="565"/>
      <c r="C38" s="565"/>
      <c r="D38" s="565"/>
      <c r="E38" s="565"/>
      <c r="F38" s="565"/>
      <c r="G38" s="565"/>
      <c r="H38" s="565"/>
      <c r="I38" s="565"/>
      <c r="J38" s="17"/>
      <c r="K38" s="3"/>
      <c r="L38" s="3"/>
    </row>
    <row r="39" spans="1:12" s="51" customFormat="1" ht="16.5" customHeight="1">
      <c r="A39" s="34" t="s">
        <v>28</v>
      </c>
      <c r="B39" s="34"/>
      <c r="C39" s="34"/>
      <c r="D39" s="34"/>
      <c r="E39" s="34"/>
      <c r="F39" s="17"/>
      <c r="G39" s="38"/>
      <c r="H39" s="36" t="s">
        <v>29</v>
      </c>
      <c r="I39" s="34"/>
      <c r="J39" s="34"/>
      <c r="K39" s="34"/>
      <c r="L39" s="34"/>
    </row>
    <row r="40" spans="1:12" s="51" customFormat="1" ht="16.5" customHeight="1">
      <c r="A40" s="569"/>
      <c r="B40" s="569"/>
      <c r="C40" s="569"/>
      <c r="D40" s="569"/>
      <c r="E40" s="569"/>
      <c r="F40" s="569"/>
      <c r="G40" s="56"/>
      <c r="H40" s="569"/>
      <c r="I40" s="569"/>
      <c r="J40" s="569"/>
      <c r="K40" s="569"/>
      <c r="L40" s="569"/>
    </row>
    <row r="41" spans="1:12" s="51" customFormat="1" ht="16.5" customHeight="1">
      <c r="A41" s="571"/>
      <c r="B41" s="571"/>
      <c r="C41" s="571"/>
      <c r="D41" s="571"/>
      <c r="E41" s="571"/>
      <c r="F41" s="571"/>
      <c r="G41" s="56"/>
      <c r="H41" s="569"/>
      <c r="I41" s="569"/>
      <c r="J41" s="569"/>
      <c r="K41" s="569"/>
      <c r="L41" s="569"/>
    </row>
    <row r="42" spans="1:12" s="51" customFormat="1" ht="16.5" customHeight="1">
      <c r="A42" s="571"/>
      <c r="B42" s="571"/>
      <c r="C42" s="571"/>
      <c r="D42" s="571"/>
      <c r="E42" s="571"/>
      <c r="F42" s="571"/>
      <c r="G42" s="57"/>
      <c r="H42" s="569"/>
      <c r="I42" s="569"/>
      <c r="J42" s="569"/>
      <c r="K42" s="569"/>
      <c r="L42" s="569"/>
    </row>
    <row r="43" spans="1:12" s="51" customFormat="1" ht="16.5" customHeight="1">
      <c r="A43" s="569"/>
      <c r="B43" s="569"/>
      <c r="C43" s="569"/>
      <c r="D43" s="569"/>
      <c r="E43" s="569"/>
      <c r="F43" s="569"/>
      <c r="G43" s="57"/>
      <c r="H43" s="569"/>
      <c r="I43" s="569"/>
      <c r="J43" s="569"/>
      <c r="K43" s="569"/>
      <c r="L43" s="569"/>
    </row>
    <row r="44" spans="1:12" s="51" customFormat="1" ht="16.5" customHeight="1">
      <c r="A44" s="570"/>
      <c r="B44" s="570"/>
      <c r="C44" s="570"/>
      <c r="D44" s="570"/>
      <c r="E44" s="570"/>
      <c r="F44" s="570"/>
      <c r="G44" s="39"/>
      <c r="H44" s="569"/>
      <c r="I44" s="569"/>
      <c r="J44" s="569"/>
      <c r="K44" s="569"/>
      <c r="L44" s="569"/>
    </row>
    <row r="45" spans="1:12" s="3" customFormat="1" ht="16.5" customHeight="1">
      <c r="A45" s="571"/>
      <c r="B45" s="571"/>
      <c r="C45" s="571"/>
      <c r="D45" s="571"/>
      <c r="E45" s="571"/>
      <c r="F45" s="571"/>
      <c r="G45" s="56"/>
      <c r="H45" s="569"/>
      <c r="I45" s="569"/>
      <c r="J45" s="569"/>
      <c r="K45" s="569"/>
      <c r="L45" s="569"/>
    </row>
    <row r="46" spans="1:12" s="3" customFormat="1" ht="16.5" customHeight="1">
      <c r="A46" s="571"/>
      <c r="B46" s="571"/>
      <c r="C46" s="571"/>
      <c r="D46" s="571"/>
      <c r="E46" s="571"/>
      <c r="F46" s="571"/>
      <c r="G46" s="57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6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7"/>
      <c r="H49" s="569"/>
      <c r="I49" s="569"/>
      <c r="J49" s="569"/>
      <c r="K49" s="569"/>
      <c r="L49" s="569"/>
    </row>
    <row r="50" spans="1:12" s="3" customFormat="1" ht="16.5" customHeight="1">
      <c r="A50" s="572"/>
      <c r="B50" s="572"/>
      <c r="C50" s="572"/>
      <c r="D50" s="572"/>
      <c r="E50" s="572"/>
      <c r="F50" s="572"/>
      <c r="G50" s="57"/>
      <c r="H50" s="572"/>
      <c r="I50" s="572"/>
      <c r="J50" s="572"/>
      <c r="K50" s="572"/>
      <c r="L50" s="572"/>
    </row>
    <row r="51" spans="1:12" s="3" customFormat="1" ht="16.5" customHeight="1">
      <c r="A51" s="70" t="s">
        <v>34</v>
      </c>
      <c r="B51" s="5"/>
      <c r="C51" s="4"/>
      <c r="H51" s="573" t="s">
        <v>35</v>
      </c>
      <c r="I51" s="573"/>
      <c r="J51" s="573"/>
      <c r="K51" s="573" t="s">
        <v>36</v>
      </c>
      <c r="L51" s="573"/>
    </row>
    <row r="52" spans="1:12" s="3" customFormat="1" ht="16.5" customHeight="1">
      <c r="A52" s="576"/>
      <c r="B52" s="576"/>
      <c r="C52" s="576"/>
      <c r="D52" s="576"/>
      <c r="E52" s="576"/>
      <c r="F52" s="576"/>
      <c r="G52" s="71"/>
      <c r="H52" s="577" t="s">
        <v>14</v>
      </c>
      <c r="I52" s="577"/>
      <c r="J52" s="74" t="s">
        <v>24</v>
      </c>
      <c r="K52" s="74" t="s">
        <v>14</v>
      </c>
      <c r="L52" s="74" t="s">
        <v>24</v>
      </c>
    </row>
    <row r="53" spans="1:12" s="3" customFormat="1" ht="16.5" customHeight="1">
      <c r="A53" s="574"/>
      <c r="B53" s="574"/>
      <c r="C53" s="574"/>
      <c r="D53" s="574"/>
      <c r="E53" s="574"/>
      <c r="F53" s="574"/>
      <c r="G53" s="72"/>
      <c r="H53" s="575"/>
      <c r="I53" s="575"/>
      <c r="J53" s="55"/>
      <c r="K53" s="76"/>
      <c r="L53" s="55"/>
    </row>
    <row r="54" spans="1:12" s="3" customFormat="1" ht="16.5" customHeight="1">
      <c r="A54" s="574"/>
      <c r="B54" s="574"/>
      <c r="C54" s="574"/>
      <c r="D54" s="574"/>
      <c r="E54" s="574"/>
      <c r="F54" s="574"/>
      <c r="G54" s="72"/>
      <c r="H54" s="575"/>
      <c r="I54" s="575"/>
      <c r="J54" s="55"/>
      <c r="K54" s="76"/>
      <c r="L54" s="55"/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/>
      <c r="I55" s="575"/>
      <c r="J55" s="55"/>
      <c r="K55" s="76"/>
      <c r="L55" s="55"/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/>
      <c r="I56" s="575"/>
      <c r="J56" s="55"/>
      <c r="K56" s="76"/>
      <c r="L56" s="55"/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/>
      <c r="I57" s="575"/>
      <c r="J57" s="55"/>
      <c r="K57" s="77"/>
      <c r="L57" s="55"/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/>
      <c r="I58" s="575"/>
      <c r="J58" s="73"/>
      <c r="L58" s="73"/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73"/>
      <c r="K59" s="77"/>
      <c r="L59" s="73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K60" s="77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45"/>
      <c r="B63" s="46"/>
      <c r="C63" s="46"/>
      <c r="D63" s="46"/>
      <c r="E63" s="44"/>
      <c r="F63" s="46"/>
      <c r="G63" s="46"/>
      <c r="H63" s="46"/>
      <c r="I63" s="46"/>
      <c r="J63" s="46"/>
      <c r="K63" s="47"/>
      <c r="L63" s="46"/>
    </row>
    <row r="64" spans="1:12" s="3" customFormat="1" ht="16.5" customHeight="1">
      <c r="A64" s="45" t="s">
        <v>45</v>
      </c>
      <c r="B64" s="46"/>
      <c r="C64" s="46"/>
      <c r="D64" s="46"/>
      <c r="E64" s="44"/>
      <c r="F64" s="46"/>
      <c r="G64" s="46"/>
      <c r="H64" s="46"/>
      <c r="I64" s="46"/>
      <c r="J64" s="46"/>
      <c r="K64" s="47"/>
      <c r="L64" s="46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8"/>
      <c r="J65" s="48"/>
      <c r="K65" s="47"/>
      <c r="L65" s="46"/>
    </row>
    <row r="66" spans="1:14" s="3" customFormat="1" ht="31.5" customHeight="1">
      <c r="A66" s="46" t="s">
        <v>46</v>
      </c>
      <c r="B66" s="578" t="s">
        <v>47</v>
      </c>
      <c r="C66" s="579"/>
      <c r="D66" s="578" t="s">
        <v>48</v>
      </c>
      <c r="E66" s="579"/>
      <c r="F66" s="578" t="s">
        <v>49</v>
      </c>
      <c r="G66" s="579"/>
      <c r="H66" s="578" t="s">
        <v>50</v>
      </c>
      <c r="I66" s="579"/>
      <c r="J66" s="578" t="s">
        <v>51</v>
      </c>
      <c r="K66" s="579"/>
      <c r="L66" s="49"/>
    </row>
    <row r="67" spans="1:14" s="3" customFormat="1" ht="16.5" customHeight="1">
      <c r="A67" s="50"/>
      <c r="B67" s="583"/>
      <c r="C67" s="584"/>
      <c r="D67" s="587"/>
      <c r="E67" s="588"/>
      <c r="F67" s="665"/>
      <c r="G67" s="666"/>
      <c r="H67" s="665"/>
      <c r="I67" s="666"/>
      <c r="J67" s="587"/>
      <c r="K67" s="588"/>
      <c r="L67" s="49"/>
    </row>
    <row r="68" spans="1:14" s="22" customFormat="1" ht="16.5" customHeight="1">
      <c r="A68" s="50"/>
      <c r="B68" s="585"/>
      <c r="C68" s="586"/>
      <c r="D68" s="589"/>
      <c r="E68" s="590"/>
      <c r="F68" s="667"/>
      <c r="G68" s="668"/>
      <c r="H68" s="667"/>
      <c r="I68" s="668"/>
      <c r="J68" s="589"/>
      <c r="K68" s="590"/>
      <c r="L68" s="49"/>
    </row>
    <row r="69" spans="1:14" s="22" customFormat="1" ht="16.5" customHeight="1">
      <c r="A69" s="35"/>
      <c r="B69" s="27"/>
      <c r="C69" s="27"/>
      <c r="D69" s="27"/>
      <c r="E69" s="35"/>
      <c r="F69" s="58"/>
      <c r="G69" s="58"/>
      <c r="H69" s="58"/>
      <c r="I69" s="58"/>
      <c r="J69" s="68"/>
      <c r="K69" s="68"/>
      <c r="L69" s="3"/>
    </row>
    <row r="70" spans="1:14" s="22" customFormat="1" ht="16.5" customHeight="1">
      <c r="A70" s="35" t="s">
        <v>53</v>
      </c>
      <c r="B70" s="27"/>
      <c r="C70" s="27"/>
      <c r="D70" s="35" t="s">
        <v>54</v>
      </c>
      <c r="F70" s="58"/>
      <c r="H70" s="35" t="s">
        <v>250</v>
      </c>
      <c r="I70" s="58"/>
      <c r="K70" s="68" t="s">
        <v>55</v>
      </c>
      <c r="L70" s="3"/>
    </row>
    <row r="71" spans="1:14" s="22" customFormat="1" ht="16.5" customHeight="1">
      <c r="A71" s="29"/>
      <c r="B71" s="29"/>
      <c r="C71" s="29"/>
      <c r="D71" s="29"/>
      <c r="E71" s="29"/>
      <c r="F71" s="29"/>
      <c r="H71" s="29"/>
      <c r="I71" s="29"/>
      <c r="J71" s="3"/>
      <c r="K71" s="3"/>
      <c r="L71" s="3"/>
    </row>
    <row r="72" spans="1:14" s="22" customFormat="1" ht="16.5" customHeight="1">
      <c r="A72" s="659" t="s">
        <v>251</v>
      </c>
      <c r="B72" s="659"/>
      <c r="C72" s="318"/>
      <c r="D72" s="660" t="s">
        <v>57</v>
      </c>
      <c r="E72" s="660"/>
      <c r="F72" s="660"/>
      <c r="H72" s="661" t="s">
        <v>247</v>
      </c>
      <c r="I72" s="661"/>
      <c r="J72" s="661"/>
      <c r="K72" s="662" t="s">
        <v>251</v>
      </c>
      <c r="L72" s="662"/>
      <c r="N72" s="218" t="e">
        <f>#REF!+1.27</f>
        <v>#REF!</v>
      </c>
    </row>
    <row r="73" spans="1:14" s="3" customFormat="1" ht="16.5" customHeight="1">
      <c r="A73" s="663" t="s">
        <v>59</v>
      </c>
      <c r="B73" s="663"/>
      <c r="C73" s="319"/>
      <c r="D73" s="664" t="s">
        <v>60</v>
      </c>
      <c r="E73" s="664"/>
      <c r="F73" s="664"/>
      <c r="H73" s="663" t="s">
        <v>252</v>
      </c>
      <c r="I73" s="663"/>
      <c r="J73" s="663"/>
      <c r="K73" s="320" t="s">
        <v>253</v>
      </c>
      <c r="L73" s="320"/>
    </row>
    <row r="74" spans="1:14" s="3" customFormat="1" ht="16.5" customHeight="1">
      <c r="A74" s="37"/>
      <c r="B74" s="27"/>
      <c r="C74" s="27"/>
      <c r="D74" s="27"/>
      <c r="E74" s="27"/>
      <c r="F74" s="29"/>
      <c r="G74" s="29"/>
      <c r="H74" s="29"/>
      <c r="I74" s="29"/>
      <c r="J74" s="29"/>
    </row>
    <row r="75" spans="1:14" s="3" customFormat="1" ht="16.5" customHeight="1">
      <c r="A75" s="37"/>
      <c r="B75" s="27"/>
      <c r="C75" s="27"/>
      <c r="D75" s="27"/>
      <c r="E75" s="27"/>
      <c r="F75" s="29"/>
      <c r="G75" s="29"/>
      <c r="H75" s="29"/>
      <c r="I75" s="29"/>
      <c r="J75" s="29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  <c r="N76" s="3">
        <f>84.35+1.27</f>
        <v>85.61999999999999</v>
      </c>
    </row>
    <row r="77" spans="1:14" s="3" customFormat="1" ht="16.5" customHeight="1">
      <c r="A77" s="37"/>
      <c r="B77" s="27"/>
      <c r="C77" s="27"/>
      <c r="D77" s="27"/>
      <c r="E77" s="27"/>
      <c r="F77" s="30"/>
      <c r="G77" s="30"/>
      <c r="H77" s="30"/>
      <c r="I77" s="30"/>
      <c r="J77" s="30"/>
    </row>
    <row r="78" spans="1:14" s="3" customFormat="1" ht="16.5" customHeight="1">
      <c r="A78" s="37"/>
      <c r="B78" s="27"/>
      <c r="C78" s="27"/>
      <c r="D78" s="27"/>
      <c r="E78" s="27"/>
      <c r="F78" s="30"/>
      <c r="G78" s="30"/>
      <c r="H78" s="30"/>
      <c r="I78" s="30"/>
      <c r="J78" s="30"/>
    </row>
    <row r="79" spans="1:14" s="3" customFormat="1" ht="15" customHeight="1">
      <c r="A79" s="27"/>
      <c r="B79" s="27"/>
      <c r="C79" s="27"/>
      <c r="D79" s="27"/>
      <c r="E79" s="27"/>
      <c r="F79" s="29"/>
      <c r="G79" s="29"/>
      <c r="H79" s="29"/>
      <c r="I79" s="29"/>
      <c r="J79" s="29"/>
    </row>
    <row r="80" spans="1:14" s="3" customFormat="1" ht="15" customHeight="1">
      <c r="A80" s="27"/>
      <c r="B80" s="27"/>
      <c r="C80" s="27"/>
      <c r="D80" s="27"/>
      <c r="E80" s="27"/>
      <c r="F80" s="28"/>
      <c r="G80" s="28"/>
      <c r="H80" s="28"/>
      <c r="I80" s="28"/>
      <c r="J80" s="28"/>
    </row>
    <row r="81" spans="1:10" s="3" customFormat="1" ht="15" customHeight="1">
      <c r="A81" s="27"/>
      <c r="B81" s="27"/>
      <c r="C81" s="27"/>
      <c r="D81" s="27"/>
      <c r="E81" s="27"/>
      <c r="F81" s="30"/>
      <c r="G81" s="30"/>
      <c r="H81" s="30"/>
      <c r="I81" s="30"/>
      <c r="J81" s="30"/>
    </row>
    <row r="82" spans="1:10" s="3" customFormat="1" ht="15" customHeight="1">
      <c r="A82" s="27"/>
      <c r="B82" s="27"/>
      <c r="C82" s="27"/>
      <c r="D82" s="27"/>
      <c r="E82" s="27"/>
      <c r="F82" s="29"/>
      <c r="G82" s="29"/>
      <c r="H82" s="29"/>
      <c r="I82" s="29"/>
      <c r="J82" s="29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7.399999999999999">
      <c r="A84" s="27"/>
      <c r="B84" s="27"/>
      <c r="C84" s="27"/>
      <c r="D84" s="27"/>
      <c r="E84" s="27"/>
      <c r="F84" s="30"/>
      <c r="G84" s="30"/>
      <c r="H84" s="30"/>
      <c r="I84" s="30"/>
      <c r="J84" s="30"/>
    </row>
    <row r="85" spans="1:10" s="3" customFormat="1" ht="21.9" customHeight="1">
      <c r="A85" s="27"/>
      <c r="B85" s="27"/>
      <c r="C85" s="27"/>
      <c r="D85" s="27"/>
      <c r="E85" s="27"/>
      <c r="F85" s="29"/>
      <c r="G85" s="29"/>
      <c r="H85" s="29"/>
      <c r="I85" s="29"/>
      <c r="J85" s="29"/>
    </row>
    <row r="86" spans="1:10" s="3" customFormat="1" ht="21.9" customHeight="1">
      <c r="A86" s="27"/>
      <c r="B86" s="27"/>
      <c r="C86" s="27"/>
      <c r="D86" s="27"/>
      <c r="E86" s="27"/>
      <c r="F86" s="29"/>
      <c r="G86" s="29"/>
      <c r="H86" s="29"/>
      <c r="I86" s="29"/>
      <c r="J86" s="29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30"/>
      <c r="G92" s="30"/>
      <c r="H92" s="30"/>
      <c r="I92" s="30"/>
      <c r="J92" s="30"/>
    </row>
    <row r="93" spans="1:10" s="3" customFormat="1" ht="21.9" customHeight="1">
      <c r="A93" s="27"/>
      <c r="B93" s="27"/>
      <c r="C93" s="27"/>
      <c r="D93" s="27"/>
      <c r="E93" s="27"/>
      <c r="F93" s="30"/>
      <c r="G93" s="30"/>
      <c r="H93" s="30"/>
      <c r="I93" s="30"/>
      <c r="J93" s="30"/>
    </row>
    <row r="94" spans="1:10" s="3" customFormat="1" ht="21.9" customHeight="1">
      <c r="A94" s="27"/>
      <c r="B94" s="27"/>
      <c r="C94" s="27"/>
      <c r="D94" s="27"/>
      <c r="E94" s="27"/>
      <c r="F94" s="29"/>
      <c r="G94" s="29"/>
      <c r="H94" s="29"/>
      <c r="I94" s="29"/>
      <c r="J94" s="29"/>
    </row>
    <row r="95" spans="1:10" s="3" customFormat="1" ht="21.9" customHeight="1">
      <c r="A95" s="27"/>
      <c r="B95" s="27"/>
      <c r="C95" s="27"/>
      <c r="D95" s="27"/>
      <c r="E95" s="27"/>
      <c r="F95" s="29"/>
      <c r="G95" s="29"/>
      <c r="H95" s="29"/>
      <c r="I95" s="29"/>
      <c r="J95" s="29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4"/>
      <c r="G121" s="4"/>
      <c r="H121" s="4"/>
      <c r="I121" s="4"/>
      <c r="J121" s="4"/>
    </row>
    <row r="122" spans="1:10" s="3" customFormat="1" ht="21.9" customHeight="1">
      <c r="A122" s="27"/>
      <c r="B122" s="27"/>
      <c r="C122" s="27"/>
      <c r="D122" s="27"/>
      <c r="E122" s="27"/>
      <c r="F122" s="4"/>
      <c r="G122" s="4"/>
      <c r="H122" s="4"/>
      <c r="I122" s="4"/>
      <c r="J122" s="4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29"/>
      <c r="G124" s="29"/>
      <c r="H124" s="29"/>
      <c r="I124" s="29"/>
      <c r="J124" s="29"/>
    </row>
    <row r="125" spans="1:10" s="3" customFormat="1" ht="21.9" customHeight="1">
      <c r="A125" s="27"/>
      <c r="B125" s="27"/>
      <c r="C125" s="27"/>
      <c r="D125" s="27"/>
      <c r="E125" s="27"/>
      <c r="F125" s="29"/>
      <c r="G125" s="29"/>
      <c r="H125" s="29"/>
      <c r="I125" s="29"/>
      <c r="J125" s="29"/>
    </row>
    <row r="126" spans="1:10" s="3" customFormat="1" ht="21.9" customHeight="1">
      <c r="A126" s="27"/>
      <c r="B126" s="27"/>
      <c r="C126" s="27"/>
      <c r="D126" s="27"/>
      <c r="E126" s="27"/>
      <c r="F126" s="4"/>
      <c r="G126" s="4"/>
      <c r="H126" s="4"/>
      <c r="I126" s="4"/>
      <c r="J126" s="4"/>
    </row>
    <row r="127" spans="1:10" s="3" customFormat="1" ht="21.9" customHeight="1">
      <c r="A127" s="27"/>
      <c r="B127" s="27"/>
      <c r="C127" s="27"/>
      <c r="D127" s="27"/>
      <c r="E127" s="27"/>
      <c r="F127" s="4"/>
      <c r="G127" s="4"/>
      <c r="H127" s="4"/>
      <c r="I127" s="4"/>
      <c r="J127" s="4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29"/>
      <c r="G129" s="29"/>
      <c r="H129" s="29"/>
      <c r="I129" s="29"/>
      <c r="J129" s="29"/>
    </row>
    <row r="130" spans="1:10" s="3" customFormat="1" ht="21.9" customHeight="1">
      <c r="A130" s="27"/>
      <c r="B130" s="27"/>
      <c r="C130" s="27"/>
      <c r="D130" s="27"/>
      <c r="E130" s="27"/>
      <c r="F130" s="29"/>
      <c r="G130" s="29"/>
      <c r="H130" s="29"/>
      <c r="I130" s="29"/>
      <c r="J130" s="29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31"/>
      <c r="G132" s="31"/>
      <c r="H132" s="31"/>
      <c r="I132" s="31"/>
      <c r="J132" s="31"/>
    </row>
    <row r="133" spans="1:10" s="3" customFormat="1" ht="21.9" customHeight="1">
      <c r="A133" s="32"/>
      <c r="B133" s="32"/>
      <c r="C133" s="32"/>
      <c r="D133" s="32"/>
      <c r="E133" s="32"/>
      <c r="F133" s="31"/>
      <c r="G133" s="31"/>
      <c r="H133" s="31"/>
      <c r="I133" s="31"/>
      <c r="J133" s="31"/>
    </row>
    <row r="134" spans="1:10" s="3" customFormat="1" ht="21.9" customHeight="1">
      <c r="A134" s="32"/>
      <c r="B134" s="32"/>
      <c r="C134" s="32"/>
      <c r="D134" s="32"/>
      <c r="E134" s="32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28"/>
      <c r="G141" s="28"/>
      <c r="H141" s="28"/>
      <c r="I141" s="28"/>
      <c r="J141" s="28"/>
    </row>
    <row r="142" spans="1:10" s="3" customFormat="1" ht="21.9" customHeight="1">
      <c r="A142" s="32"/>
      <c r="B142" s="32"/>
      <c r="C142" s="32"/>
      <c r="D142" s="32"/>
      <c r="E142" s="32"/>
      <c r="F142" s="28"/>
      <c r="G142" s="28"/>
      <c r="H142" s="28"/>
      <c r="I142" s="28"/>
      <c r="J142" s="28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31"/>
      <c r="G145" s="31"/>
      <c r="H145" s="31"/>
      <c r="I145" s="31"/>
      <c r="J145" s="31"/>
    </row>
    <row r="146" spans="1:12" s="3" customFormat="1" ht="21.9" customHeight="1">
      <c r="A146" s="32"/>
      <c r="B146" s="32"/>
      <c r="C146" s="32"/>
      <c r="D146" s="32"/>
      <c r="E146" s="32"/>
      <c r="F146" s="31"/>
      <c r="G146" s="31"/>
      <c r="H146" s="31"/>
      <c r="I146" s="31"/>
      <c r="J146" s="31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29"/>
      <c r="G148" s="29"/>
      <c r="H148" s="29"/>
      <c r="I148" s="29"/>
      <c r="J148" s="29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31"/>
      <c r="G150" s="31"/>
      <c r="H150" s="31"/>
      <c r="I150" s="31"/>
      <c r="J150" s="31"/>
    </row>
    <row r="151" spans="1:12" s="3" customFormat="1" ht="21.9" customHeight="1">
      <c r="A151" s="32"/>
      <c r="B151" s="32"/>
      <c r="C151" s="32"/>
      <c r="D151" s="32"/>
      <c r="E151" s="32"/>
      <c r="F151" s="33"/>
      <c r="G151" s="33"/>
      <c r="H151" s="33"/>
      <c r="I151" s="33"/>
      <c r="J151" s="33"/>
    </row>
    <row r="152" spans="1:12" s="3" customFormat="1" ht="21.9" customHeight="1">
      <c r="A152" s="32"/>
      <c r="B152" s="32"/>
      <c r="C152" s="32"/>
      <c r="D152" s="32"/>
      <c r="E152" s="32"/>
      <c r="F152" s="33"/>
      <c r="G152" s="33"/>
      <c r="H152" s="33"/>
      <c r="I152" s="33"/>
      <c r="J152" s="33"/>
    </row>
    <row r="153" spans="1:12" s="3" customFormat="1" ht="21.9" customHeight="1">
      <c r="A153" s="13"/>
      <c r="B153" s="13"/>
      <c r="C153" s="13"/>
      <c r="D153" s="13"/>
      <c r="E153" s="13"/>
      <c r="F153" s="14"/>
      <c r="G153" s="14"/>
      <c r="H153" s="14"/>
      <c r="I153" s="14"/>
      <c r="J153" s="14"/>
      <c r="K153" s="9"/>
      <c r="L153" s="9"/>
    </row>
    <row r="154" spans="1:12" s="3" customFormat="1" ht="21.9" customHeight="1">
      <c r="A154" s="13"/>
      <c r="B154" s="13"/>
      <c r="C154" s="13"/>
      <c r="D154" s="13"/>
      <c r="E154" s="13"/>
      <c r="F154" s="14"/>
      <c r="G154" s="14"/>
      <c r="H154" s="14"/>
      <c r="I154" s="14"/>
      <c r="J154" s="14"/>
      <c r="K154" s="9"/>
      <c r="L154" s="9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0"/>
      <c r="G158" s="10"/>
      <c r="H158" s="10"/>
      <c r="I158" s="10"/>
      <c r="J158" s="10"/>
      <c r="K158" s="9"/>
      <c r="L158" s="9"/>
    </row>
    <row r="159" spans="1:12" s="9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</row>
    <row r="160" spans="1:12" s="9" customFormat="1" ht="21.9" customHeight="1">
      <c r="A160" s="13"/>
      <c r="B160" s="13"/>
      <c r="C160" s="13"/>
      <c r="D160" s="13"/>
      <c r="E160" s="13"/>
      <c r="F160" s="14"/>
      <c r="G160" s="14"/>
      <c r="H160" s="14"/>
      <c r="I160" s="14"/>
      <c r="J160" s="14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8"/>
      <c r="G162" s="8"/>
      <c r="H162" s="8"/>
      <c r="I162" s="8"/>
      <c r="J162" s="8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10"/>
      <c r="G164" s="10"/>
      <c r="H164" s="10"/>
      <c r="I164" s="10"/>
      <c r="J164" s="10"/>
    </row>
    <row r="165" spans="1:10" s="9" customFormat="1" ht="21.9" customHeight="1">
      <c r="A165" s="13"/>
      <c r="B165" s="13"/>
      <c r="C165" s="13"/>
      <c r="D165" s="13"/>
      <c r="E165" s="13"/>
      <c r="F165" s="12"/>
      <c r="G165" s="12"/>
      <c r="H165" s="12"/>
      <c r="I165" s="12"/>
      <c r="J165" s="12"/>
    </row>
    <row r="166" spans="1:10" s="9" customFormat="1" ht="21.9" customHeight="1">
      <c r="A166" s="13"/>
      <c r="B166" s="13"/>
      <c r="C166" s="13"/>
      <c r="D166" s="13"/>
      <c r="E166" s="13"/>
      <c r="F166" s="12"/>
      <c r="G166" s="12"/>
      <c r="H166" s="12"/>
      <c r="I166" s="12"/>
      <c r="J166" s="12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</row>
    <row r="172" spans="1:10" s="9" customFormat="1" ht="21.9" customHeight="1">
      <c r="A172" s="13"/>
      <c r="B172" s="13"/>
      <c r="C172" s="13"/>
      <c r="D172" s="13"/>
      <c r="E172" s="13"/>
      <c r="F172" s="8"/>
      <c r="G172" s="8"/>
      <c r="H172" s="8"/>
      <c r="I172" s="8"/>
      <c r="J172" s="8"/>
    </row>
    <row r="173" spans="1:10" s="9" customFormat="1" ht="21.9" customHeight="1">
      <c r="A173" s="13"/>
      <c r="B173" s="13"/>
      <c r="C173" s="13"/>
      <c r="D173" s="13"/>
      <c r="E173" s="13"/>
      <c r="F173" s="8"/>
      <c r="G173" s="8"/>
      <c r="H173" s="8"/>
      <c r="I173" s="8"/>
      <c r="J173" s="8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</row>
    <row r="179" spans="1:10" s="9" customFormat="1" ht="21.9" customHeight="1">
      <c r="A179" s="13"/>
      <c r="B179" s="13"/>
      <c r="C179" s="13"/>
      <c r="D179" s="13"/>
      <c r="E179" s="13"/>
      <c r="F179" s="10"/>
      <c r="G179" s="10"/>
      <c r="H179" s="10"/>
      <c r="I179" s="10"/>
      <c r="J179" s="10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</row>
    <row r="183" spans="1:10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8"/>
      <c r="G185" s="8"/>
      <c r="H185" s="8"/>
      <c r="I185" s="8"/>
      <c r="J185" s="8"/>
    </row>
    <row r="186" spans="1:10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</row>
    <row r="187" spans="1:10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</row>
    <row r="188" spans="1:10" s="9" customFormat="1" ht="21.9" customHeight="1">
      <c r="A188" s="13"/>
      <c r="B188" s="13"/>
      <c r="C188" s="13"/>
      <c r="D188" s="13"/>
      <c r="E188" s="13"/>
      <c r="F188" s="12"/>
      <c r="G188" s="12"/>
      <c r="H188" s="12"/>
      <c r="I188" s="12"/>
      <c r="J188" s="12"/>
    </row>
    <row r="189" spans="1:10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</row>
    <row r="190" spans="1:10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11"/>
      <c r="G195" s="11"/>
      <c r="H195" s="11"/>
      <c r="I195" s="11"/>
      <c r="J195" s="11"/>
    </row>
    <row r="196" spans="1:10" s="9" customFormat="1" ht="21.9" customHeight="1">
      <c r="A196" s="13"/>
      <c r="B196" s="13"/>
      <c r="C196" s="13"/>
      <c r="D196" s="13"/>
      <c r="E196" s="13"/>
      <c r="F196" s="11"/>
      <c r="G196" s="11"/>
      <c r="H196" s="11"/>
      <c r="I196" s="11"/>
      <c r="J196" s="11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5"/>
      <c r="B199" s="15"/>
      <c r="C199" s="15"/>
      <c r="D199" s="15"/>
      <c r="E199" s="15"/>
      <c r="F199" s="12"/>
      <c r="G199" s="12"/>
      <c r="H199" s="12"/>
      <c r="I199" s="12"/>
      <c r="J199" s="12"/>
    </row>
    <row r="200" spans="1:10" s="9" customFormat="1" ht="21.9" customHeight="1">
      <c r="A200" s="15"/>
      <c r="B200" s="15"/>
      <c r="C200" s="15"/>
      <c r="D200" s="15"/>
      <c r="E200" s="15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2"/>
      <c r="G202" s="12"/>
      <c r="H202" s="12"/>
      <c r="I202" s="12"/>
      <c r="J202" s="12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8"/>
      <c r="G207" s="8"/>
      <c r="H207" s="8"/>
      <c r="I207" s="8"/>
      <c r="J207" s="8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12"/>
      <c r="G209" s="12"/>
      <c r="H209" s="12"/>
      <c r="I209" s="12"/>
      <c r="J209" s="12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8"/>
      <c r="G211" s="8"/>
      <c r="H211" s="8"/>
      <c r="I211" s="8"/>
      <c r="J211" s="8"/>
    </row>
    <row r="212" spans="1:10" s="9" customFormat="1" ht="21.9" customHeight="1">
      <c r="A212" s="15"/>
      <c r="B212" s="15"/>
      <c r="C212" s="15"/>
      <c r="D212" s="15"/>
      <c r="E212" s="15"/>
      <c r="F212" s="8"/>
      <c r="G212" s="8"/>
      <c r="H212" s="8"/>
      <c r="I212" s="8"/>
      <c r="J212" s="8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11"/>
      <c r="G217" s="11"/>
      <c r="H217" s="11"/>
      <c r="I217" s="11"/>
      <c r="J217" s="11"/>
    </row>
    <row r="218" spans="1:10" s="9" customFormat="1" ht="21.9" customHeight="1">
      <c r="A218" s="15"/>
      <c r="B218" s="15"/>
      <c r="C218" s="15"/>
      <c r="D218" s="15"/>
      <c r="E218" s="15"/>
      <c r="F218" s="11"/>
      <c r="G218" s="11"/>
      <c r="H218" s="11"/>
      <c r="I218" s="11"/>
      <c r="J218" s="11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8"/>
      <c r="G223" s="8"/>
      <c r="H223" s="8"/>
      <c r="I223" s="8"/>
      <c r="J223" s="8"/>
    </row>
    <row r="224" spans="1:10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6"/>
      <c r="B230" s="6"/>
      <c r="C230" s="6"/>
      <c r="D230" s="6"/>
      <c r="E230" s="6"/>
      <c r="F230" s="12"/>
      <c r="G230" s="12"/>
      <c r="H230" s="12"/>
      <c r="I230" s="12"/>
      <c r="J230" s="12"/>
    </row>
    <row r="231" spans="1:10" s="9" customFormat="1" ht="21.9" customHeight="1">
      <c r="A231" s="6"/>
      <c r="B231" s="6"/>
      <c r="C231" s="6"/>
      <c r="D231" s="6"/>
      <c r="E231" s="6"/>
      <c r="F231" s="12"/>
      <c r="G231" s="12"/>
      <c r="H231" s="12"/>
      <c r="I231" s="12"/>
      <c r="J231" s="12"/>
    </row>
    <row r="232" spans="1:10" s="9" customFormat="1" ht="21.9" customHeight="1">
      <c r="A232" s="6"/>
      <c r="B232" s="6"/>
      <c r="C232" s="6"/>
      <c r="D232" s="6"/>
      <c r="E232" s="6"/>
      <c r="F232" s="11"/>
      <c r="G232" s="11"/>
      <c r="H232" s="11"/>
      <c r="I232" s="11"/>
      <c r="J232" s="11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8"/>
      <c r="G234" s="8"/>
      <c r="H234" s="8"/>
      <c r="I234" s="8"/>
      <c r="J234" s="8"/>
    </row>
    <row r="235" spans="1:10" s="9" customFormat="1" ht="21.9" customHeight="1">
      <c r="A235" s="6"/>
      <c r="B235" s="6"/>
      <c r="C235" s="6"/>
      <c r="D235" s="6"/>
      <c r="E235" s="6"/>
      <c r="F235" s="8"/>
      <c r="G235" s="8"/>
      <c r="H235" s="8"/>
      <c r="I235" s="8"/>
      <c r="J235" s="8"/>
    </row>
    <row r="236" spans="1:10" s="9" customFormat="1" ht="21.9" customHeight="1">
      <c r="A236" s="6"/>
      <c r="B236" s="6"/>
      <c r="C236" s="6"/>
      <c r="D236" s="6"/>
      <c r="E236" s="6"/>
      <c r="F236" s="11"/>
      <c r="G236" s="11"/>
      <c r="H236" s="11"/>
      <c r="I236" s="11"/>
      <c r="J236" s="11"/>
    </row>
    <row r="237" spans="1:10" s="9" customFormat="1" ht="21.9" customHeight="1">
      <c r="A237" s="6"/>
      <c r="B237" s="6"/>
      <c r="C237" s="6"/>
      <c r="D237" s="6"/>
      <c r="E237" s="6"/>
      <c r="F237" s="12"/>
      <c r="G237" s="12"/>
      <c r="H237" s="12"/>
      <c r="I237" s="12"/>
      <c r="J237" s="12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1"/>
      <c r="G239" s="11"/>
      <c r="H239" s="11"/>
      <c r="I239" s="11"/>
      <c r="J239" s="11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8"/>
      <c r="G246" s="8"/>
      <c r="H246" s="8"/>
      <c r="I246" s="8"/>
      <c r="J246" s="8"/>
    </row>
    <row r="247" spans="1:10" s="9" customFormat="1" ht="21.9" customHeight="1">
      <c r="A247" s="6"/>
      <c r="B247" s="6"/>
      <c r="C247" s="6"/>
      <c r="D247" s="6"/>
      <c r="E247" s="6"/>
      <c r="F247" s="8"/>
      <c r="G247" s="8"/>
      <c r="H247" s="8"/>
      <c r="I247" s="8"/>
      <c r="J247" s="8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13.2">
      <c r="A252" s="6"/>
      <c r="B252" s="6"/>
      <c r="C252" s="6"/>
      <c r="D252" s="6"/>
      <c r="E252" s="6"/>
      <c r="F252" s="12"/>
      <c r="G252" s="12"/>
      <c r="H252" s="12"/>
      <c r="I252" s="12"/>
      <c r="J252" s="12"/>
    </row>
    <row r="253" spans="1:10" s="9" customFormat="1" ht="13.2">
      <c r="A253" s="6"/>
      <c r="B253" s="6"/>
      <c r="C253" s="6"/>
      <c r="D253" s="6"/>
      <c r="E253" s="6"/>
      <c r="F253" s="10"/>
      <c r="G253" s="10"/>
      <c r="H253" s="10"/>
      <c r="I253" s="10"/>
      <c r="J253" s="10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2"/>
      <c r="G255" s="12"/>
      <c r="H255" s="12"/>
      <c r="I255" s="12"/>
      <c r="J255" s="12"/>
    </row>
    <row r="256" spans="1:10" s="9" customFormat="1" ht="13.2">
      <c r="A256" s="6"/>
      <c r="B256" s="6"/>
      <c r="C256" s="6"/>
      <c r="D256" s="6"/>
      <c r="E256" s="6"/>
      <c r="F256" s="8"/>
      <c r="G256" s="8"/>
      <c r="H256" s="8"/>
      <c r="I256" s="8"/>
      <c r="J256" s="8"/>
    </row>
    <row r="257" spans="1:10" s="9" customFormat="1" ht="13.2">
      <c r="A257" s="6"/>
      <c r="B257" s="6"/>
      <c r="C257" s="6"/>
      <c r="D257" s="6"/>
      <c r="E257" s="6"/>
      <c r="F257" s="8"/>
      <c r="G257" s="8"/>
      <c r="H257" s="8"/>
      <c r="I257" s="8"/>
      <c r="J257" s="8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11"/>
      <c r="G260" s="11"/>
      <c r="H260" s="11"/>
      <c r="I260" s="11"/>
      <c r="J260" s="11"/>
    </row>
    <row r="261" spans="1:10" s="9" customFormat="1" ht="13.2">
      <c r="A261" s="6"/>
      <c r="B261" s="6"/>
      <c r="C261" s="6"/>
      <c r="D261" s="6"/>
      <c r="E261" s="6"/>
      <c r="F261" s="12"/>
      <c r="G261" s="12"/>
      <c r="H261" s="12"/>
      <c r="I261" s="12"/>
      <c r="J261" s="12"/>
    </row>
    <row r="262" spans="1:10" s="9" customFormat="1" ht="13.2">
      <c r="A262" s="6"/>
      <c r="B262" s="6"/>
      <c r="C262" s="6"/>
      <c r="D262" s="6"/>
      <c r="E262" s="6"/>
      <c r="F262" s="10"/>
      <c r="G262" s="10"/>
      <c r="H262" s="10"/>
      <c r="I262" s="10"/>
      <c r="J262" s="10"/>
    </row>
    <row r="263" spans="1:10" s="9" customFormat="1" ht="13.2">
      <c r="A263" s="6"/>
      <c r="B263" s="6"/>
      <c r="C263" s="6"/>
      <c r="D263" s="6"/>
      <c r="E263" s="6"/>
      <c r="F263" s="11"/>
      <c r="G263" s="11"/>
      <c r="H263" s="11"/>
      <c r="I263" s="11"/>
      <c r="J263" s="11"/>
    </row>
    <row r="264" spans="1:10" s="9" customFormat="1" ht="13.2">
      <c r="A264" s="6"/>
      <c r="B264" s="6"/>
      <c r="C264" s="6"/>
      <c r="D264" s="6"/>
      <c r="E264" s="6"/>
      <c r="F264" s="8"/>
      <c r="G264" s="8"/>
      <c r="H264" s="8"/>
      <c r="I264" s="8"/>
      <c r="J264" s="8"/>
    </row>
    <row r="265" spans="1:10" s="9" customFormat="1" ht="13.2">
      <c r="A265" s="6"/>
      <c r="B265" s="6"/>
      <c r="C265" s="6"/>
      <c r="D265" s="6"/>
      <c r="E265" s="6"/>
      <c r="F265" s="7"/>
      <c r="G265" s="7"/>
      <c r="H265" s="7"/>
      <c r="I265" s="7"/>
      <c r="J265" s="7"/>
    </row>
    <row r="266" spans="1:10" s="9" customFormat="1" ht="13.2">
      <c r="A266" s="6"/>
      <c r="B266" s="6"/>
      <c r="C266" s="6"/>
      <c r="D266" s="6"/>
      <c r="E266" s="6"/>
      <c r="F266" s="7"/>
      <c r="G266" s="7"/>
      <c r="H266" s="7"/>
      <c r="I266" s="7"/>
      <c r="J266" s="7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8"/>
      <c r="G269" s="8"/>
      <c r="H269" s="8"/>
      <c r="I269" s="8"/>
      <c r="J269" s="8"/>
    </row>
    <row r="270" spans="1:10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12"/>
      <c r="G277" s="12"/>
      <c r="H277" s="12"/>
      <c r="I277" s="12"/>
      <c r="J277" s="12"/>
    </row>
    <row r="278" spans="1:10" s="9" customFormat="1" ht="13.2">
      <c r="A278" s="6"/>
      <c r="B278" s="6"/>
      <c r="C278" s="6"/>
      <c r="D278" s="6"/>
      <c r="E278" s="6"/>
      <c r="F278" s="11"/>
      <c r="G278" s="11"/>
      <c r="H278" s="11"/>
      <c r="I278" s="11"/>
      <c r="J278" s="11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8"/>
      <c r="G280" s="8"/>
      <c r="H280" s="8"/>
      <c r="I280" s="8"/>
      <c r="J280" s="8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</row>
    <row r="284" spans="1:10" s="9" customFormat="1" ht="13.2">
      <c r="A284" s="6"/>
      <c r="B284" s="6"/>
      <c r="C284" s="6"/>
      <c r="D284" s="6"/>
      <c r="E284" s="6"/>
      <c r="F284" s="12"/>
      <c r="G284" s="12"/>
      <c r="H284" s="12"/>
      <c r="I284" s="12"/>
      <c r="J284" s="12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</row>
    <row r="287" spans="1:10" s="9" customFormat="1" ht="13.2">
      <c r="A287" s="6"/>
      <c r="B287" s="6"/>
      <c r="C287" s="6"/>
      <c r="D287" s="6"/>
      <c r="E287" s="6"/>
      <c r="F287" s="11"/>
      <c r="G287" s="11"/>
      <c r="H287" s="11"/>
      <c r="I287" s="11"/>
      <c r="J287" s="11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11"/>
      <c r="G291" s="11"/>
      <c r="H291" s="11"/>
      <c r="I291" s="11"/>
      <c r="J291" s="11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10"/>
      <c r="G298" s="10"/>
      <c r="H298" s="10"/>
      <c r="I298" s="10"/>
      <c r="J298" s="10"/>
    </row>
    <row r="299" spans="1:10" s="9" customFormat="1" ht="13.2">
      <c r="A299" s="6"/>
      <c r="B299" s="6"/>
      <c r="C299" s="6"/>
      <c r="D299" s="6"/>
      <c r="E299" s="6"/>
      <c r="F299" s="11"/>
      <c r="G299" s="11"/>
      <c r="H299" s="11"/>
      <c r="I299" s="11"/>
      <c r="J299" s="11"/>
    </row>
    <row r="300" spans="1:10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</row>
    <row r="304" spans="1:10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</row>
    <row r="305" spans="1:10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</row>
    <row r="306" spans="1:10" s="9" customFormat="1" ht="13.2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</row>
    <row r="309" spans="1:10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</row>
    <row r="310" spans="1:10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7"/>
      <c r="G314" s="7"/>
      <c r="H314" s="7"/>
      <c r="I314" s="7"/>
      <c r="J314" s="7"/>
    </row>
    <row r="315" spans="1:10" s="9" customFormat="1" ht="13.2">
      <c r="A315" s="6"/>
      <c r="B315" s="6"/>
      <c r="C315" s="6"/>
      <c r="D315" s="6"/>
      <c r="E315" s="6"/>
      <c r="F315" s="7"/>
      <c r="G315" s="7"/>
      <c r="H315" s="7"/>
      <c r="I315" s="7"/>
      <c r="J315" s="7"/>
    </row>
    <row r="316" spans="1:10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</row>
    <row r="317" spans="1:10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</row>
    <row r="318" spans="1:10" s="9" customFormat="1" ht="13.2">
      <c r="A318" s="6"/>
      <c r="B318" s="6"/>
      <c r="C318" s="6"/>
      <c r="D318" s="6"/>
      <c r="E318" s="6"/>
      <c r="F318" s="7"/>
      <c r="G318" s="7"/>
      <c r="H318" s="7"/>
      <c r="I318" s="7"/>
      <c r="J318" s="7"/>
    </row>
    <row r="319" spans="1:10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7"/>
      <c r="G321" s="7"/>
      <c r="H321" s="7"/>
      <c r="I321" s="7"/>
      <c r="J321" s="7"/>
    </row>
    <row r="322" spans="1:10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</row>
    <row r="323" spans="1:10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</row>
    <row r="330" spans="1:10" s="9" customFormat="1" ht="13.2">
      <c r="A330" s="6"/>
      <c r="B330" s="6"/>
      <c r="C330" s="6"/>
      <c r="D330" s="6"/>
      <c r="E330" s="6"/>
      <c r="F330" s="7"/>
      <c r="G330" s="7"/>
      <c r="H330" s="7"/>
      <c r="I330" s="7"/>
      <c r="J330" s="7"/>
    </row>
    <row r="331" spans="1:10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</row>
    <row r="332" spans="1:10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10"/>
      <c r="G358" s="10"/>
      <c r="H358" s="10"/>
      <c r="I358" s="10"/>
      <c r="J358" s="10"/>
    </row>
    <row r="359" spans="1:10" s="9" customFormat="1" ht="13.2">
      <c r="A359" s="6"/>
      <c r="B359" s="6"/>
      <c r="C359" s="6"/>
      <c r="D359" s="6"/>
      <c r="E359" s="6"/>
      <c r="F359" s="10"/>
      <c r="G359" s="10"/>
      <c r="H359" s="10"/>
      <c r="I359" s="10"/>
      <c r="J359" s="10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</row>
    <row r="362" spans="1:10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</row>
    <row r="363" spans="1:10" s="9" customFormat="1" ht="13.2">
      <c r="A363" s="6"/>
      <c r="B363" s="6"/>
      <c r="C363" s="6"/>
      <c r="D363" s="6"/>
      <c r="E363" s="6"/>
      <c r="F363" s="10"/>
      <c r="G363" s="10"/>
      <c r="H363" s="10"/>
      <c r="I363" s="10"/>
      <c r="J363" s="10"/>
    </row>
    <row r="364" spans="1:10" s="9" customFormat="1" ht="13.2">
      <c r="A364" s="6"/>
      <c r="B364" s="6"/>
      <c r="C364" s="6"/>
      <c r="D364" s="6"/>
      <c r="E364" s="6"/>
      <c r="F364" s="10"/>
      <c r="G364" s="10"/>
      <c r="H364" s="10"/>
      <c r="I364" s="10"/>
      <c r="J364" s="10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</row>
    <row r="367" spans="1:10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12"/>
      <c r="G369" s="12"/>
      <c r="H369" s="12"/>
      <c r="I369" s="12"/>
      <c r="J369" s="12"/>
    </row>
    <row r="370" spans="1:10" s="9" customFormat="1" ht="13.2">
      <c r="A370" s="13"/>
      <c r="B370" s="13"/>
      <c r="C370" s="13"/>
      <c r="D370" s="13"/>
      <c r="E370" s="13"/>
      <c r="F370" s="12"/>
      <c r="G370" s="12"/>
      <c r="H370" s="12"/>
      <c r="I370" s="12"/>
      <c r="J370" s="12"/>
    </row>
    <row r="371" spans="1:10" s="9" customFormat="1" ht="13.2">
      <c r="A371" s="13"/>
      <c r="B371" s="13"/>
      <c r="C371" s="13"/>
      <c r="D371" s="13"/>
      <c r="E371" s="13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1"/>
      <c r="G378" s="11"/>
      <c r="H378" s="11"/>
      <c r="I378" s="11"/>
      <c r="J378" s="11"/>
    </row>
    <row r="379" spans="1:10" s="9" customFormat="1" ht="13.2">
      <c r="A379" s="13"/>
      <c r="B379" s="13"/>
      <c r="C379" s="13"/>
      <c r="D379" s="13"/>
      <c r="E379" s="13"/>
      <c r="F379" s="11"/>
      <c r="G379" s="11"/>
      <c r="H379" s="11"/>
      <c r="I379" s="11"/>
      <c r="J379" s="11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2"/>
      <c r="G382" s="12"/>
      <c r="H382" s="12"/>
      <c r="I382" s="12"/>
      <c r="J382" s="12"/>
    </row>
    <row r="383" spans="1:10" s="9" customFormat="1" ht="13.2">
      <c r="A383" s="13"/>
      <c r="B383" s="13"/>
      <c r="C383" s="13"/>
      <c r="D383" s="13"/>
      <c r="E383" s="13"/>
      <c r="F383" s="12"/>
      <c r="G383" s="12"/>
      <c r="H383" s="12"/>
      <c r="I383" s="12"/>
      <c r="J383" s="12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8"/>
      <c r="G385" s="8"/>
      <c r="H385" s="8"/>
      <c r="I385" s="8"/>
      <c r="J385" s="8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</row>
    <row r="388" spans="1:10" s="9" customFormat="1" ht="13.2">
      <c r="A388" s="13"/>
      <c r="B388" s="13"/>
      <c r="C388" s="13"/>
      <c r="D388" s="13"/>
      <c r="E388" s="13"/>
      <c r="F388" s="14"/>
      <c r="G388" s="14"/>
      <c r="H388" s="14"/>
      <c r="I388" s="14"/>
      <c r="J388" s="14"/>
    </row>
    <row r="389" spans="1:10" s="9" customFormat="1" ht="13.2">
      <c r="A389" s="13"/>
      <c r="B389" s="13"/>
      <c r="C389" s="13"/>
      <c r="D389" s="13"/>
      <c r="E389" s="13"/>
      <c r="F389" s="14"/>
      <c r="G389" s="14"/>
      <c r="H389" s="14"/>
      <c r="I389" s="14"/>
      <c r="J389" s="14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0"/>
      <c r="G395" s="10"/>
      <c r="H395" s="10"/>
      <c r="I395" s="10"/>
      <c r="J395" s="10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4"/>
      <c r="G397" s="14"/>
      <c r="H397" s="14"/>
      <c r="I397" s="14"/>
      <c r="J397" s="14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10"/>
      <c r="G401" s="10"/>
      <c r="H401" s="10"/>
      <c r="I401" s="10"/>
      <c r="J401" s="10"/>
    </row>
    <row r="402" spans="1:10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</row>
    <row r="403" spans="1:10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</row>
    <row r="409" spans="1:10" s="9" customFormat="1" ht="13.2">
      <c r="A409" s="13"/>
      <c r="B409" s="13"/>
      <c r="C409" s="13"/>
      <c r="D409" s="13"/>
      <c r="E409" s="13"/>
      <c r="F409" s="8"/>
      <c r="G409" s="8"/>
      <c r="H409" s="8"/>
      <c r="I409" s="8"/>
      <c r="J409" s="8"/>
    </row>
    <row r="410" spans="1:10" s="9" customFormat="1" ht="13.2">
      <c r="A410" s="13"/>
      <c r="B410" s="13"/>
      <c r="C410" s="13"/>
      <c r="D410" s="13"/>
      <c r="E410" s="13"/>
      <c r="F410" s="8"/>
      <c r="G410" s="8"/>
      <c r="H410" s="8"/>
      <c r="I410" s="8"/>
      <c r="J410" s="8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</row>
    <row r="416" spans="1:10" s="9" customFormat="1" ht="13.2">
      <c r="A416" s="13"/>
      <c r="B416" s="13"/>
      <c r="C416" s="13"/>
      <c r="D416" s="13"/>
      <c r="E416" s="13"/>
      <c r="F416" s="10"/>
      <c r="G416" s="10"/>
      <c r="H416" s="10"/>
      <c r="I416" s="10"/>
      <c r="J416" s="10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</row>
    <row r="420" spans="1:10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8"/>
      <c r="G422" s="8"/>
      <c r="H422" s="8"/>
      <c r="I422" s="8"/>
      <c r="J422" s="8"/>
    </row>
    <row r="423" spans="1:10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</row>
    <row r="424" spans="1:10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</row>
    <row r="425" spans="1:10" s="9" customFormat="1" ht="13.2">
      <c r="A425" s="13"/>
      <c r="B425" s="13"/>
      <c r="C425" s="13"/>
      <c r="D425" s="13"/>
      <c r="E425" s="13"/>
      <c r="F425" s="12"/>
      <c r="G425" s="12"/>
      <c r="H425" s="12"/>
      <c r="I425" s="12"/>
      <c r="J425" s="12"/>
    </row>
    <row r="426" spans="1:10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</row>
    <row r="427" spans="1:10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11"/>
      <c r="G432" s="11"/>
      <c r="H432" s="11"/>
      <c r="I432" s="11"/>
      <c r="J432" s="11"/>
    </row>
    <row r="433" spans="1:10" s="9" customFormat="1" ht="13.2">
      <c r="A433" s="13"/>
      <c r="B433" s="13"/>
      <c r="C433" s="13"/>
      <c r="D433" s="13"/>
      <c r="E433" s="13"/>
      <c r="F433" s="11"/>
      <c r="G433" s="11"/>
      <c r="H433" s="11"/>
      <c r="I433" s="11"/>
      <c r="J433" s="11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5"/>
      <c r="B436" s="15"/>
      <c r="C436" s="15"/>
      <c r="D436" s="15"/>
      <c r="E436" s="15"/>
      <c r="F436" s="12"/>
      <c r="G436" s="12"/>
      <c r="H436" s="12"/>
      <c r="I436" s="12"/>
      <c r="J436" s="12"/>
    </row>
    <row r="437" spans="1:10" s="9" customFormat="1" ht="13.2">
      <c r="A437" s="15"/>
      <c r="B437" s="15"/>
      <c r="C437" s="15"/>
      <c r="D437" s="15"/>
      <c r="E437" s="15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2"/>
      <c r="G439" s="12"/>
      <c r="H439" s="12"/>
      <c r="I439" s="12"/>
      <c r="J439" s="12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8"/>
      <c r="G444" s="8"/>
      <c r="H444" s="8"/>
      <c r="I444" s="8"/>
      <c r="J444" s="8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12"/>
      <c r="G446" s="12"/>
      <c r="H446" s="12"/>
      <c r="I446" s="12"/>
      <c r="J446" s="12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8"/>
      <c r="G448" s="8"/>
      <c r="H448" s="8"/>
      <c r="I448" s="8"/>
      <c r="J448" s="8"/>
    </row>
    <row r="449" spans="1:10" s="9" customFormat="1" ht="13.2">
      <c r="A449" s="15"/>
      <c r="B449" s="15"/>
      <c r="C449" s="15"/>
      <c r="D449" s="15"/>
      <c r="E449" s="15"/>
      <c r="F449" s="8"/>
      <c r="G449" s="8"/>
      <c r="H449" s="8"/>
      <c r="I449" s="8"/>
      <c r="J449" s="8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11"/>
      <c r="G454" s="11"/>
      <c r="H454" s="11"/>
      <c r="I454" s="11"/>
      <c r="J454" s="11"/>
    </row>
    <row r="455" spans="1:10" s="9" customFormat="1" ht="13.2">
      <c r="A455" s="15"/>
      <c r="B455" s="15"/>
      <c r="C455" s="15"/>
      <c r="D455" s="15"/>
      <c r="E455" s="15"/>
      <c r="F455" s="11"/>
      <c r="G455" s="11"/>
      <c r="H455" s="11"/>
      <c r="I455" s="11"/>
      <c r="J455" s="11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8"/>
      <c r="G460" s="8"/>
      <c r="H460" s="8"/>
      <c r="I460" s="8"/>
      <c r="J460" s="8"/>
    </row>
    <row r="461" spans="1:10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6"/>
      <c r="B467" s="6"/>
      <c r="C467" s="6"/>
      <c r="D467" s="6"/>
      <c r="E467" s="6"/>
      <c r="F467" s="12"/>
      <c r="G467" s="12"/>
      <c r="H467" s="12"/>
      <c r="I467" s="12"/>
      <c r="J467" s="12"/>
    </row>
    <row r="468" spans="1:10" s="9" customFormat="1" ht="13.2">
      <c r="A468" s="6"/>
      <c r="B468" s="6"/>
      <c r="C468" s="6"/>
      <c r="D468" s="6"/>
      <c r="E468" s="6"/>
      <c r="F468" s="12"/>
      <c r="G468" s="12"/>
      <c r="H468" s="12"/>
      <c r="I468" s="12"/>
      <c r="J468" s="12"/>
    </row>
    <row r="469" spans="1:10" s="9" customFormat="1" ht="13.2">
      <c r="A469" s="6"/>
      <c r="B469" s="6"/>
      <c r="C469" s="6"/>
      <c r="D469" s="6"/>
      <c r="E469" s="6"/>
      <c r="F469" s="11"/>
      <c r="G469" s="11"/>
      <c r="H469" s="11"/>
      <c r="I469" s="11"/>
      <c r="J469" s="11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8"/>
      <c r="G471" s="8"/>
      <c r="H471" s="8"/>
      <c r="I471" s="8"/>
      <c r="J471" s="8"/>
    </row>
    <row r="472" spans="1:10" s="9" customFormat="1" ht="13.2">
      <c r="A472" s="6"/>
      <c r="B472" s="6"/>
      <c r="C472" s="6"/>
      <c r="D472" s="6"/>
      <c r="E472" s="6"/>
      <c r="F472" s="8"/>
      <c r="G472" s="8"/>
      <c r="H472" s="8"/>
      <c r="I472" s="8"/>
      <c r="J472" s="8"/>
    </row>
    <row r="473" spans="1:10" s="9" customFormat="1" ht="13.2">
      <c r="A473" s="6"/>
      <c r="B473" s="6"/>
      <c r="C473" s="6"/>
      <c r="D473" s="6"/>
      <c r="E473" s="6"/>
      <c r="F473" s="11"/>
      <c r="G473" s="11"/>
      <c r="H473" s="11"/>
      <c r="I473" s="11"/>
      <c r="J473" s="11"/>
    </row>
    <row r="474" spans="1:10" s="9" customFormat="1" ht="13.2">
      <c r="A474" s="6"/>
      <c r="B474" s="6"/>
      <c r="C474" s="6"/>
      <c r="D474" s="6"/>
      <c r="E474" s="6"/>
      <c r="F474" s="12"/>
      <c r="G474" s="12"/>
      <c r="H474" s="12"/>
      <c r="I474" s="12"/>
      <c r="J474" s="12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1"/>
      <c r="G476" s="11"/>
      <c r="H476" s="11"/>
      <c r="I476" s="11"/>
      <c r="J476" s="11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8"/>
      <c r="G483" s="8"/>
      <c r="H483" s="8"/>
      <c r="I483" s="8"/>
      <c r="J483" s="8"/>
    </row>
    <row r="484" spans="1:10" s="9" customFormat="1" ht="13.2">
      <c r="A484" s="6"/>
      <c r="B484" s="6"/>
      <c r="C484" s="6"/>
      <c r="D484" s="6"/>
      <c r="E484" s="6"/>
      <c r="F484" s="8"/>
      <c r="G484" s="8"/>
      <c r="H484" s="8"/>
      <c r="I484" s="8"/>
      <c r="J484" s="8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12"/>
      <c r="G489" s="12"/>
      <c r="H489" s="12"/>
      <c r="I489" s="12"/>
      <c r="J489" s="12"/>
    </row>
    <row r="490" spans="1:10" s="9" customFormat="1" ht="13.2">
      <c r="A490" s="6"/>
      <c r="B490" s="6"/>
      <c r="C490" s="6"/>
      <c r="D490" s="6"/>
      <c r="E490" s="6"/>
      <c r="F490" s="10"/>
      <c r="G490" s="10"/>
      <c r="H490" s="10"/>
      <c r="I490" s="10"/>
      <c r="J490" s="10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2"/>
      <c r="G492" s="12"/>
      <c r="H492" s="12"/>
      <c r="I492" s="12"/>
      <c r="J492" s="12"/>
    </row>
    <row r="493" spans="1:10" s="9" customFormat="1" ht="13.2">
      <c r="A493" s="6"/>
      <c r="B493" s="6"/>
      <c r="C493" s="6"/>
      <c r="D493" s="6"/>
      <c r="E493" s="6"/>
      <c r="F493" s="8"/>
      <c r="G493" s="8"/>
      <c r="H493" s="8"/>
      <c r="I493" s="8"/>
      <c r="J493" s="8"/>
    </row>
    <row r="494" spans="1:10" s="9" customFormat="1" ht="13.2">
      <c r="A494" s="6"/>
      <c r="B494" s="6"/>
      <c r="C494" s="6"/>
      <c r="D494" s="6"/>
      <c r="E494" s="6"/>
      <c r="F494" s="8"/>
      <c r="G494" s="8"/>
      <c r="H494" s="8"/>
      <c r="I494" s="8"/>
      <c r="J494" s="8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</row>
    <row r="498" spans="1:10" s="9" customFormat="1" ht="13.2">
      <c r="A498" s="6"/>
      <c r="B498" s="6"/>
      <c r="C498" s="6"/>
      <c r="D498" s="6"/>
      <c r="E498" s="6"/>
      <c r="F498" s="12"/>
      <c r="G498" s="12"/>
      <c r="H498" s="12"/>
      <c r="I498" s="12"/>
      <c r="J498" s="12"/>
    </row>
    <row r="499" spans="1:10" s="9" customFormat="1" ht="13.2">
      <c r="A499" s="6"/>
      <c r="B499" s="6"/>
      <c r="C499" s="6"/>
      <c r="D499" s="6"/>
      <c r="E499" s="6"/>
      <c r="F499" s="10"/>
      <c r="G499" s="10"/>
      <c r="H499" s="10"/>
      <c r="I499" s="10"/>
      <c r="J499" s="10"/>
    </row>
    <row r="500" spans="1:10" s="9" customFormat="1" ht="13.2">
      <c r="A500" s="6"/>
      <c r="B500" s="6"/>
      <c r="C500" s="6"/>
      <c r="D500" s="6"/>
      <c r="E500" s="6"/>
      <c r="F500" s="11"/>
      <c r="G500" s="11"/>
      <c r="H500" s="11"/>
      <c r="I500" s="11"/>
      <c r="J500" s="11"/>
    </row>
    <row r="501" spans="1:10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</row>
    <row r="502" spans="1:10" s="9" customFormat="1" ht="13.2">
      <c r="A502" s="6"/>
      <c r="B502" s="6"/>
      <c r="C502" s="6"/>
      <c r="D502" s="6"/>
      <c r="E502" s="6"/>
      <c r="F502" s="7"/>
      <c r="G502" s="7"/>
      <c r="H502" s="7"/>
      <c r="I502" s="7"/>
      <c r="J502" s="7"/>
    </row>
    <row r="503" spans="1:10" s="9" customFormat="1" ht="13.2">
      <c r="A503" s="6"/>
      <c r="B503" s="6"/>
      <c r="C503" s="6"/>
      <c r="D503" s="6"/>
      <c r="E503" s="6"/>
      <c r="F503" s="7"/>
      <c r="G503" s="7"/>
      <c r="H503" s="7"/>
      <c r="I503" s="7"/>
      <c r="J503" s="7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8"/>
      <c r="G506" s="8"/>
      <c r="H506" s="8"/>
      <c r="I506" s="8"/>
      <c r="J506" s="8"/>
    </row>
    <row r="507" spans="1:10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12"/>
      <c r="G514" s="12"/>
      <c r="H514" s="12"/>
      <c r="I514" s="12"/>
      <c r="J514" s="12"/>
    </row>
    <row r="515" spans="1:10" s="9" customFormat="1" ht="13.2">
      <c r="A515" s="6"/>
      <c r="B515" s="6"/>
      <c r="C515" s="6"/>
      <c r="D515" s="6"/>
      <c r="E515" s="6"/>
      <c r="F515" s="11"/>
      <c r="G515" s="11"/>
      <c r="H515" s="11"/>
      <c r="I515" s="11"/>
      <c r="J515" s="11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</row>
    <row r="521" spans="1:10" s="9" customFormat="1" ht="13.2">
      <c r="A521" s="6"/>
      <c r="B521" s="6"/>
      <c r="C521" s="6"/>
      <c r="D521" s="6"/>
      <c r="E521" s="6"/>
      <c r="F521" s="12"/>
      <c r="G521" s="12"/>
      <c r="H521" s="12"/>
      <c r="I521" s="12"/>
      <c r="J521" s="12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</row>
    <row r="524" spans="1:10" s="9" customFormat="1" ht="13.2">
      <c r="A524" s="6"/>
      <c r="B524" s="6"/>
      <c r="C524" s="6"/>
      <c r="D524" s="6"/>
      <c r="E524" s="6"/>
      <c r="F524" s="11"/>
      <c r="G524" s="11"/>
      <c r="H524" s="11"/>
      <c r="I524" s="11"/>
      <c r="J524" s="11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11"/>
      <c r="G528" s="11"/>
      <c r="H528" s="11"/>
      <c r="I528" s="11"/>
      <c r="J528" s="11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10"/>
      <c r="G535" s="10"/>
      <c r="H535" s="10"/>
      <c r="I535" s="10"/>
      <c r="J535" s="10"/>
    </row>
    <row r="536" spans="1:10" s="9" customFormat="1" ht="13.2">
      <c r="A536" s="6"/>
      <c r="B536" s="6"/>
      <c r="C536" s="6"/>
      <c r="D536" s="6"/>
      <c r="E536" s="6"/>
      <c r="F536" s="11"/>
      <c r="G536" s="11"/>
      <c r="H536" s="11"/>
      <c r="I536" s="11"/>
      <c r="J536" s="11"/>
    </row>
    <row r="537" spans="1:10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</row>
    <row r="541" spans="1:10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</row>
    <row r="542" spans="1:10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</row>
    <row r="543" spans="1:10" s="9" customFormat="1" ht="13.2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</row>
    <row r="546" spans="1:10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</row>
    <row r="547" spans="1:10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7"/>
      <c r="G551" s="7"/>
      <c r="H551" s="7"/>
      <c r="I551" s="7"/>
      <c r="J551" s="7"/>
    </row>
    <row r="552" spans="1:10" s="9" customFormat="1" ht="13.2">
      <c r="A552" s="6"/>
      <c r="B552" s="6"/>
      <c r="C552" s="6"/>
      <c r="D552" s="6"/>
      <c r="E552" s="6"/>
      <c r="F552" s="7"/>
      <c r="G552" s="7"/>
      <c r="H552" s="7"/>
      <c r="I552" s="7"/>
      <c r="J552" s="7"/>
    </row>
    <row r="553" spans="1:10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</row>
    <row r="554" spans="1:10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</row>
    <row r="555" spans="1:10" s="9" customFormat="1" ht="13.2">
      <c r="A555" s="6"/>
      <c r="B555" s="6"/>
      <c r="C555" s="6"/>
      <c r="D555" s="6"/>
      <c r="E555" s="6"/>
      <c r="F555" s="7"/>
      <c r="G555" s="7"/>
      <c r="H555" s="7"/>
      <c r="I555" s="7"/>
      <c r="J555" s="7"/>
    </row>
    <row r="556" spans="1:10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7"/>
      <c r="G558" s="7"/>
      <c r="H558" s="7"/>
      <c r="I558" s="7"/>
      <c r="J558" s="7"/>
    </row>
    <row r="559" spans="1:10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</row>
    <row r="560" spans="1:10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</row>
    <row r="567" spans="1:10" s="9" customFormat="1" ht="13.2">
      <c r="A567" s="6"/>
      <c r="B567" s="6"/>
      <c r="C567" s="6"/>
      <c r="D567" s="6"/>
      <c r="E567" s="6"/>
      <c r="F567" s="7"/>
      <c r="G567" s="7"/>
      <c r="H567" s="7"/>
      <c r="I567" s="7"/>
      <c r="J567" s="7"/>
    </row>
    <row r="568" spans="1:10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</row>
    <row r="569" spans="1:10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10"/>
      <c r="G595" s="10"/>
      <c r="H595" s="10"/>
      <c r="I595" s="10"/>
      <c r="J595" s="10"/>
    </row>
    <row r="596" spans="1:10" s="9" customFormat="1" ht="13.2">
      <c r="A596" s="6"/>
      <c r="B596" s="6"/>
      <c r="C596" s="6"/>
      <c r="D596" s="6"/>
      <c r="E596" s="6"/>
      <c r="F596" s="10"/>
      <c r="G596" s="10"/>
      <c r="H596" s="10"/>
      <c r="I596" s="10"/>
      <c r="J596" s="10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</row>
    <row r="599" spans="1:10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</row>
    <row r="600" spans="1:10" s="9" customFormat="1" ht="13.2">
      <c r="A600" s="6"/>
      <c r="B600" s="6"/>
      <c r="C600" s="6"/>
      <c r="D600" s="6"/>
      <c r="E600" s="6"/>
      <c r="F600" s="10"/>
      <c r="G600" s="10"/>
      <c r="H600" s="10"/>
      <c r="I600" s="10"/>
      <c r="J600" s="10"/>
    </row>
    <row r="601" spans="1:10" s="9" customFormat="1" ht="13.2">
      <c r="A601" s="6"/>
      <c r="B601" s="6"/>
      <c r="C601" s="6"/>
      <c r="D601" s="6"/>
      <c r="E601" s="6"/>
      <c r="F601" s="10"/>
      <c r="G601" s="10"/>
      <c r="H601" s="10"/>
      <c r="I601" s="10"/>
      <c r="J601" s="10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</row>
    <row r="604" spans="1:10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12"/>
      <c r="G606" s="12"/>
      <c r="H606" s="12"/>
      <c r="I606" s="12"/>
      <c r="J606" s="12"/>
    </row>
    <row r="607" spans="1:10" s="9" customFormat="1" ht="13.2">
      <c r="A607" s="6"/>
      <c r="B607" s="6"/>
      <c r="C607" s="6"/>
      <c r="D607" s="6"/>
      <c r="E607" s="6"/>
      <c r="F607" s="12"/>
      <c r="G607" s="12"/>
      <c r="H607" s="12"/>
      <c r="I607" s="12"/>
      <c r="J607" s="12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s="9" customForma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</sheetData>
  <mergeCells count="130">
    <mergeCell ref="B3:H3"/>
    <mergeCell ref="K3:L3"/>
    <mergeCell ref="B4:H4"/>
    <mergeCell ref="K4:L4"/>
    <mergeCell ref="K5:L5"/>
    <mergeCell ref="K6:L6"/>
    <mergeCell ref="B5:H5"/>
    <mergeCell ref="B11:F11"/>
    <mergeCell ref="G11:I11"/>
    <mergeCell ref="B6:H6"/>
    <mergeCell ref="B12:F12"/>
    <mergeCell ref="G12:I12"/>
    <mergeCell ref="B13:F13"/>
    <mergeCell ref="G13:I13"/>
    <mergeCell ref="K8:L8"/>
    <mergeCell ref="A9:A10"/>
    <mergeCell ref="B9:F10"/>
    <mergeCell ref="G9:I10"/>
    <mergeCell ref="J9:K9"/>
    <mergeCell ref="L9:L10"/>
    <mergeCell ref="B17:F17"/>
    <mergeCell ref="G17:I17"/>
    <mergeCell ref="B18:F18"/>
    <mergeCell ref="G18:I18"/>
    <mergeCell ref="B19:F19"/>
    <mergeCell ref="G19:I19"/>
    <mergeCell ref="B14:F14"/>
    <mergeCell ref="G14:I14"/>
    <mergeCell ref="B15:F15"/>
    <mergeCell ref="G15:I15"/>
    <mergeCell ref="B16:F16"/>
    <mergeCell ref="G16:I16"/>
    <mergeCell ref="B23:F23"/>
    <mergeCell ref="G23:I23"/>
    <mergeCell ref="B24:F24"/>
    <mergeCell ref="G24:I24"/>
    <mergeCell ref="B25:F25"/>
    <mergeCell ref="G25:I25"/>
    <mergeCell ref="B20:F20"/>
    <mergeCell ref="G20:I20"/>
    <mergeCell ref="B21:F21"/>
    <mergeCell ref="G21:I21"/>
    <mergeCell ref="B22:F22"/>
    <mergeCell ref="G22:I22"/>
    <mergeCell ref="B29:F29"/>
    <mergeCell ref="G29:I29"/>
    <mergeCell ref="B30:F30"/>
    <mergeCell ref="G30:I30"/>
    <mergeCell ref="B31:F31"/>
    <mergeCell ref="B33:F33"/>
    <mergeCell ref="G33:H33"/>
    <mergeCell ref="B26:F26"/>
    <mergeCell ref="G26:I26"/>
    <mergeCell ref="B27:F27"/>
    <mergeCell ref="G27:I27"/>
    <mergeCell ref="B28:F28"/>
    <mergeCell ref="G28:I28"/>
    <mergeCell ref="B37:F37"/>
    <mergeCell ref="G37:H37"/>
    <mergeCell ref="B38:F38"/>
    <mergeCell ref="G38:I38"/>
    <mergeCell ref="A40:F40"/>
    <mergeCell ref="H40:L40"/>
    <mergeCell ref="B34:F34"/>
    <mergeCell ref="G34:H34"/>
    <mergeCell ref="B35:F35"/>
    <mergeCell ref="G35:H35"/>
    <mergeCell ref="B36:F36"/>
    <mergeCell ref="G36:H36"/>
    <mergeCell ref="A44:F44"/>
    <mergeCell ref="H44:L44"/>
    <mergeCell ref="A45:F45"/>
    <mergeCell ref="H45:L45"/>
    <mergeCell ref="A46:F46"/>
    <mergeCell ref="H46:L46"/>
    <mergeCell ref="A41:F41"/>
    <mergeCell ref="H41:L41"/>
    <mergeCell ref="A42:F42"/>
    <mergeCell ref="H42:L42"/>
    <mergeCell ref="A43:F43"/>
    <mergeCell ref="H43:L43"/>
    <mergeCell ref="A50:F50"/>
    <mergeCell ref="H50:L50"/>
    <mergeCell ref="H51:J51"/>
    <mergeCell ref="K51:L51"/>
    <mergeCell ref="A52:F52"/>
    <mergeCell ref="H52:I52"/>
    <mergeCell ref="A47:F47"/>
    <mergeCell ref="H47:L47"/>
    <mergeCell ref="A48:F48"/>
    <mergeCell ref="H48:L48"/>
    <mergeCell ref="A49:F49"/>
    <mergeCell ref="H49:L49"/>
    <mergeCell ref="A56:F56"/>
    <mergeCell ref="H56:I56"/>
    <mergeCell ref="A57:F57"/>
    <mergeCell ref="H57:I57"/>
    <mergeCell ref="A58:F58"/>
    <mergeCell ref="H58:I58"/>
    <mergeCell ref="A53:F53"/>
    <mergeCell ref="H53:I53"/>
    <mergeCell ref="A54:F54"/>
    <mergeCell ref="H54:I54"/>
    <mergeCell ref="A55:F55"/>
    <mergeCell ref="H55:I55"/>
    <mergeCell ref="A72:B72"/>
    <mergeCell ref="D72:F72"/>
    <mergeCell ref="H72:J72"/>
    <mergeCell ref="K72:L72"/>
    <mergeCell ref="A73:B73"/>
    <mergeCell ref="D73:F73"/>
    <mergeCell ref="H73:J73"/>
    <mergeCell ref="J66:K66"/>
    <mergeCell ref="B67:C68"/>
    <mergeCell ref="D67:E68"/>
    <mergeCell ref="F67:G68"/>
    <mergeCell ref="H67:I68"/>
    <mergeCell ref="J67:K68"/>
    <mergeCell ref="A62:F62"/>
    <mergeCell ref="H62:I62"/>
    <mergeCell ref="B66:C66"/>
    <mergeCell ref="D66:E66"/>
    <mergeCell ref="F66:G66"/>
    <mergeCell ref="H66:I66"/>
    <mergeCell ref="A59:F59"/>
    <mergeCell ref="H59:I59"/>
    <mergeCell ref="A60:F60"/>
    <mergeCell ref="H60:I60"/>
    <mergeCell ref="A61:F61"/>
    <mergeCell ref="H61:I61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5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O618"/>
  <sheetViews>
    <sheetView view="pageBreakPreview" zoomScale="55" zoomScaleNormal="100" zoomScaleSheetLayoutView="55" workbookViewId="0">
      <selection activeCell="K5" sqref="K5:L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254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255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256</v>
      </c>
      <c r="L5" s="557"/>
    </row>
    <row r="6" spans="1:15" s="16" customFormat="1" ht="16.5" customHeight="1">
      <c r="A6" s="22" t="s">
        <v>10</v>
      </c>
      <c r="B6" s="556" t="s">
        <v>257</v>
      </c>
      <c r="C6" s="556"/>
      <c r="D6" s="556"/>
      <c r="E6" s="556"/>
      <c r="F6" s="556"/>
      <c r="G6" s="556"/>
      <c r="H6" s="556"/>
      <c r="I6" s="21" t="s">
        <v>8</v>
      </c>
      <c r="J6" s="21"/>
      <c r="K6" s="669" t="s">
        <v>260</v>
      </c>
      <c r="L6" s="669"/>
    </row>
    <row r="7" spans="1:15" s="16" customFormat="1" ht="16.5" customHeight="1">
      <c r="A7" s="22"/>
      <c r="J7" s="59"/>
      <c r="K7" s="62"/>
      <c r="L7" s="62"/>
    </row>
    <row r="8" spans="1:15" ht="16.5" customHeigh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555"/>
      <c r="L8" s="555"/>
    </row>
    <row r="9" spans="1:15" s="2" customFormat="1" ht="16.5" customHeight="1">
      <c r="A9" s="552" t="s">
        <v>13</v>
      </c>
      <c r="B9" s="552" t="s">
        <v>14</v>
      </c>
      <c r="C9" s="552"/>
      <c r="D9" s="552"/>
      <c r="E9" s="552"/>
      <c r="F9" s="552"/>
      <c r="G9" s="552" t="s">
        <v>15</v>
      </c>
      <c r="H9" s="552"/>
      <c r="I9" s="552"/>
      <c r="J9" s="553" t="s">
        <v>16</v>
      </c>
      <c r="K9" s="553"/>
      <c r="L9" s="552" t="s">
        <v>17</v>
      </c>
    </row>
    <row r="10" spans="1:15" s="2" customFormat="1" ht="16.5" customHeight="1">
      <c r="A10" s="552"/>
      <c r="B10" s="552"/>
      <c r="C10" s="552"/>
      <c r="D10" s="552"/>
      <c r="E10" s="552"/>
      <c r="F10" s="552"/>
      <c r="G10" s="552"/>
      <c r="H10" s="552"/>
      <c r="I10" s="552"/>
      <c r="J10" s="60" t="s">
        <v>18</v>
      </c>
      <c r="K10" s="20" t="s">
        <v>19</v>
      </c>
      <c r="L10" s="552"/>
    </row>
    <row r="11" spans="1:15" s="18" customFormat="1" ht="16.5" customHeight="1">
      <c r="A11" s="215"/>
      <c r="B11" s="558"/>
      <c r="C11" s="558"/>
      <c r="D11" s="558"/>
      <c r="E11" s="558"/>
      <c r="F11" s="558"/>
      <c r="G11" s="559"/>
      <c r="H11" s="559"/>
      <c r="I11" s="559"/>
      <c r="K11" s="53"/>
      <c r="L11" s="55"/>
    </row>
    <row r="12" spans="1:15" s="18" customFormat="1" ht="16.5" customHeight="1">
      <c r="A12" s="215"/>
      <c r="B12" s="558"/>
      <c r="C12" s="558"/>
      <c r="D12" s="558"/>
      <c r="E12" s="558"/>
      <c r="F12" s="558"/>
      <c r="G12" s="559"/>
      <c r="H12" s="559"/>
      <c r="I12" s="559"/>
      <c r="K12" s="53"/>
      <c r="L12" s="55"/>
    </row>
    <row r="13" spans="1:15" s="18" customFormat="1" ht="16.5" customHeight="1">
      <c r="A13" s="215"/>
      <c r="B13" s="558"/>
      <c r="C13" s="558"/>
      <c r="D13" s="558"/>
      <c r="E13" s="558"/>
      <c r="F13" s="558"/>
      <c r="G13" s="559"/>
      <c r="H13" s="559"/>
      <c r="I13" s="559"/>
      <c r="K13" s="53"/>
      <c r="L13" s="55"/>
      <c r="N13" s="18">
        <f>8*9</f>
        <v>72</v>
      </c>
    </row>
    <row r="14" spans="1:15" s="18" customFormat="1" ht="16.5" customHeight="1">
      <c r="A14" s="215"/>
      <c r="B14" s="558"/>
      <c r="C14" s="558"/>
      <c r="D14" s="558"/>
      <c r="E14" s="558"/>
      <c r="F14" s="558"/>
      <c r="G14" s="559"/>
      <c r="H14" s="559"/>
      <c r="I14" s="559"/>
      <c r="J14" s="216"/>
      <c r="K14" s="53"/>
      <c r="L14" s="55"/>
      <c r="N14" s="18">
        <f>75*1.5</f>
        <v>112.5</v>
      </c>
      <c r="O14" s="18">
        <f>102/1.5</f>
        <v>68</v>
      </c>
    </row>
    <row r="15" spans="1:15" s="18" customFormat="1" ht="16.5" customHeight="1">
      <c r="A15" s="215"/>
      <c r="B15" s="558"/>
      <c r="C15" s="558"/>
      <c r="D15" s="558"/>
      <c r="E15" s="558"/>
      <c r="F15" s="558"/>
      <c r="G15" s="559"/>
      <c r="H15" s="559"/>
      <c r="I15" s="559"/>
      <c r="J15" s="53"/>
      <c r="K15" s="53"/>
      <c r="L15" s="55"/>
      <c r="N15" s="18">
        <v>3</v>
      </c>
    </row>
    <row r="16" spans="1:15" s="18" customFormat="1" ht="16.5" customHeight="1">
      <c r="A16" s="54"/>
      <c r="B16" s="558"/>
      <c r="C16" s="558"/>
      <c r="D16" s="558"/>
      <c r="E16" s="558"/>
      <c r="F16" s="558"/>
      <c r="G16" s="559"/>
      <c r="H16" s="559"/>
      <c r="I16" s="559"/>
      <c r="J16" s="53"/>
      <c r="K16" s="53"/>
      <c r="L16" s="55"/>
      <c r="N16" s="18">
        <f>N14*3</f>
        <v>337.5</v>
      </c>
    </row>
    <row r="17" spans="1:12" s="18" customFormat="1" ht="16.5" customHeight="1">
      <c r="A17" s="54"/>
      <c r="B17" s="562"/>
      <c r="C17" s="562"/>
      <c r="D17" s="562"/>
      <c r="E17" s="562"/>
      <c r="F17" s="562"/>
      <c r="G17" s="559"/>
      <c r="H17" s="559"/>
      <c r="I17" s="559"/>
      <c r="J17" s="53"/>
      <c r="K17" s="53"/>
      <c r="L17" s="55"/>
    </row>
    <row r="18" spans="1:12" s="18" customFormat="1" ht="16.5" customHeight="1">
      <c r="A18" s="54"/>
      <c r="B18" s="562"/>
      <c r="C18" s="562"/>
      <c r="D18" s="562"/>
      <c r="E18" s="562"/>
      <c r="F18" s="562"/>
      <c r="G18" s="559"/>
      <c r="H18" s="559"/>
      <c r="I18" s="559"/>
      <c r="J18" s="53"/>
      <c r="K18" s="53"/>
      <c r="L18" s="55"/>
    </row>
    <row r="19" spans="1:12" s="18" customFormat="1" ht="16.5" customHeight="1">
      <c r="A19" s="61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2" s="18" customFormat="1" ht="16.5" customHeight="1">
      <c r="A20" s="61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2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2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2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2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2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2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2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2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2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2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2" s="18" customFormat="1" ht="16.5" customHeight="1">
      <c r="A31" s="66"/>
      <c r="B31" s="566"/>
      <c r="C31" s="566"/>
      <c r="D31" s="566"/>
      <c r="E31" s="566"/>
      <c r="F31" s="566"/>
      <c r="G31" s="66"/>
      <c r="H31" s="41"/>
      <c r="I31" s="41"/>
      <c r="J31" s="42"/>
      <c r="K31" s="43"/>
      <c r="L31" s="3"/>
    </row>
    <row r="32" spans="1:12" s="18" customFormat="1" ht="16.5" customHeight="1">
      <c r="A32" s="26" t="s">
        <v>23</v>
      </c>
      <c r="B32" s="67"/>
      <c r="C32" s="67"/>
      <c r="D32" s="67"/>
      <c r="E32" s="67"/>
      <c r="F32" s="17"/>
      <c r="G32" s="17"/>
      <c r="H32" s="17"/>
      <c r="I32" s="17"/>
      <c r="J32" s="17"/>
      <c r="K32" s="3"/>
      <c r="L32" s="3"/>
    </row>
    <row r="33" spans="1:12" s="25" customFormat="1" ht="16.5" customHeight="1">
      <c r="A33" s="19" t="s">
        <v>13</v>
      </c>
      <c r="B33" s="567" t="s">
        <v>14</v>
      </c>
      <c r="C33" s="567"/>
      <c r="D33" s="567"/>
      <c r="E33" s="567"/>
      <c r="F33" s="567"/>
      <c r="G33" s="568" t="s">
        <v>24</v>
      </c>
      <c r="H33" s="568"/>
      <c r="I33" s="63" t="s">
        <v>17</v>
      </c>
      <c r="J33" s="60" t="s">
        <v>25</v>
      </c>
      <c r="K33" s="60" t="s">
        <v>26</v>
      </c>
      <c r="L33" s="60" t="s">
        <v>27</v>
      </c>
    </row>
    <row r="34" spans="1:12" s="18" customFormat="1" ht="16.5" customHeight="1">
      <c r="A34" s="317"/>
      <c r="B34" s="563"/>
      <c r="C34" s="563"/>
      <c r="D34" s="563"/>
      <c r="E34" s="563"/>
      <c r="F34" s="563"/>
      <c r="G34" s="564"/>
      <c r="H34" s="564"/>
      <c r="I34" s="64"/>
      <c r="J34" s="64"/>
      <c r="K34" s="55"/>
      <c r="L34" s="55"/>
    </row>
    <row r="35" spans="1:12" s="52" customFormat="1" ht="16.5" customHeight="1">
      <c r="A35" s="79"/>
      <c r="B35" s="563"/>
      <c r="C35" s="563"/>
      <c r="D35" s="563"/>
      <c r="E35" s="563"/>
      <c r="F35" s="563"/>
      <c r="G35" s="564"/>
      <c r="H35" s="564"/>
      <c r="I35" s="64"/>
      <c r="J35" s="64"/>
      <c r="K35" s="55"/>
      <c r="L35" s="55"/>
    </row>
    <row r="36" spans="1:12" s="52" customFormat="1" ht="16.5" customHeight="1">
      <c r="A36" s="79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79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32"/>
      <c r="B38" s="565"/>
      <c r="C38" s="565"/>
      <c r="D38" s="565"/>
      <c r="E38" s="565"/>
      <c r="F38" s="565"/>
      <c r="G38" s="565"/>
      <c r="H38" s="565"/>
      <c r="I38" s="565"/>
      <c r="J38" s="17"/>
      <c r="K38" s="3"/>
      <c r="L38" s="3"/>
    </row>
    <row r="39" spans="1:12" s="51" customFormat="1" ht="16.5" customHeight="1">
      <c r="A39" s="34" t="s">
        <v>28</v>
      </c>
      <c r="B39" s="34"/>
      <c r="C39" s="34"/>
      <c r="D39" s="34"/>
      <c r="E39" s="34"/>
      <c r="F39" s="17"/>
      <c r="G39" s="38"/>
      <c r="H39" s="36" t="s">
        <v>29</v>
      </c>
      <c r="I39" s="34"/>
      <c r="J39" s="34"/>
      <c r="K39" s="34"/>
      <c r="L39" s="34"/>
    </row>
    <row r="40" spans="1:12" s="51" customFormat="1" ht="16.5" customHeight="1">
      <c r="A40" s="569"/>
      <c r="B40" s="569"/>
      <c r="C40" s="569"/>
      <c r="D40" s="569"/>
      <c r="E40" s="569"/>
      <c r="F40" s="569"/>
      <c r="G40" s="57"/>
      <c r="H40" s="569"/>
      <c r="I40" s="569"/>
      <c r="J40" s="569"/>
      <c r="K40" s="569"/>
      <c r="L40" s="569"/>
    </row>
    <row r="41" spans="1:12" s="51" customFormat="1" ht="16.5" customHeight="1">
      <c r="A41" s="571"/>
      <c r="B41" s="571"/>
      <c r="C41" s="571"/>
      <c r="D41" s="571"/>
      <c r="E41" s="571"/>
      <c r="F41" s="571"/>
      <c r="G41" s="39"/>
      <c r="H41" s="569"/>
      <c r="I41" s="569"/>
      <c r="J41" s="569"/>
      <c r="K41" s="569"/>
      <c r="L41" s="569"/>
    </row>
    <row r="42" spans="1:12" s="51" customFormat="1" ht="16.5" customHeight="1">
      <c r="A42" s="571"/>
      <c r="B42" s="571"/>
      <c r="C42" s="571"/>
      <c r="D42" s="571"/>
      <c r="E42" s="571"/>
      <c r="F42" s="571"/>
      <c r="G42" s="56"/>
      <c r="H42" s="569"/>
      <c r="I42" s="569"/>
      <c r="J42" s="569"/>
      <c r="K42" s="569"/>
      <c r="L42" s="569"/>
    </row>
    <row r="43" spans="1:12" s="51" customFormat="1" ht="16.5" customHeight="1">
      <c r="A43" s="569"/>
      <c r="B43" s="569"/>
      <c r="C43" s="569"/>
      <c r="D43" s="569"/>
      <c r="E43" s="569"/>
      <c r="F43" s="569"/>
      <c r="G43" s="57"/>
      <c r="H43" s="569"/>
      <c r="I43" s="569"/>
      <c r="J43" s="569"/>
      <c r="K43" s="569"/>
      <c r="L43" s="569"/>
    </row>
    <row r="44" spans="1:12" s="51" customFormat="1" ht="16.5" customHeight="1">
      <c r="A44" s="670"/>
      <c r="B44" s="670"/>
      <c r="C44" s="670"/>
      <c r="D44" s="670"/>
      <c r="E44" s="670"/>
      <c r="F44" s="670"/>
      <c r="G44" s="57"/>
      <c r="H44" s="316"/>
      <c r="I44" s="316"/>
      <c r="J44" s="316"/>
      <c r="K44" s="316"/>
      <c r="L44" s="316"/>
    </row>
    <row r="45" spans="1:12" s="3" customFormat="1" ht="16.5" customHeight="1">
      <c r="A45" s="571"/>
      <c r="B45" s="571"/>
      <c r="C45" s="571"/>
      <c r="D45" s="571"/>
      <c r="E45" s="571"/>
      <c r="F45" s="571"/>
      <c r="G45" s="56"/>
      <c r="H45" s="569"/>
      <c r="I45" s="569"/>
      <c r="J45" s="569"/>
      <c r="K45" s="569"/>
      <c r="L45" s="569"/>
    </row>
    <row r="46" spans="1:12" s="3" customFormat="1" ht="16.5" customHeight="1">
      <c r="A46" s="571"/>
      <c r="B46" s="571"/>
      <c r="C46" s="571"/>
      <c r="D46" s="571"/>
      <c r="E46" s="571"/>
      <c r="F46" s="571"/>
      <c r="G46" s="57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6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7"/>
      <c r="H49" s="569"/>
      <c r="I49" s="569"/>
      <c r="J49" s="569"/>
      <c r="K49" s="569"/>
      <c r="L49" s="569"/>
    </row>
    <row r="50" spans="1:12" s="3" customFormat="1" ht="16.5" customHeight="1">
      <c r="A50" s="572"/>
      <c r="B50" s="572"/>
      <c r="C50" s="572"/>
      <c r="D50" s="572"/>
      <c r="E50" s="572"/>
      <c r="F50" s="572"/>
      <c r="G50" s="57"/>
      <c r="H50" s="572"/>
      <c r="I50" s="572"/>
      <c r="J50" s="572"/>
      <c r="K50" s="572"/>
      <c r="L50" s="572"/>
    </row>
    <row r="51" spans="1:12" s="3" customFormat="1" ht="16.5" customHeight="1">
      <c r="A51" s="70" t="s">
        <v>34</v>
      </c>
      <c r="B51" s="5"/>
      <c r="C51" s="4"/>
      <c r="H51" s="573" t="s">
        <v>35</v>
      </c>
      <c r="I51" s="573"/>
      <c r="J51" s="573"/>
      <c r="K51" s="573" t="s">
        <v>36</v>
      </c>
      <c r="L51" s="573"/>
    </row>
    <row r="52" spans="1:12" s="3" customFormat="1" ht="16.5" customHeight="1">
      <c r="A52" s="576"/>
      <c r="B52" s="576"/>
      <c r="C52" s="576"/>
      <c r="D52" s="576"/>
      <c r="E52" s="576"/>
      <c r="F52" s="576"/>
      <c r="G52" s="71"/>
      <c r="H52" s="577" t="s">
        <v>14</v>
      </c>
      <c r="I52" s="577"/>
      <c r="J52" s="74" t="s">
        <v>24</v>
      </c>
      <c r="K52" s="74" t="s">
        <v>14</v>
      </c>
      <c r="L52" s="74" t="s">
        <v>24</v>
      </c>
    </row>
    <row r="53" spans="1:12" s="3" customFormat="1" ht="16.5" customHeight="1">
      <c r="A53" s="574"/>
      <c r="B53" s="574"/>
      <c r="C53" s="574"/>
      <c r="D53" s="574"/>
      <c r="E53" s="574"/>
      <c r="F53" s="574"/>
      <c r="G53" s="72"/>
      <c r="H53" s="575"/>
      <c r="I53" s="575"/>
      <c r="J53" s="55"/>
      <c r="K53" s="76"/>
      <c r="L53" s="55"/>
    </row>
    <row r="54" spans="1:12" s="3" customFormat="1" ht="16.5" customHeight="1">
      <c r="A54" s="574"/>
      <c r="B54" s="574"/>
      <c r="C54" s="574"/>
      <c r="D54" s="574"/>
      <c r="E54" s="574"/>
      <c r="F54" s="574"/>
      <c r="G54" s="72"/>
      <c r="H54" s="575"/>
      <c r="I54" s="575"/>
      <c r="J54" s="55"/>
      <c r="K54" s="76"/>
      <c r="L54" s="55"/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/>
      <c r="I55" s="575"/>
      <c r="J55" s="55"/>
      <c r="K55" s="76"/>
      <c r="L55" s="55"/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/>
      <c r="I56" s="575"/>
      <c r="J56" s="55"/>
      <c r="K56" s="76"/>
      <c r="L56" s="55"/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/>
      <c r="I57" s="575"/>
      <c r="J57" s="55"/>
      <c r="K57" s="77"/>
      <c r="L57" s="55"/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/>
      <c r="I58" s="575"/>
      <c r="J58" s="55"/>
      <c r="L58" s="73"/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73"/>
      <c r="K59" s="77"/>
      <c r="L59" s="73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K60" s="77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45"/>
      <c r="B63" s="46"/>
      <c r="C63" s="46"/>
      <c r="D63" s="46"/>
      <c r="E63" s="44"/>
      <c r="F63" s="46"/>
      <c r="G63" s="46"/>
      <c r="H63" s="46"/>
      <c r="I63" s="46"/>
      <c r="J63" s="46"/>
      <c r="K63" s="47"/>
      <c r="L63" s="46"/>
    </row>
    <row r="64" spans="1:12" s="3" customFormat="1" ht="16.5" customHeight="1">
      <c r="A64" s="45" t="s">
        <v>45</v>
      </c>
      <c r="B64" s="46"/>
      <c r="C64" s="46"/>
      <c r="D64" s="46"/>
      <c r="E64" s="44"/>
      <c r="F64" s="46"/>
      <c r="G64" s="46"/>
      <c r="H64" s="46"/>
      <c r="I64" s="46"/>
      <c r="J64" s="46"/>
      <c r="K64" s="47"/>
      <c r="L64" s="46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8"/>
      <c r="J65" s="48"/>
      <c r="K65" s="47"/>
      <c r="L65" s="46"/>
    </row>
    <row r="66" spans="1:14" s="3" customFormat="1" ht="31.5" customHeight="1">
      <c r="A66" s="46" t="s">
        <v>46</v>
      </c>
      <c r="B66" s="578" t="s">
        <v>47</v>
      </c>
      <c r="C66" s="579"/>
      <c r="D66" s="578" t="s">
        <v>48</v>
      </c>
      <c r="E66" s="579"/>
      <c r="F66" s="578" t="s">
        <v>49</v>
      </c>
      <c r="G66" s="579"/>
      <c r="H66" s="578" t="s">
        <v>50</v>
      </c>
      <c r="I66" s="579"/>
      <c r="J66" s="578" t="s">
        <v>51</v>
      </c>
      <c r="K66" s="579"/>
      <c r="L66" s="49"/>
    </row>
    <row r="67" spans="1:14" s="3" customFormat="1" ht="16.5" customHeight="1">
      <c r="A67" s="50"/>
      <c r="B67" s="583"/>
      <c r="C67" s="584"/>
      <c r="D67" s="587"/>
      <c r="E67" s="588"/>
      <c r="F67" s="665"/>
      <c r="G67" s="666"/>
      <c r="H67" s="665"/>
      <c r="I67" s="666"/>
      <c r="J67" s="587"/>
      <c r="K67" s="588"/>
      <c r="L67" s="49"/>
    </row>
    <row r="68" spans="1:14" s="22" customFormat="1" ht="16.5" customHeight="1">
      <c r="A68" s="50"/>
      <c r="B68" s="585"/>
      <c r="C68" s="586"/>
      <c r="D68" s="589"/>
      <c r="E68" s="590"/>
      <c r="F68" s="667"/>
      <c r="G68" s="668"/>
      <c r="H68" s="667"/>
      <c r="I68" s="668"/>
      <c r="J68" s="589"/>
      <c r="K68" s="590"/>
      <c r="L68" s="49"/>
    </row>
    <row r="69" spans="1:14" s="22" customFormat="1" ht="16.5" customHeight="1">
      <c r="A69" s="35"/>
      <c r="B69" s="27"/>
      <c r="C69" s="27"/>
      <c r="D69" s="27"/>
      <c r="E69" s="35"/>
      <c r="F69" s="58"/>
      <c r="G69" s="58"/>
      <c r="H69" s="58"/>
      <c r="I69" s="58"/>
      <c r="J69" s="68"/>
      <c r="K69" s="68"/>
      <c r="L69" s="3"/>
    </row>
    <row r="70" spans="1:14" s="22" customFormat="1" ht="16.5" customHeight="1">
      <c r="A70" s="35" t="s">
        <v>53</v>
      </c>
      <c r="B70" s="27"/>
      <c r="C70" s="27"/>
      <c r="D70" s="35" t="s">
        <v>54</v>
      </c>
      <c r="F70" s="58"/>
      <c r="H70" s="35" t="s">
        <v>250</v>
      </c>
      <c r="I70" s="58"/>
      <c r="K70" s="68" t="s">
        <v>55</v>
      </c>
      <c r="L70" s="3"/>
    </row>
    <row r="71" spans="1:14" s="22" customFormat="1" ht="16.5" customHeight="1">
      <c r="A71" s="29"/>
      <c r="B71" s="29"/>
      <c r="C71" s="29"/>
      <c r="D71" s="29"/>
      <c r="E71" s="29"/>
      <c r="F71" s="29"/>
      <c r="H71" s="29"/>
      <c r="I71" s="29"/>
      <c r="J71" s="3"/>
      <c r="K71" s="3"/>
      <c r="L71" s="3"/>
    </row>
    <row r="72" spans="1:14" s="22" customFormat="1" ht="16.5" customHeight="1">
      <c r="A72" s="659" t="s">
        <v>251</v>
      </c>
      <c r="B72" s="659"/>
      <c r="C72" s="318"/>
      <c r="D72" s="660" t="s">
        <v>57</v>
      </c>
      <c r="E72" s="660"/>
      <c r="F72" s="660"/>
      <c r="H72" s="661" t="s">
        <v>247</v>
      </c>
      <c r="I72" s="661"/>
      <c r="J72" s="661"/>
      <c r="K72" s="662" t="s">
        <v>251</v>
      </c>
      <c r="L72" s="662"/>
      <c r="N72" s="218" t="e">
        <f>#REF!+1.27</f>
        <v>#REF!</v>
      </c>
    </row>
    <row r="73" spans="1:14" s="3" customFormat="1" ht="16.5" customHeight="1">
      <c r="A73" s="663" t="s">
        <v>59</v>
      </c>
      <c r="B73" s="663"/>
      <c r="C73" s="319"/>
      <c r="D73" s="664" t="s">
        <v>60</v>
      </c>
      <c r="E73" s="664"/>
      <c r="F73" s="664"/>
      <c r="H73" s="663" t="s">
        <v>252</v>
      </c>
      <c r="I73" s="663"/>
      <c r="J73" s="663"/>
      <c r="K73" s="320" t="s">
        <v>253</v>
      </c>
      <c r="L73" s="320"/>
    </row>
    <row r="74" spans="1:14" s="3" customFormat="1" ht="16.5" customHeight="1">
      <c r="A74" s="37"/>
      <c r="B74" s="27"/>
      <c r="C74" s="27"/>
      <c r="D74" s="27"/>
      <c r="E74" s="27"/>
      <c r="F74" s="29"/>
      <c r="G74" s="29"/>
      <c r="H74" s="29"/>
      <c r="I74" s="29"/>
      <c r="J74" s="29"/>
    </row>
    <row r="75" spans="1:14" s="3" customFormat="1" ht="16.5" customHeight="1">
      <c r="A75" s="37"/>
      <c r="B75" s="27"/>
      <c r="C75" s="27"/>
      <c r="D75" s="27"/>
      <c r="E75" s="27"/>
      <c r="F75" s="29"/>
      <c r="G75" s="29"/>
      <c r="H75" s="29"/>
      <c r="I75" s="29"/>
      <c r="J75" s="29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  <c r="N76" s="3">
        <f>84.35+1.27</f>
        <v>85.61999999999999</v>
      </c>
    </row>
    <row r="77" spans="1:14" s="3" customFormat="1" ht="16.5" customHeight="1">
      <c r="A77" s="37"/>
      <c r="B77" s="27"/>
      <c r="C77" s="27"/>
      <c r="D77" s="27"/>
      <c r="E77" s="27"/>
      <c r="F77" s="30"/>
      <c r="G77" s="30"/>
      <c r="H77" s="30"/>
      <c r="I77" s="30"/>
      <c r="J77" s="30"/>
    </row>
    <row r="78" spans="1:14" s="3" customFormat="1" ht="16.5" customHeight="1">
      <c r="A78" s="37"/>
      <c r="B78" s="27"/>
      <c r="C78" s="27"/>
      <c r="D78" s="27"/>
      <c r="E78" s="27"/>
      <c r="F78" s="30"/>
      <c r="G78" s="30"/>
      <c r="H78" s="30"/>
      <c r="I78" s="30"/>
      <c r="J78" s="30"/>
    </row>
    <row r="79" spans="1:14" s="3" customFormat="1" ht="15" customHeight="1">
      <c r="A79" s="27"/>
      <c r="B79" s="27"/>
      <c r="C79" s="27"/>
      <c r="D79" s="27"/>
      <c r="E79" s="27"/>
      <c r="F79" s="29"/>
      <c r="G79" s="29"/>
      <c r="H79" s="29"/>
      <c r="I79" s="29"/>
      <c r="J79" s="29"/>
    </row>
    <row r="80" spans="1:14" s="3" customFormat="1" ht="15" customHeight="1">
      <c r="A80" s="27"/>
      <c r="B80" s="27"/>
      <c r="C80" s="27"/>
      <c r="D80" s="27"/>
      <c r="E80" s="27"/>
      <c r="F80" s="28"/>
      <c r="G80" s="28"/>
      <c r="H80" s="28"/>
      <c r="I80" s="28"/>
      <c r="J80" s="28"/>
    </row>
    <row r="81" spans="1:10" s="3" customFormat="1" ht="15" customHeight="1">
      <c r="A81" s="27"/>
      <c r="B81" s="27"/>
      <c r="C81" s="27"/>
      <c r="D81" s="27"/>
      <c r="E81" s="27"/>
      <c r="F81" s="30"/>
      <c r="G81" s="30"/>
      <c r="H81" s="30"/>
      <c r="I81" s="30"/>
      <c r="J81" s="30"/>
    </row>
    <row r="82" spans="1:10" s="3" customFormat="1" ht="15" customHeight="1">
      <c r="A82" s="27"/>
      <c r="B82" s="27"/>
      <c r="C82" s="27"/>
      <c r="D82" s="27"/>
      <c r="E82" s="27"/>
      <c r="F82" s="29"/>
      <c r="G82" s="29"/>
      <c r="H82" s="29"/>
      <c r="I82" s="29"/>
      <c r="J82" s="29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7.399999999999999">
      <c r="A84" s="27"/>
      <c r="B84" s="27"/>
      <c r="C84" s="27"/>
      <c r="D84" s="27"/>
      <c r="E84" s="27"/>
      <c r="F84" s="30"/>
      <c r="G84" s="30"/>
      <c r="H84" s="30"/>
      <c r="I84" s="30"/>
      <c r="J84" s="30"/>
    </row>
    <row r="85" spans="1:10" s="3" customFormat="1" ht="21.9" customHeight="1">
      <c r="A85" s="27"/>
      <c r="B85" s="27"/>
      <c r="C85" s="27"/>
      <c r="D85" s="27"/>
      <c r="E85" s="27"/>
      <c r="F85" s="29"/>
      <c r="G85" s="29"/>
      <c r="H85" s="29"/>
      <c r="I85" s="29"/>
      <c r="J85" s="29"/>
    </row>
    <row r="86" spans="1:10" s="3" customFormat="1" ht="21.9" customHeight="1">
      <c r="A86" s="27"/>
      <c r="B86" s="27"/>
      <c r="C86" s="27"/>
      <c r="D86" s="27"/>
      <c r="E86" s="27"/>
      <c r="F86" s="29"/>
      <c r="G86" s="29"/>
      <c r="H86" s="29"/>
      <c r="I86" s="29"/>
      <c r="J86" s="29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30"/>
      <c r="G92" s="30"/>
      <c r="H92" s="30"/>
      <c r="I92" s="30"/>
      <c r="J92" s="30"/>
    </row>
    <row r="93" spans="1:10" s="3" customFormat="1" ht="21.9" customHeight="1">
      <c r="A93" s="27"/>
      <c r="B93" s="27"/>
      <c r="C93" s="27"/>
      <c r="D93" s="27"/>
      <c r="E93" s="27"/>
      <c r="F93" s="30"/>
      <c r="G93" s="30"/>
      <c r="H93" s="30"/>
      <c r="I93" s="30"/>
      <c r="J93" s="30"/>
    </row>
    <row r="94" spans="1:10" s="3" customFormat="1" ht="21.9" customHeight="1">
      <c r="A94" s="27"/>
      <c r="B94" s="27"/>
      <c r="C94" s="27"/>
      <c r="D94" s="27"/>
      <c r="E94" s="27"/>
      <c r="F94" s="29"/>
      <c r="G94" s="29"/>
      <c r="H94" s="29"/>
      <c r="I94" s="29"/>
      <c r="J94" s="29"/>
    </row>
    <row r="95" spans="1:10" s="3" customFormat="1" ht="21.9" customHeight="1">
      <c r="A95" s="27"/>
      <c r="B95" s="27"/>
      <c r="C95" s="27"/>
      <c r="D95" s="27"/>
      <c r="E95" s="27"/>
      <c r="F95" s="29"/>
      <c r="G95" s="29"/>
      <c r="H95" s="29"/>
      <c r="I95" s="29"/>
      <c r="J95" s="29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4"/>
      <c r="G121" s="4"/>
      <c r="H121" s="4"/>
      <c r="I121" s="4"/>
      <c r="J121" s="4"/>
    </row>
    <row r="122" spans="1:10" s="3" customFormat="1" ht="21.9" customHeight="1">
      <c r="A122" s="27"/>
      <c r="B122" s="27"/>
      <c r="C122" s="27"/>
      <c r="D122" s="27"/>
      <c r="E122" s="27"/>
      <c r="F122" s="4"/>
      <c r="G122" s="4"/>
      <c r="H122" s="4"/>
      <c r="I122" s="4"/>
      <c r="J122" s="4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29"/>
      <c r="G124" s="29"/>
      <c r="H124" s="29"/>
      <c r="I124" s="29"/>
      <c r="J124" s="29"/>
    </row>
    <row r="125" spans="1:10" s="3" customFormat="1" ht="21.9" customHeight="1">
      <c r="A125" s="27"/>
      <c r="B125" s="27"/>
      <c r="C125" s="27"/>
      <c r="D125" s="27"/>
      <c r="E125" s="27"/>
      <c r="F125" s="29"/>
      <c r="G125" s="29"/>
      <c r="H125" s="29"/>
      <c r="I125" s="29"/>
      <c r="J125" s="29"/>
    </row>
    <row r="126" spans="1:10" s="3" customFormat="1" ht="21.9" customHeight="1">
      <c r="A126" s="27"/>
      <c r="B126" s="27"/>
      <c r="C126" s="27"/>
      <c r="D126" s="27"/>
      <c r="E126" s="27"/>
      <c r="F126" s="4"/>
      <c r="G126" s="4"/>
      <c r="H126" s="4"/>
      <c r="I126" s="4"/>
      <c r="J126" s="4"/>
    </row>
    <row r="127" spans="1:10" s="3" customFormat="1" ht="21.9" customHeight="1">
      <c r="A127" s="27"/>
      <c r="B127" s="27"/>
      <c r="C127" s="27"/>
      <c r="D127" s="27"/>
      <c r="E127" s="27"/>
      <c r="F127" s="4"/>
      <c r="G127" s="4"/>
      <c r="H127" s="4"/>
      <c r="I127" s="4"/>
      <c r="J127" s="4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29"/>
      <c r="G129" s="29"/>
      <c r="H129" s="29"/>
      <c r="I129" s="29"/>
      <c r="J129" s="29"/>
    </row>
    <row r="130" spans="1:10" s="3" customFormat="1" ht="21.9" customHeight="1">
      <c r="A130" s="27"/>
      <c r="B130" s="27"/>
      <c r="C130" s="27"/>
      <c r="D130" s="27"/>
      <c r="E130" s="27"/>
      <c r="F130" s="29"/>
      <c r="G130" s="29"/>
      <c r="H130" s="29"/>
      <c r="I130" s="29"/>
      <c r="J130" s="29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31"/>
      <c r="G132" s="31"/>
      <c r="H132" s="31"/>
      <c r="I132" s="31"/>
      <c r="J132" s="31"/>
    </row>
    <row r="133" spans="1:10" s="3" customFormat="1" ht="21.9" customHeight="1">
      <c r="A133" s="32"/>
      <c r="B133" s="32"/>
      <c r="C133" s="32"/>
      <c r="D133" s="32"/>
      <c r="E133" s="32"/>
      <c r="F133" s="31"/>
      <c r="G133" s="31"/>
      <c r="H133" s="31"/>
      <c r="I133" s="31"/>
      <c r="J133" s="31"/>
    </row>
    <row r="134" spans="1:10" s="3" customFormat="1" ht="21.9" customHeight="1">
      <c r="A134" s="32"/>
      <c r="B134" s="32"/>
      <c r="C134" s="32"/>
      <c r="D134" s="32"/>
      <c r="E134" s="32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28"/>
      <c r="G141" s="28"/>
      <c r="H141" s="28"/>
      <c r="I141" s="28"/>
      <c r="J141" s="28"/>
    </row>
    <row r="142" spans="1:10" s="3" customFormat="1" ht="21.9" customHeight="1">
      <c r="A142" s="32"/>
      <c r="B142" s="32"/>
      <c r="C142" s="32"/>
      <c r="D142" s="32"/>
      <c r="E142" s="32"/>
      <c r="F142" s="28"/>
      <c r="G142" s="28"/>
      <c r="H142" s="28"/>
      <c r="I142" s="28"/>
      <c r="J142" s="28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31"/>
      <c r="G145" s="31"/>
      <c r="H145" s="31"/>
      <c r="I145" s="31"/>
      <c r="J145" s="31"/>
    </row>
    <row r="146" spans="1:12" s="3" customFormat="1" ht="21.9" customHeight="1">
      <c r="A146" s="32"/>
      <c r="B146" s="32"/>
      <c r="C146" s="32"/>
      <c r="D146" s="32"/>
      <c r="E146" s="32"/>
      <c r="F146" s="31"/>
      <c r="G146" s="31"/>
      <c r="H146" s="31"/>
      <c r="I146" s="31"/>
      <c r="J146" s="31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29"/>
      <c r="G148" s="29"/>
      <c r="H148" s="29"/>
      <c r="I148" s="29"/>
      <c r="J148" s="29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31"/>
      <c r="G150" s="31"/>
      <c r="H150" s="31"/>
      <c r="I150" s="31"/>
      <c r="J150" s="31"/>
    </row>
    <row r="151" spans="1:12" s="3" customFormat="1" ht="21.9" customHeight="1">
      <c r="A151" s="32"/>
      <c r="B151" s="32"/>
      <c r="C151" s="32"/>
      <c r="D151" s="32"/>
      <c r="E151" s="32"/>
      <c r="F151" s="33"/>
      <c r="G151" s="33"/>
      <c r="H151" s="33"/>
      <c r="I151" s="33"/>
      <c r="J151" s="33"/>
    </row>
    <row r="152" spans="1:12" s="3" customFormat="1" ht="21.9" customHeight="1">
      <c r="A152" s="32"/>
      <c r="B152" s="32"/>
      <c r="C152" s="32"/>
      <c r="D152" s="32"/>
      <c r="E152" s="32"/>
      <c r="F152" s="33"/>
      <c r="G152" s="33"/>
      <c r="H152" s="33"/>
      <c r="I152" s="33"/>
      <c r="J152" s="33"/>
    </row>
    <row r="153" spans="1:12" s="3" customFormat="1" ht="21.9" customHeight="1">
      <c r="A153" s="13"/>
      <c r="B153" s="13"/>
      <c r="C153" s="13"/>
      <c r="D153" s="13"/>
      <c r="E153" s="13"/>
      <c r="F153" s="14"/>
      <c r="G153" s="14"/>
      <c r="H153" s="14"/>
      <c r="I153" s="14"/>
      <c r="J153" s="14"/>
      <c r="K153" s="9"/>
      <c r="L153" s="9"/>
    </row>
    <row r="154" spans="1:12" s="3" customFormat="1" ht="21.9" customHeight="1">
      <c r="A154" s="13"/>
      <c r="B154" s="13"/>
      <c r="C154" s="13"/>
      <c r="D154" s="13"/>
      <c r="E154" s="13"/>
      <c r="F154" s="14"/>
      <c r="G154" s="14"/>
      <c r="H154" s="14"/>
      <c r="I154" s="14"/>
      <c r="J154" s="14"/>
      <c r="K154" s="9"/>
      <c r="L154" s="9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0"/>
      <c r="G158" s="10"/>
      <c r="H158" s="10"/>
      <c r="I158" s="10"/>
      <c r="J158" s="10"/>
      <c r="K158" s="9"/>
      <c r="L158" s="9"/>
    </row>
    <row r="159" spans="1:12" s="9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</row>
    <row r="160" spans="1:12" s="9" customFormat="1" ht="21.9" customHeight="1">
      <c r="A160" s="13"/>
      <c r="B160" s="13"/>
      <c r="C160" s="13"/>
      <c r="D160" s="13"/>
      <c r="E160" s="13"/>
      <c r="F160" s="14"/>
      <c r="G160" s="14"/>
      <c r="H160" s="14"/>
      <c r="I160" s="14"/>
      <c r="J160" s="14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8"/>
      <c r="G162" s="8"/>
      <c r="H162" s="8"/>
      <c r="I162" s="8"/>
      <c r="J162" s="8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10"/>
      <c r="G164" s="10"/>
      <c r="H164" s="10"/>
      <c r="I164" s="10"/>
      <c r="J164" s="10"/>
    </row>
    <row r="165" spans="1:10" s="9" customFormat="1" ht="21.9" customHeight="1">
      <c r="A165" s="13"/>
      <c r="B165" s="13"/>
      <c r="C165" s="13"/>
      <c r="D165" s="13"/>
      <c r="E165" s="13"/>
      <c r="F165" s="12"/>
      <c r="G165" s="12"/>
      <c r="H165" s="12"/>
      <c r="I165" s="12"/>
      <c r="J165" s="12"/>
    </row>
    <row r="166" spans="1:10" s="9" customFormat="1" ht="21.9" customHeight="1">
      <c r="A166" s="13"/>
      <c r="B166" s="13"/>
      <c r="C166" s="13"/>
      <c r="D166" s="13"/>
      <c r="E166" s="13"/>
      <c r="F166" s="12"/>
      <c r="G166" s="12"/>
      <c r="H166" s="12"/>
      <c r="I166" s="12"/>
      <c r="J166" s="12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</row>
    <row r="172" spans="1:10" s="9" customFormat="1" ht="21.9" customHeight="1">
      <c r="A172" s="13"/>
      <c r="B172" s="13"/>
      <c r="C172" s="13"/>
      <c r="D172" s="13"/>
      <c r="E172" s="13"/>
      <c r="F172" s="8"/>
      <c r="G172" s="8"/>
      <c r="H172" s="8"/>
      <c r="I172" s="8"/>
      <c r="J172" s="8"/>
    </row>
    <row r="173" spans="1:10" s="9" customFormat="1" ht="21.9" customHeight="1">
      <c r="A173" s="13"/>
      <c r="B173" s="13"/>
      <c r="C173" s="13"/>
      <c r="D173" s="13"/>
      <c r="E173" s="13"/>
      <c r="F173" s="8"/>
      <c r="G173" s="8"/>
      <c r="H173" s="8"/>
      <c r="I173" s="8"/>
      <c r="J173" s="8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</row>
    <row r="179" spans="1:10" s="9" customFormat="1" ht="21.9" customHeight="1">
      <c r="A179" s="13"/>
      <c r="B179" s="13"/>
      <c r="C179" s="13"/>
      <c r="D179" s="13"/>
      <c r="E179" s="13"/>
      <c r="F179" s="10"/>
      <c r="G179" s="10"/>
      <c r="H179" s="10"/>
      <c r="I179" s="10"/>
      <c r="J179" s="10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</row>
    <row r="183" spans="1:10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8"/>
      <c r="G185" s="8"/>
      <c r="H185" s="8"/>
      <c r="I185" s="8"/>
      <c r="J185" s="8"/>
    </row>
    <row r="186" spans="1:10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</row>
    <row r="187" spans="1:10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</row>
    <row r="188" spans="1:10" s="9" customFormat="1" ht="21.9" customHeight="1">
      <c r="A188" s="13"/>
      <c r="B188" s="13"/>
      <c r="C188" s="13"/>
      <c r="D188" s="13"/>
      <c r="E188" s="13"/>
      <c r="F188" s="12"/>
      <c r="G188" s="12"/>
      <c r="H188" s="12"/>
      <c r="I188" s="12"/>
      <c r="J188" s="12"/>
    </row>
    <row r="189" spans="1:10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</row>
    <row r="190" spans="1:10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11"/>
      <c r="G195" s="11"/>
      <c r="H195" s="11"/>
      <c r="I195" s="11"/>
      <c r="J195" s="11"/>
    </row>
    <row r="196" spans="1:10" s="9" customFormat="1" ht="21.9" customHeight="1">
      <c r="A196" s="13"/>
      <c r="B196" s="13"/>
      <c r="C196" s="13"/>
      <c r="D196" s="13"/>
      <c r="E196" s="13"/>
      <c r="F196" s="11"/>
      <c r="G196" s="11"/>
      <c r="H196" s="11"/>
      <c r="I196" s="11"/>
      <c r="J196" s="11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5"/>
      <c r="B199" s="15"/>
      <c r="C199" s="15"/>
      <c r="D199" s="15"/>
      <c r="E199" s="15"/>
      <c r="F199" s="12"/>
      <c r="G199" s="12"/>
      <c r="H199" s="12"/>
      <c r="I199" s="12"/>
      <c r="J199" s="12"/>
    </row>
    <row r="200" spans="1:10" s="9" customFormat="1" ht="21.9" customHeight="1">
      <c r="A200" s="15"/>
      <c r="B200" s="15"/>
      <c r="C200" s="15"/>
      <c r="D200" s="15"/>
      <c r="E200" s="15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2"/>
      <c r="G202" s="12"/>
      <c r="H202" s="12"/>
      <c r="I202" s="12"/>
      <c r="J202" s="12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8"/>
      <c r="G207" s="8"/>
      <c r="H207" s="8"/>
      <c r="I207" s="8"/>
      <c r="J207" s="8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12"/>
      <c r="G209" s="12"/>
      <c r="H209" s="12"/>
      <c r="I209" s="12"/>
      <c r="J209" s="12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8"/>
      <c r="G211" s="8"/>
      <c r="H211" s="8"/>
      <c r="I211" s="8"/>
      <c r="J211" s="8"/>
    </row>
    <row r="212" spans="1:10" s="9" customFormat="1" ht="21.9" customHeight="1">
      <c r="A212" s="15"/>
      <c r="B212" s="15"/>
      <c r="C212" s="15"/>
      <c r="D212" s="15"/>
      <c r="E212" s="15"/>
      <c r="F212" s="8"/>
      <c r="G212" s="8"/>
      <c r="H212" s="8"/>
      <c r="I212" s="8"/>
      <c r="J212" s="8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11"/>
      <c r="G217" s="11"/>
      <c r="H217" s="11"/>
      <c r="I217" s="11"/>
      <c r="J217" s="11"/>
    </row>
    <row r="218" spans="1:10" s="9" customFormat="1" ht="21.9" customHeight="1">
      <c r="A218" s="15"/>
      <c r="B218" s="15"/>
      <c r="C218" s="15"/>
      <c r="D218" s="15"/>
      <c r="E218" s="15"/>
      <c r="F218" s="11"/>
      <c r="G218" s="11"/>
      <c r="H218" s="11"/>
      <c r="I218" s="11"/>
      <c r="J218" s="11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8"/>
      <c r="G223" s="8"/>
      <c r="H223" s="8"/>
      <c r="I223" s="8"/>
      <c r="J223" s="8"/>
    </row>
    <row r="224" spans="1:10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6"/>
      <c r="B230" s="6"/>
      <c r="C230" s="6"/>
      <c r="D230" s="6"/>
      <c r="E230" s="6"/>
      <c r="F230" s="12"/>
      <c r="G230" s="12"/>
      <c r="H230" s="12"/>
      <c r="I230" s="12"/>
      <c r="J230" s="12"/>
    </row>
    <row r="231" spans="1:10" s="9" customFormat="1" ht="21.9" customHeight="1">
      <c r="A231" s="6"/>
      <c r="B231" s="6"/>
      <c r="C231" s="6"/>
      <c r="D231" s="6"/>
      <c r="E231" s="6"/>
      <c r="F231" s="12"/>
      <c r="G231" s="12"/>
      <c r="H231" s="12"/>
      <c r="I231" s="12"/>
      <c r="J231" s="12"/>
    </row>
    <row r="232" spans="1:10" s="9" customFormat="1" ht="21.9" customHeight="1">
      <c r="A232" s="6"/>
      <c r="B232" s="6"/>
      <c r="C232" s="6"/>
      <c r="D232" s="6"/>
      <c r="E232" s="6"/>
      <c r="F232" s="11"/>
      <c r="G232" s="11"/>
      <c r="H232" s="11"/>
      <c r="I232" s="11"/>
      <c r="J232" s="11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8"/>
      <c r="G234" s="8"/>
      <c r="H234" s="8"/>
      <c r="I234" s="8"/>
      <c r="J234" s="8"/>
    </row>
    <row r="235" spans="1:10" s="9" customFormat="1" ht="21.9" customHeight="1">
      <c r="A235" s="6"/>
      <c r="B235" s="6"/>
      <c r="C235" s="6"/>
      <c r="D235" s="6"/>
      <c r="E235" s="6"/>
      <c r="F235" s="8"/>
      <c r="G235" s="8"/>
      <c r="H235" s="8"/>
      <c r="I235" s="8"/>
      <c r="J235" s="8"/>
    </row>
    <row r="236" spans="1:10" s="9" customFormat="1" ht="21.9" customHeight="1">
      <c r="A236" s="6"/>
      <c r="B236" s="6"/>
      <c r="C236" s="6"/>
      <c r="D236" s="6"/>
      <c r="E236" s="6"/>
      <c r="F236" s="11"/>
      <c r="G236" s="11"/>
      <c r="H236" s="11"/>
      <c r="I236" s="11"/>
      <c r="J236" s="11"/>
    </row>
    <row r="237" spans="1:10" s="9" customFormat="1" ht="21.9" customHeight="1">
      <c r="A237" s="6"/>
      <c r="B237" s="6"/>
      <c r="C237" s="6"/>
      <c r="D237" s="6"/>
      <c r="E237" s="6"/>
      <c r="F237" s="12"/>
      <c r="G237" s="12"/>
      <c r="H237" s="12"/>
      <c r="I237" s="12"/>
      <c r="J237" s="12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1"/>
      <c r="G239" s="11"/>
      <c r="H239" s="11"/>
      <c r="I239" s="11"/>
      <c r="J239" s="11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8"/>
      <c r="G246" s="8"/>
      <c r="H246" s="8"/>
      <c r="I246" s="8"/>
      <c r="J246" s="8"/>
    </row>
    <row r="247" spans="1:10" s="9" customFormat="1" ht="21.9" customHeight="1">
      <c r="A247" s="6"/>
      <c r="B247" s="6"/>
      <c r="C247" s="6"/>
      <c r="D247" s="6"/>
      <c r="E247" s="6"/>
      <c r="F247" s="8"/>
      <c r="G247" s="8"/>
      <c r="H247" s="8"/>
      <c r="I247" s="8"/>
      <c r="J247" s="8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13.2">
      <c r="A252" s="6"/>
      <c r="B252" s="6"/>
      <c r="C252" s="6"/>
      <c r="D252" s="6"/>
      <c r="E252" s="6"/>
      <c r="F252" s="12"/>
      <c r="G252" s="12"/>
      <c r="H252" s="12"/>
      <c r="I252" s="12"/>
      <c r="J252" s="12"/>
    </row>
    <row r="253" spans="1:10" s="9" customFormat="1" ht="13.2">
      <c r="A253" s="6"/>
      <c r="B253" s="6"/>
      <c r="C253" s="6"/>
      <c r="D253" s="6"/>
      <c r="E253" s="6"/>
      <c r="F253" s="10"/>
      <c r="G253" s="10"/>
      <c r="H253" s="10"/>
      <c r="I253" s="10"/>
      <c r="J253" s="10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2"/>
      <c r="G255" s="12"/>
      <c r="H255" s="12"/>
      <c r="I255" s="12"/>
      <c r="J255" s="12"/>
    </row>
    <row r="256" spans="1:10" s="9" customFormat="1" ht="13.2">
      <c r="A256" s="6"/>
      <c r="B256" s="6"/>
      <c r="C256" s="6"/>
      <c r="D256" s="6"/>
      <c r="E256" s="6"/>
      <c r="F256" s="8"/>
      <c r="G256" s="8"/>
      <c r="H256" s="8"/>
      <c r="I256" s="8"/>
      <c r="J256" s="8"/>
    </row>
    <row r="257" spans="1:10" s="9" customFormat="1" ht="13.2">
      <c r="A257" s="6"/>
      <c r="B257" s="6"/>
      <c r="C257" s="6"/>
      <c r="D257" s="6"/>
      <c r="E257" s="6"/>
      <c r="F257" s="8"/>
      <c r="G257" s="8"/>
      <c r="H257" s="8"/>
      <c r="I257" s="8"/>
      <c r="J257" s="8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11"/>
      <c r="G260" s="11"/>
      <c r="H260" s="11"/>
      <c r="I260" s="11"/>
      <c r="J260" s="11"/>
    </row>
    <row r="261" spans="1:10" s="9" customFormat="1" ht="13.2">
      <c r="A261" s="6"/>
      <c r="B261" s="6"/>
      <c r="C261" s="6"/>
      <c r="D261" s="6"/>
      <c r="E261" s="6"/>
      <c r="F261" s="12"/>
      <c r="G261" s="12"/>
      <c r="H261" s="12"/>
      <c r="I261" s="12"/>
      <c r="J261" s="12"/>
    </row>
    <row r="262" spans="1:10" s="9" customFormat="1" ht="13.2">
      <c r="A262" s="6"/>
      <c r="B262" s="6"/>
      <c r="C262" s="6"/>
      <c r="D262" s="6"/>
      <c r="E262" s="6"/>
      <c r="F262" s="10"/>
      <c r="G262" s="10"/>
      <c r="H262" s="10"/>
      <c r="I262" s="10"/>
      <c r="J262" s="10"/>
    </row>
    <row r="263" spans="1:10" s="9" customFormat="1" ht="13.2">
      <c r="A263" s="6"/>
      <c r="B263" s="6"/>
      <c r="C263" s="6"/>
      <c r="D263" s="6"/>
      <c r="E263" s="6"/>
      <c r="F263" s="11"/>
      <c r="G263" s="11"/>
      <c r="H263" s="11"/>
      <c r="I263" s="11"/>
      <c r="J263" s="11"/>
    </row>
    <row r="264" spans="1:10" s="9" customFormat="1" ht="13.2">
      <c r="A264" s="6"/>
      <c r="B264" s="6"/>
      <c r="C264" s="6"/>
      <c r="D264" s="6"/>
      <c r="E264" s="6"/>
      <c r="F264" s="8"/>
      <c r="G264" s="8"/>
      <c r="H264" s="8"/>
      <c r="I264" s="8"/>
      <c r="J264" s="8"/>
    </row>
    <row r="265" spans="1:10" s="9" customFormat="1" ht="13.2">
      <c r="A265" s="6"/>
      <c r="B265" s="6"/>
      <c r="C265" s="6"/>
      <c r="D265" s="6"/>
      <c r="E265" s="6"/>
      <c r="F265" s="7"/>
      <c r="G265" s="7"/>
      <c r="H265" s="7"/>
      <c r="I265" s="7"/>
      <c r="J265" s="7"/>
    </row>
    <row r="266" spans="1:10" s="9" customFormat="1" ht="13.2">
      <c r="A266" s="6"/>
      <c r="B266" s="6"/>
      <c r="C266" s="6"/>
      <c r="D266" s="6"/>
      <c r="E266" s="6"/>
      <c r="F266" s="7"/>
      <c r="G266" s="7"/>
      <c r="H266" s="7"/>
      <c r="I266" s="7"/>
      <c r="J266" s="7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8"/>
      <c r="G269" s="8"/>
      <c r="H269" s="8"/>
      <c r="I269" s="8"/>
      <c r="J269" s="8"/>
    </row>
    <row r="270" spans="1:10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12"/>
      <c r="G277" s="12"/>
      <c r="H277" s="12"/>
      <c r="I277" s="12"/>
      <c r="J277" s="12"/>
    </row>
    <row r="278" spans="1:10" s="9" customFormat="1" ht="13.2">
      <c r="A278" s="6"/>
      <c r="B278" s="6"/>
      <c r="C278" s="6"/>
      <c r="D278" s="6"/>
      <c r="E278" s="6"/>
      <c r="F278" s="11"/>
      <c r="G278" s="11"/>
      <c r="H278" s="11"/>
      <c r="I278" s="11"/>
      <c r="J278" s="11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8"/>
      <c r="G280" s="8"/>
      <c r="H280" s="8"/>
      <c r="I280" s="8"/>
      <c r="J280" s="8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</row>
    <row r="284" spans="1:10" s="9" customFormat="1" ht="13.2">
      <c r="A284" s="6"/>
      <c r="B284" s="6"/>
      <c r="C284" s="6"/>
      <c r="D284" s="6"/>
      <c r="E284" s="6"/>
      <c r="F284" s="12"/>
      <c r="G284" s="12"/>
      <c r="H284" s="12"/>
      <c r="I284" s="12"/>
      <c r="J284" s="12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</row>
    <row r="287" spans="1:10" s="9" customFormat="1" ht="13.2">
      <c r="A287" s="6"/>
      <c r="B287" s="6"/>
      <c r="C287" s="6"/>
      <c r="D287" s="6"/>
      <c r="E287" s="6"/>
      <c r="F287" s="11"/>
      <c r="G287" s="11"/>
      <c r="H287" s="11"/>
      <c r="I287" s="11"/>
      <c r="J287" s="11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11"/>
      <c r="G291" s="11"/>
      <c r="H291" s="11"/>
      <c r="I291" s="11"/>
      <c r="J291" s="11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10"/>
      <c r="G298" s="10"/>
      <c r="H298" s="10"/>
      <c r="I298" s="10"/>
      <c r="J298" s="10"/>
    </row>
    <row r="299" spans="1:10" s="9" customFormat="1" ht="13.2">
      <c r="A299" s="6"/>
      <c r="B299" s="6"/>
      <c r="C299" s="6"/>
      <c r="D299" s="6"/>
      <c r="E299" s="6"/>
      <c r="F299" s="11"/>
      <c r="G299" s="11"/>
      <c r="H299" s="11"/>
      <c r="I299" s="11"/>
      <c r="J299" s="11"/>
    </row>
    <row r="300" spans="1:10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</row>
    <row r="304" spans="1:10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</row>
    <row r="305" spans="1:10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</row>
    <row r="306" spans="1:10" s="9" customFormat="1" ht="13.2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</row>
    <row r="309" spans="1:10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</row>
    <row r="310" spans="1:10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7"/>
      <c r="G314" s="7"/>
      <c r="H314" s="7"/>
      <c r="I314" s="7"/>
      <c r="J314" s="7"/>
    </row>
    <row r="315" spans="1:10" s="9" customFormat="1" ht="13.2">
      <c r="A315" s="6"/>
      <c r="B315" s="6"/>
      <c r="C315" s="6"/>
      <c r="D315" s="6"/>
      <c r="E315" s="6"/>
      <c r="F315" s="7"/>
      <c r="G315" s="7"/>
      <c r="H315" s="7"/>
      <c r="I315" s="7"/>
      <c r="J315" s="7"/>
    </row>
    <row r="316" spans="1:10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</row>
    <row r="317" spans="1:10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</row>
    <row r="318" spans="1:10" s="9" customFormat="1" ht="13.2">
      <c r="A318" s="6"/>
      <c r="B318" s="6"/>
      <c r="C318" s="6"/>
      <c r="D318" s="6"/>
      <c r="E318" s="6"/>
      <c r="F318" s="7"/>
      <c r="G318" s="7"/>
      <c r="H318" s="7"/>
      <c r="I318" s="7"/>
      <c r="J318" s="7"/>
    </row>
    <row r="319" spans="1:10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7"/>
      <c r="G321" s="7"/>
      <c r="H321" s="7"/>
      <c r="I321" s="7"/>
      <c r="J321" s="7"/>
    </row>
    <row r="322" spans="1:10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</row>
    <row r="323" spans="1:10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</row>
    <row r="330" spans="1:10" s="9" customFormat="1" ht="13.2">
      <c r="A330" s="6"/>
      <c r="B330" s="6"/>
      <c r="C330" s="6"/>
      <c r="D330" s="6"/>
      <c r="E330" s="6"/>
      <c r="F330" s="7"/>
      <c r="G330" s="7"/>
      <c r="H330" s="7"/>
      <c r="I330" s="7"/>
      <c r="J330" s="7"/>
    </row>
    <row r="331" spans="1:10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</row>
    <row r="332" spans="1:10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10"/>
      <c r="G358" s="10"/>
      <c r="H358" s="10"/>
      <c r="I358" s="10"/>
      <c r="J358" s="10"/>
    </row>
    <row r="359" spans="1:10" s="9" customFormat="1" ht="13.2">
      <c r="A359" s="6"/>
      <c r="B359" s="6"/>
      <c r="C359" s="6"/>
      <c r="D359" s="6"/>
      <c r="E359" s="6"/>
      <c r="F359" s="10"/>
      <c r="G359" s="10"/>
      <c r="H359" s="10"/>
      <c r="I359" s="10"/>
      <c r="J359" s="10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</row>
    <row r="362" spans="1:10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</row>
    <row r="363" spans="1:10" s="9" customFormat="1" ht="13.2">
      <c r="A363" s="6"/>
      <c r="B363" s="6"/>
      <c r="C363" s="6"/>
      <c r="D363" s="6"/>
      <c r="E363" s="6"/>
      <c r="F363" s="10"/>
      <c r="G363" s="10"/>
      <c r="H363" s="10"/>
      <c r="I363" s="10"/>
      <c r="J363" s="10"/>
    </row>
    <row r="364" spans="1:10" s="9" customFormat="1" ht="13.2">
      <c r="A364" s="6"/>
      <c r="B364" s="6"/>
      <c r="C364" s="6"/>
      <c r="D364" s="6"/>
      <c r="E364" s="6"/>
      <c r="F364" s="10"/>
      <c r="G364" s="10"/>
      <c r="H364" s="10"/>
      <c r="I364" s="10"/>
      <c r="J364" s="10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</row>
    <row r="367" spans="1:10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12"/>
      <c r="G369" s="12"/>
      <c r="H369" s="12"/>
      <c r="I369" s="12"/>
      <c r="J369" s="12"/>
    </row>
    <row r="370" spans="1:10" s="9" customFormat="1" ht="13.2">
      <c r="A370" s="13"/>
      <c r="B370" s="13"/>
      <c r="C370" s="13"/>
      <c r="D370" s="13"/>
      <c r="E370" s="13"/>
      <c r="F370" s="12"/>
      <c r="G370" s="12"/>
      <c r="H370" s="12"/>
      <c r="I370" s="12"/>
      <c r="J370" s="12"/>
    </row>
    <row r="371" spans="1:10" s="9" customFormat="1" ht="13.2">
      <c r="A371" s="13"/>
      <c r="B371" s="13"/>
      <c r="C371" s="13"/>
      <c r="D371" s="13"/>
      <c r="E371" s="13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1"/>
      <c r="G378" s="11"/>
      <c r="H378" s="11"/>
      <c r="I378" s="11"/>
      <c r="J378" s="11"/>
    </row>
    <row r="379" spans="1:10" s="9" customFormat="1" ht="13.2">
      <c r="A379" s="13"/>
      <c r="B379" s="13"/>
      <c r="C379" s="13"/>
      <c r="D379" s="13"/>
      <c r="E379" s="13"/>
      <c r="F379" s="11"/>
      <c r="G379" s="11"/>
      <c r="H379" s="11"/>
      <c r="I379" s="11"/>
      <c r="J379" s="11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2"/>
      <c r="G382" s="12"/>
      <c r="H382" s="12"/>
      <c r="I382" s="12"/>
      <c r="J382" s="12"/>
    </row>
    <row r="383" spans="1:10" s="9" customFormat="1" ht="13.2">
      <c r="A383" s="13"/>
      <c r="B383" s="13"/>
      <c r="C383" s="13"/>
      <c r="D383" s="13"/>
      <c r="E383" s="13"/>
      <c r="F383" s="12"/>
      <c r="G383" s="12"/>
      <c r="H383" s="12"/>
      <c r="I383" s="12"/>
      <c r="J383" s="12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8"/>
      <c r="G385" s="8"/>
      <c r="H385" s="8"/>
      <c r="I385" s="8"/>
      <c r="J385" s="8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</row>
    <row r="388" spans="1:10" s="9" customFormat="1" ht="13.2">
      <c r="A388" s="13"/>
      <c r="B388" s="13"/>
      <c r="C388" s="13"/>
      <c r="D388" s="13"/>
      <c r="E388" s="13"/>
      <c r="F388" s="14"/>
      <c r="G388" s="14"/>
      <c r="H388" s="14"/>
      <c r="I388" s="14"/>
      <c r="J388" s="14"/>
    </row>
    <row r="389" spans="1:10" s="9" customFormat="1" ht="13.2">
      <c r="A389" s="13"/>
      <c r="B389" s="13"/>
      <c r="C389" s="13"/>
      <c r="D389" s="13"/>
      <c r="E389" s="13"/>
      <c r="F389" s="14"/>
      <c r="G389" s="14"/>
      <c r="H389" s="14"/>
      <c r="I389" s="14"/>
      <c r="J389" s="14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0"/>
      <c r="G395" s="10"/>
      <c r="H395" s="10"/>
      <c r="I395" s="10"/>
      <c r="J395" s="10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4"/>
      <c r="G397" s="14"/>
      <c r="H397" s="14"/>
      <c r="I397" s="14"/>
      <c r="J397" s="14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10"/>
      <c r="G401" s="10"/>
      <c r="H401" s="10"/>
      <c r="I401" s="10"/>
      <c r="J401" s="10"/>
    </row>
    <row r="402" spans="1:10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</row>
    <row r="403" spans="1:10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</row>
    <row r="409" spans="1:10" s="9" customFormat="1" ht="13.2">
      <c r="A409" s="13"/>
      <c r="B409" s="13"/>
      <c r="C409" s="13"/>
      <c r="D409" s="13"/>
      <c r="E409" s="13"/>
      <c r="F409" s="8"/>
      <c r="G409" s="8"/>
      <c r="H409" s="8"/>
      <c r="I409" s="8"/>
      <c r="J409" s="8"/>
    </row>
    <row r="410" spans="1:10" s="9" customFormat="1" ht="13.2">
      <c r="A410" s="13"/>
      <c r="B410" s="13"/>
      <c r="C410" s="13"/>
      <c r="D410" s="13"/>
      <c r="E410" s="13"/>
      <c r="F410" s="8"/>
      <c r="G410" s="8"/>
      <c r="H410" s="8"/>
      <c r="I410" s="8"/>
      <c r="J410" s="8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</row>
    <row r="416" spans="1:10" s="9" customFormat="1" ht="13.2">
      <c r="A416" s="13"/>
      <c r="B416" s="13"/>
      <c r="C416" s="13"/>
      <c r="D416" s="13"/>
      <c r="E416" s="13"/>
      <c r="F416" s="10"/>
      <c r="G416" s="10"/>
      <c r="H416" s="10"/>
      <c r="I416" s="10"/>
      <c r="J416" s="10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</row>
    <row r="420" spans="1:10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8"/>
      <c r="G422" s="8"/>
      <c r="H422" s="8"/>
      <c r="I422" s="8"/>
      <c r="J422" s="8"/>
    </row>
    <row r="423" spans="1:10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</row>
    <row r="424" spans="1:10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</row>
    <row r="425" spans="1:10" s="9" customFormat="1" ht="13.2">
      <c r="A425" s="13"/>
      <c r="B425" s="13"/>
      <c r="C425" s="13"/>
      <c r="D425" s="13"/>
      <c r="E425" s="13"/>
      <c r="F425" s="12"/>
      <c r="G425" s="12"/>
      <c r="H425" s="12"/>
      <c r="I425" s="12"/>
      <c r="J425" s="12"/>
    </row>
    <row r="426" spans="1:10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</row>
    <row r="427" spans="1:10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11"/>
      <c r="G432" s="11"/>
      <c r="H432" s="11"/>
      <c r="I432" s="11"/>
      <c r="J432" s="11"/>
    </row>
    <row r="433" spans="1:10" s="9" customFormat="1" ht="13.2">
      <c r="A433" s="13"/>
      <c r="B433" s="13"/>
      <c r="C433" s="13"/>
      <c r="D433" s="13"/>
      <c r="E433" s="13"/>
      <c r="F433" s="11"/>
      <c r="G433" s="11"/>
      <c r="H433" s="11"/>
      <c r="I433" s="11"/>
      <c r="J433" s="11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5"/>
      <c r="B436" s="15"/>
      <c r="C436" s="15"/>
      <c r="D436" s="15"/>
      <c r="E436" s="15"/>
      <c r="F436" s="12"/>
      <c r="G436" s="12"/>
      <c r="H436" s="12"/>
      <c r="I436" s="12"/>
      <c r="J436" s="12"/>
    </row>
    <row r="437" spans="1:10" s="9" customFormat="1" ht="13.2">
      <c r="A437" s="15"/>
      <c r="B437" s="15"/>
      <c r="C437" s="15"/>
      <c r="D437" s="15"/>
      <c r="E437" s="15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2"/>
      <c r="G439" s="12"/>
      <c r="H439" s="12"/>
      <c r="I439" s="12"/>
      <c r="J439" s="12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8"/>
      <c r="G444" s="8"/>
      <c r="H444" s="8"/>
      <c r="I444" s="8"/>
      <c r="J444" s="8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12"/>
      <c r="G446" s="12"/>
      <c r="H446" s="12"/>
      <c r="I446" s="12"/>
      <c r="J446" s="12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8"/>
      <c r="G448" s="8"/>
      <c r="H448" s="8"/>
      <c r="I448" s="8"/>
      <c r="J448" s="8"/>
    </row>
    <row r="449" spans="1:10" s="9" customFormat="1" ht="13.2">
      <c r="A449" s="15"/>
      <c r="B449" s="15"/>
      <c r="C449" s="15"/>
      <c r="D449" s="15"/>
      <c r="E449" s="15"/>
      <c r="F449" s="8"/>
      <c r="G449" s="8"/>
      <c r="H449" s="8"/>
      <c r="I449" s="8"/>
      <c r="J449" s="8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11"/>
      <c r="G454" s="11"/>
      <c r="H454" s="11"/>
      <c r="I454" s="11"/>
      <c r="J454" s="11"/>
    </row>
    <row r="455" spans="1:10" s="9" customFormat="1" ht="13.2">
      <c r="A455" s="15"/>
      <c r="B455" s="15"/>
      <c r="C455" s="15"/>
      <c r="D455" s="15"/>
      <c r="E455" s="15"/>
      <c r="F455" s="11"/>
      <c r="G455" s="11"/>
      <c r="H455" s="11"/>
      <c r="I455" s="11"/>
      <c r="J455" s="11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8"/>
      <c r="G460" s="8"/>
      <c r="H460" s="8"/>
      <c r="I460" s="8"/>
      <c r="J460" s="8"/>
    </row>
    <row r="461" spans="1:10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6"/>
      <c r="B467" s="6"/>
      <c r="C467" s="6"/>
      <c r="D467" s="6"/>
      <c r="E467" s="6"/>
      <c r="F467" s="12"/>
      <c r="G467" s="12"/>
      <c r="H467" s="12"/>
      <c r="I467" s="12"/>
      <c r="J467" s="12"/>
    </row>
    <row r="468" spans="1:10" s="9" customFormat="1" ht="13.2">
      <c r="A468" s="6"/>
      <c r="B468" s="6"/>
      <c r="C468" s="6"/>
      <c r="D468" s="6"/>
      <c r="E468" s="6"/>
      <c r="F468" s="12"/>
      <c r="G468" s="12"/>
      <c r="H468" s="12"/>
      <c r="I468" s="12"/>
      <c r="J468" s="12"/>
    </row>
    <row r="469" spans="1:10" s="9" customFormat="1" ht="13.2">
      <c r="A469" s="6"/>
      <c r="B469" s="6"/>
      <c r="C469" s="6"/>
      <c r="D469" s="6"/>
      <c r="E469" s="6"/>
      <c r="F469" s="11"/>
      <c r="G469" s="11"/>
      <c r="H469" s="11"/>
      <c r="I469" s="11"/>
      <c r="J469" s="11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8"/>
      <c r="G471" s="8"/>
      <c r="H471" s="8"/>
      <c r="I471" s="8"/>
      <c r="J471" s="8"/>
    </row>
    <row r="472" spans="1:10" s="9" customFormat="1" ht="13.2">
      <c r="A472" s="6"/>
      <c r="B472" s="6"/>
      <c r="C472" s="6"/>
      <c r="D472" s="6"/>
      <c r="E472" s="6"/>
      <c r="F472" s="8"/>
      <c r="G472" s="8"/>
      <c r="H472" s="8"/>
      <c r="I472" s="8"/>
      <c r="J472" s="8"/>
    </row>
    <row r="473" spans="1:10" s="9" customFormat="1" ht="13.2">
      <c r="A473" s="6"/>
      <c r="B473" s="6"/>
      <c r="C473" s="6"/>
      <c r="D473" s="6"/>
      <c r="E473" s="6"/>
      <c r="F473" s="11"/>
      <c r="G473" s="11"/>
      <c r="H473" s="11"/>
      <c r="I473" s="11"/>
      <c r="J473" s="11"/>
    </row>
    <row r="474" spans="1:10" s="9" customFormat="1" ht="13.2">
      <c r="A474" s="6"/>
      <c r="B474" s="6"/>
      <c r="C474" s="6"/>
      <c r="D474" s="6"/>
      <c r="E474" s="6"/>
      <c r="F474" s="12"/>
      <c r="G474" s="12"/>
      <c r="H474" s="12"/>
      <c r="I474" s="12"/>
      <c r="J474" s="12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1"/>
      <c r="G476" s="11"/>
      <c r="H476" s="11"/>
      <c r="I476" s="11"/>
      <c r="J476" s="11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8"/>
      <c r="G483" s="8"/>
      <c r="H483" s="8"/>
      <c r="I483" s="8"/>
      <c r="J483" s="8"/>
    </row>
    <row r="484" spans="1:10" s="9" customFormat="1" ht="13.2">
      <c r="A484" s="6"/>
      <c r="B484" s="6"/>
      <c r="C484" s="6"/>
      <c r="D484" s="6"/>
      <c r="E484" s="6"/>
      <c r="F484" s="8"/>
      <c r="G484" s="8"/>
      <c r="H484" s="8"/>
      <c r="I484" s="8"/>
      <c r="J484" s="8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12"/>
      <c r="G489" s="12"/>
      <c r="H489" s="12"/>
      <c r="I489" s="12"/>
      <c r="J489" s="12"/>
    </row>
    <row r="490" spans="1:10" s="9" customFormat="1" ht="13.2">
      <c r="A490" s="6"/>
      <c r="B490" s="6"/>
      <c r="C490" s="6"/>
      <c r="D490" s="6"/>
      <c r="E490" s="6"/>
      <c r="F490" s="10"/>
      <c r="G490" s="10"/>
      <c r="H490" s="10"/>
      <c r="I490" s="10"/>
      <c r="J490" s="10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2"/>
      <c r="G492" s="12"/>
      <c r="H492" s="12"/>
      <c r="I492" s="12"/>
      <c r="J492" s="12"/>
    </row>
    <row r="493" spans="1:10" s="9" customFormat="1" ht="13.2">
      <c r="A493" s="6"/>
      <c r="B493" s="6"/>
      <c r="C493" s="6"/>
      <c r="D493" s="6"/>
      <c r="E493" s="6"/>
      <c r="F493" s="8"/>
      <c r="G493" s="8"/>
      <c r="H493" s="8"/>
      <c r="I493" s="8"/>
      <c r="J493" s="8"/>
    </row>
    <row r="494" spans="1:10" s="9" customFormat="1" ht="13.2">
      <c r="A494" s="6"/>
      <c r="B494" s="6"/>
      <c r="C494" s="6"/>
      <c r="D494" s="6"/>
      <c r="E494" s="6"/>
      <c r="F494" s="8"/>
      <c r="G494" s="8"/>
      <c r="H494" s="8"/>
      <c r="I494" s="8"/>
      <c r="J494" s="8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</row>
    <row r="498" spans="1:10" s="9" customFormat="1" ht="13.2">
      <c r="A498" s="6"/>
      <c r="B498" s="6"/>
      <c r="C498" s="6"/>
      <c r="D498" s="6"/>
      <c r="E498" s="6"/>
      <c r="F498" s="12"/>
      <c r="G498" s="12"/>
      <c r="H498" s="12"/>
      <c r="I498" s="12"/>
      <c r="J498" s="12"/>
    </row>
    <row r="499" spans="1:10" s="9" customFormat="1" ht="13.2">
      <c r="A499" s="6"/>
      <c r="B499" s="6"/>
      <c r="C499" s="6"/>
      <c r="D499" s="6"/>
      <c r="E499" s="6"/>
      <c r="F499" s="10"/>
      <c r="G499" s="10"/>
      <c r="H499" s="10"/>
      <c r="I499" s="10"/>
      <c r="J499" s="10"/>
    </row>
    <row r="500" spans="1:10" s="9" customFormat="1" ht="13.2">
      <c r="A500" s="6"/>
      <c r="B500" s="6"/>
      <c r="C500" s="6"/>
      <c r="D500" s="6"/>
      <c r="E500" s="6"/>
      <c r="F500" s="11"/>
      <c r="G500" s="11"/>
      <c r="H500" s="11"/>
      <c r="I500" s="11"/>
      <c r="J500" s="11"/>
    </row>
    <row r="501" spans="1:10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</row>
    <row r="502" spans="1:10" s="9" customFormat="1" ht="13.2">
      <c r="A502" s="6"/>
      <c r="B502" s="6"/>
      <c r="C502" s="6"/>
      <c r="D502" s="6"/>
      <c r="E502" s="6"/>
      <c r="F502" s="7"/>
      <c r="G502" s="7"/>
      <c r="H502" s="7"/>
      <c r="I502" s="7"/>
      <c r="J502" s="7"/>
    </row>
    <row r="503" spans="1:10" s="9" customFormat="1" ht="13.2">
      <c r="A503" s="6"/>
      <c r="B503" s="6"/>
      <c r="C503" s="6"/>
      <c r="D503" s="6"/>
      <c r="E503" s="6"/>
      <c r="F503" s="7"/>
      <c r="G503" s="7"/>
      <c r="H503" s="7"/>
      <c r="I503" s="7"/>
      <c r="J503" s="7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8"/>
      <c r="G506" s="8"/>
      <c r="H506" s="8"/>
      <c r="I506" s="8"/>
      <c r="J506" s="8"/>
    </row>
    <row r="507" spans="1:10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12"/>
      <c r="G514" s="12"/>
      <c r="H514" s="12"/>
      <c r="I514" s="12"/>
      <c r="J514" s="12"/>
    </row>
    <row r="515" spans="1:10" s="9" customFormat="1" ht="13.2">
      <c r="A515" s="6"/>
      <c r="B515" s="6"/>
      <c r="C515" s="6"/>
      <c r="D515" s="6"/>
      <c r="E515" s="6"/>
      <c r="F515" s="11"/>
      <c r="G515" s="11"/>
      <c r="H515" s="11"/>
      <c r="I515" s="11"/>
      <c r="J515" s="11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</row>
    <row r="521" spans="1:10" s="9" customFormat="1" ht="13.2">
      <c r="A521" s="6"/>
      <c r="B521" s="6"/>
      <c r="C521" s="6"/>
      <c r="D521" s="6"/>
      <c r="E521" s="6"/>
      <c r="F521" s="12"/>
      <c r="G521" s="12"/>
      <c r="H521" s="12"/>
      <c r="I521" s="12"/>
      <c r="J521" s="12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</row>
    <row r="524" spans="1:10" s="9" customFormat="1" ht="13.2">
      <c r="A524" s="6"/>
      <c r="B524" s="6"/>
      <c r="C524" s="6"/>
      <c r="D524" s="6"/>
      <c r="E524" s="6"/>
      <c r="F524" s="11"/>
      <c r="G524" s="11"/>
      <c r="H524" s="11"/>
      <c r="I524" s="11"/>
      <c r="J524" s="11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11"/>
      <c r="G528" s="11"/>
      <c r="H528" s="11"/>
      <c r="I528" s="11"/>
      <c r="J528" s="11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10"/>
      <c r="G535" s="10"/>
      <c r="H535" s="10"/>
      <c r="I535" s="10"/>
      <c r="J535" s="10"/>
    </row>
    <row r="536" spans="1:10" s="9" customFormat="1" ht="13.2">
      <c r="A536" s="6"/>
      <c r="B536" s="6"/>
      <c r="C536" s="6"/>
      <c r="D536" s="6"/>
      <c r="E536" s="6"/>
      <c r="F536" s="11"/>
      <c r="G536" s="11"/>
      <c r="H536" s="11"/>
      <c r="I536" s="11"/>
      <c r="J536" s="11"/>
    </row>
    <row r="537" spans="1:10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</row>
    <row r="541" spans="1:10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</row>
    <row r="542" spans="1:10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</row>
    <row r="543" spans="1:10" s="9" customFormat="1" ht="13.2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</row>
    <row r="546" spans="1:10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</row>
    <row r="547" spans="1:10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7"/>
      <c r="G551" s="7"/>
      <c r="H551" s="7"/>
      <c r="I551" s="7"/>
      <c r="J551" s="7"/>
    </row>
    <row r="552" spans="1:10" s="9" customFormat="1" ht="13.2">
      <c r="A552" s="6"/>
      <c r="B552" s="6"/>
      <c r="C552" s="6"/>
      <c r="D552" s="6"/>
      <c r="E552" s="6"/>
      <c r="F552" s="7"/>
      <c r="G552" s="7"/>
      <c r="H552" s="7"/>
      <c r="I552" s="7"/>
      <c r="J552" s="7"/>
    </row>
    <row r="553" spans="1:10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</row>
    <row r="554" spans="1:10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</row>
    <row r="555" spans="1:10" s="9" customFormat="1" ht="13.2">
      <c r="A555" s="6"/>
      <c r="B555" s="6"/>
      <c r="C555" s="6"/>
      <c r="D555" s="6"/>
      <c r="E555" s="6"/>
      <c r="F555" s="7"/>
      <c r="G555" s="7"/>
      <c r="H555" s="7"/>
      <c r="I555" s="7"/>
      <c r="J555" s="7"/>
    </row>
    <row r="556" spans="1:10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7"/>
      <c r="G558" s="7"/>
      <c r="H558" s="7"/>
      <c r="I558" s="7"/>
      <c r="J558" s="7"/>
    </row>
    <row r="559" spans="1:10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</row>
    <row r="560" spans="1:10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</row>
    <row r="567" spans="1:10" s="9" customFormat="1" ht="13.2">
      <c r="A567" s="6"/>
      <c r="B567" s="6"/>
      <c r="C567" s="6"/>
      <c r="D567" s="6"/>
      <c r="E567" s="6"/>
      <c r="F567" s="7"/>
      <c r="G567" s="7"/>
      <c r="H567" s="7"/>
      <c r="I567" s="7"/>
      <c r="J567" s="7"/>
    </row>
    <row r="568" spans="1:10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</row>
    <row r="569" spans="1:10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10"/>
      <c r="G595" s="10"/>
      <c r="H595" s="10"/>
      <c r="I595" s="10"/>
      <c r="J595" s="10"/>
    </row>
    <row r="596" spans="1:10" s="9" customFormat="1" ht="13.2">
      <c r="A596" s="6"/>
      <c r="B596" s="6"/>
      <c r="C596" s="6"/>
      <c r="D596" s="6"/>
      <c r="E596" s="6"/>
      <c r="F596" s="10"/>
      <c r="G596" s="10"/>
      <c r="H596" s="10"/>
      <c r="I596" s="10"/>
      <c r="J596" s="10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</row>
    <row r="599" spans="1:10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</row>
    <row r="600" spans="1:10" s="9" customFormat="1" ht="13.2">
      <c r="A600" s="6"/>
      <c r="B600" s="6"/>
      <c r="C600" s="6"/>
      <c r="D600" s="6"/>
      <c r="E600" s="6"/>
      <c r="F600" s="10"/>
      <c r="G600" s="10"/>
      <c r="H600" s="10"/>
      <c r="I600" s="10"/>
      <c r="J600" s="10"/>
    </row>
    <row r="601" spans="1:10" s="9" customFormat="1" ht="13.2">
      <c r="A601" s="6"/>
      <c r="B601" s="6"/>
      <c r="C601" s="6"/>
      <c r="D601" s="6"/>
      <c r="E601" s="6"/>
      <c r="F601" s="10"/>
      <c r="G601" s="10"/>
      <c r="H601" s="10"/>
      <c r="I601" s="10"/>
      <c r="J601" s="10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</row>
    <row r="604" spans="1:10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12"/>
      <c r="G606" s="12"/>
      <c r="H606" s="12"/>
      <c r="I606" s="12"/>
      <c r="J606" s="12"/>
    </row>
    <row r="607" spans="1:10" s="9" customFormat="1" ht="13.2">
      <c r="A607" s="6"/>
      <c r="B607" s="6"/>
      <c r="C607" s="6"/>
      <c r="D607" s="6"/>
      <c r="E607" s="6"/>
      <c r="F607" s="12"/>
      <c r="G607" s="12"/>
      <c r="H607" s="12"/>
      <c r="I607" s="12"/>
      <c r="J607" s="12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s="9" customForma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</sheetData>
  <mergeCells count="129">
    <mergeCell ref="B3:H3"/>
    <mergeCell ref="K3:L3"/>
    <mergeCell ref="B4:H4"/>
    <mergeCell ref="K4:L4"/>
    <mergeCell ref="K5:L5"/>
    <mergeCell ref="K6:L6"/>
    <mergeCell ref="B5:H5"/>
    <mergeCell ref="B11:F11"/>
    <mergeCell ref="G11:I11"/>
    <mergeCell ref="B6:H6"/>
    <mergeCell ref="B12:F12"/>
    <mergeCell ref="G12:I12"/>
    <mergeCell ref="B13:F13"/>
    <mergeCell ref="G13:I13"/>
    <mergeCell ref="K8:L8"/>
    <mergeCell ref="A9:A10"/>
    <mergeCell ref="B9:F10"/>
    <mergeCell ref="G9:I10"/>
    <mergeCell ref="J9:K9"/>
    <mergeCell ref="L9:L10"/>
    <mergeCell ref="B17:F17"/>
    <mergeCell ref="G17:I17"/>
    <mergeCell ref="B18:F18"/>
    <mergeCell ref="G18:I18"/>
    <mergeCell ref="B19:F19"/>
    <mergeCell ref="G19:I19"/>
    <mergeCell ref="B14:F14"/>
    <mergeCell ref="G14:I14"/>
    <mergeCell ref="B15:F15"/>
    <mergeCell ref="G15:I15"/>
    <mergeCell ref="B16:F16"/>
    <mergeCell ref="G16:I16"/>
    <mergeCell ref="B23:F23"/>
    <mergeCell ref="G23:I23"/>
    <mergeCell ref="B24:F24"/>
    <mergeCell ref="G24:I24"/>
    <mergeCell ref="B25:F25"/>
    <mergeCell ref="G25:I25"/>
    <mergeCell ref="B20:F20"/>
    <mergeCell ref="G20:I20"/>
    <mergeCell ref="B21:F21"/>
    <mergeCell ref="G21:I21"/>
    <mergeCell ref="B22:F22"/>
    <mergeCell ref="G22:I22"/>
    <mergeCell ref="B29:F29"/>
    <mergeCell ref="G29:I29"/>
    <mergeCell ref="B30:F30"/>
    <mergeCell ref="G30:I30"/>
    <mergeCell ref="B31:F31"/>
    <mergeCell ref="B33:F33"/>
    <mergeCell ref="G33:H33"/>
    <mergeCell ref="B26:F26"/>
    <mergeCell ref="G26:I26"/>
    <mergeCell ref="B27:F27"/>
    <mergeCell ref="G27:I27"/>
    <mergeCell ref="B28:F28"/>
    <mergeCell ref="G28:I28"/>
    <mergeCell ref="B37:F37"/>
    <mergeCell ref="G37:H37"/>
    <mergeCell ref="B38:F38"/>
    <mergeCell ref="G38:I38"/>
    <mergeCell ref="A40:F40"/>
    <mergeCell ref="H40:L40"/>
    <mergeCell ref="B34:F34"/>
    <mergeCell ref="G34:H34"/>
    <mergeCell ref="B35:F35"/>
    <mergeCell ref="G35:H35"/>
    <mergeCell ref="B36:F36"/>
    <mergeCell ref="G36:H36"/>
    <mergeCell ref="A44:F44"/>
    <mergeCell ref="A45:F45"/>
    <mergeCell ref="H45:L45"/>
    <mergeCell ref="A46:F46"/>
    <mergeCell ref="H46:L46"/>
    <mergeCell ref="A41:F41"/>
    <mergeCell ref="H41:L41"/>
    <mergeCell ref="A42:F42"/>
    <mergeCell ref="H42:L42"/>
    <mergeCell ref="A43:F43"/>
    <mergeCell ref="H43:L43"/>
    <mergeCell ref="A50:F50"/>
    <mergeCell ref="H50:L50"/>
    <mergeCell ref="H51:J51"/>
    <mergeCell ref="K51:L51"/>
    <mergeCell ref="A52:F52"/>
    <mergeCell ref="H52:I52"/>
    <mergeCell ref="A47:F47"/>
    <mergeCell ref="H47:L47"/>
    <mergeCell ref="A48:F48"/>
    <mergeCell ref="H48:L48"/>
    <mergeCell ref="A49:F49"/>
    <mergeCell ref="H49:L49"/>
    <mergeCell ref="A56:F56"/>
    <mergeCell ref="H56:I56"/>
    <mergeCell ref="A57:F57"/>
    <mergeCell ref="H57:I57"/>
    <mergeCell ref="A58:F58"/>
    <mergeCell ref="H58:I58"/>
    <mergeCell ref="A53:F53"/>
    <mergeCell ref="H53:I53"/>
    <mergeCell ref="A54:F54"/>
    <mergeCell ref="H54:I54"/>
    <mergeCell ref="A55:F55"/>
    <mergeCell ref="H55:I55"/>
    <mergeCell ref="A72:B72"/>
    <mergeCell ref="D72:F72"/>
    <mergeCell ref="H72:J72"/>
    <mergeCell ref="K72:L72"/>
    <mergeCell ref="A73:B73"/>
    <mergeCell ref="D73:F73"/>
    <mergeCell ref="H73:J73"/>
    <mergeCell ref="J66:K66"/>
    <mergeCell ref="B67:C68"/>
    <mergeCell ref="D67:E68"/>
    <mergeCell ref="F67:G68"/>
    <mergeCell ref="H67:I68"/>
    <mergeCell ref="J67:K68"/>
    <mergeCell ref="A62:F62"/>
    <mergeCell ref="H62:I62"/>
    <mergeCell ref="B66:C66"/>
    <mergeCell ref="D66:E66"/>
    <mergeCell ref="F66:G66"/>
    <mergeCell ref="H66:I66"/>
    <mergeCell ref="A59:F59"/>
    <mergeCell ref="H59:I59"/>
    <mergeCell ref="A60:F60"/>
    <mergeCell ref="H60:I60"/>
    <mergeCell ref="A61:F61"/>
    <mergeCell ref="H61:I61"/>
  </mergeCells>
  <printOptions horizontalCentered="1"/>
  <pageMargins left="0.31496062992125984" right="0.31496062992125984" top="0.35433070866141736" bottom="0.35433070866141736" header="0.31496062992125984" footer="0.31496062992125984"/>
  <pageSetup paperSize="5" scale="5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O618"/>
  <sheetViews>
    <sheetView view="pageBreakPreview" zoomScale="55" zoomScaleNormal="100" zoomScaleSheetLayoutView="55" workbookViewId="0">
      <selection activeCell="K5" sqref="K5:L5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16.886718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5" ht="52.5" customHeight="1"/>
    <row r="2" spans="1:15" ht="14.25" customHeight="1">
      <c r="A2" s="40"/>
      <c r="B2" s="40"/>
      <c r="C2" s="40"/>
      <c r="D2" s="40"/>
      <c r="E2" s="40"/>
    </row>
    <row r="3" spans="1:15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555"/>
      <c r="L3" s="555"/>
    </row>
    <row r="4" spans="1:15" s="16" customFormat="1" ht="16.5" customHeight="1">
      <c r="A4" s="21" t="s">
        <v>2</v>
      </c>
      <c r="B4" s="556" t="s">
        <v>254</v>
      </c>
      <c r="C4" s="556"/>
      <c r="D4" s="556"/>
      <c r="E4" s="556"/>
      <c r="F4" s="556"/>
      <c r="G4" s="556"/>
      <c r="H4" s="556"/>
      <c r="J4" s="22"/>
      <c r="K4" s="555"/>
      <c r="L4" s="555"/>
    </row>
    <row r="5" spans="1:15" s="16" customFormat="1" ht="16.5" customHeight="1">
      <c r="A5" s="69"/>
      <c r="B5" s="554" t="s">
        <v>255</v>
      </c>
      <c r="C5" s="554"/>
      <c r="D5" s="554"/>
      <c r="E5" s="554"/>
      <c r="F5" s="554"/>
      <c r="G5" s="554"/>
      <c r="H5" s="554"/>
      <c r="I5" s="21" t="s">
        <v>5</v>
      </c>
      <c r="J5" s="22"/>
      <c r="K5" s="557" t="s">
        <v>256</v>
      </c>
      <c r="L5" s="557"/>
    </row>
    <row r="6" spans="1:15" s="16" customFormat="1" ht="16.5" customHeight="1">
      <c r="A6" s="22" t="s">
        <v>10</v>
      </c>
      <c r="B6" s="556" t="s">
        <v>257</v>
      </c>
      <c r="C6" s="556"/>
      <c r="D6" s="556"/>
      <c r="E6" s="556"/>
      <c r="F6" s="556"/>
      <c r="G6" s="556"/>
      <c r="H6" s="556"/>
      <c r="I6" s="21" t="s">
        <v>8</v>
      </c>
      <c r="J6" s="21"/>
      <c r="K6" s="669" t="s">
        <v>261</v>
      </c>
      <c r="L6" s="669"/>
    </row>
    <row r="7" spans="1:15" s="16" customFormat="1" ht="16.5" customHeight="1">
      <c r="A7" s="22"/>
      <c r="J7" s="59"/>
      <c r="K7" s="62"/>
      <c r="L7" s="62"/>
    </row>
    <row r="8" spans="1:15" ht="16.5" customHeigh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555"/>
      <c r="L8" s="555"/>
    </row>
    <row r="9" spans="1:15" s="2" customFormat="1" ht="16.5" customHeight="1">
      <c r="A9" s="552" t="s">
        <v>13</v>
      </c>
      <c r="B9" s="552" t="s">
        <v>14</v>
      </c>
      <c r="C9" s="552"/>
      <c r="D9" s="552"/>
      <c r="E9" s="552"/>
      <c r="F9" s="552"/>
      <c r="G9" s="552" t="s">
        <v>15</v>
      </c>
      <c r="H9" s="552"/>
      <c r="I9" s="552"/>
      <c r="J9" s="553" t="s">
        <v>16</v>
      </c>
      <c r="K9" s="553"/>
      <c r="L9" s="552" t="s">
        <v>17</v>
      </c>
    </row>
    <row r="10" spans="1:15" s="2" customFormat="1" ht="16.5" customHeight="1">
      <c r="A10" s="552"/>
      <c r="B10" s="552"/>
      <c r="C10" s="552"/>
      <c r="D10" s="552"/>
      <c r="E10" s="552"/>
      <c r="F10" s="552"/>
      <c r="G10" s="552"/>
      <c r="H10" s="552"/>
      <c r="I10" s="552"/>
      <c r="J10" s="60" t="s">
        <v>18</v>
      </c>
      <c r="K10" s="20" t="s">
        <v>19</v>
      </c>
      <c r="L10" s="552"/>
    </row>
    <row r="11" spans="1:15" s="18" customFormat="1" ht="16.5" customHeight="1">
      <c r="A11" s="79"/>
      <c r="B11" s="558"/>
      <c r="C11" s="558"/>
      <c r="D11" s="558"/>
      <c r="E11" s="558"/>
      <c r="F11" s="558"/>
      <c r="G11" s="559"/>
      <c r="H11" s="559"/>
      <c r="I11" s="559"/>
      <c r="J11" s="216"/>
      <c r="K11" s="53"/>
      <c r="L11" s="55"/>
    </row>
    <row r="12" spans="1:15" s="18" customFormat="1" ht="16.5" customHeight="1">
      <c r="A12" s="215"/>
      <c r="B12" s="558"/>
      <c r="C12" s="558"/>
      <c r="D12" s="558"/>
      <c r="E12" s="558"/>
      <c r="F12" s="558"/>
      <c r="G12" s="559"/>
      <c r="H12" s="559"/>
      <c r="I12" s="559"/>
      <c r="J12" s="216"/>
      <c r="K12" s="53"/>
      <c r="L12" s="55"/>
    </row>
    <row r="13" spans="1:15" s="18" customFormat="1" ht="16.5" customHeight="1">
      <c r="A13" s="215"/>
      <c r="B13" s="558"/>
      <c r="C13" s="558"/>
      <c r="D13" s="558"/>
      <c r="E13" s="558"/>
      <c r="F13" s="558"/>
      <c r="G13" s="559"/>
      <c r="H13" s="559"/>
      <c r="I13" s="559"/>
      <c r="J13" s="216"/>
      <c r="K13" s="53"/>
      <c r="L13" s="55"/>
      <c r="N13" s="18">
        <f>8*9</f>
        <v>72</v>
      </c>
    </row>
    <row r="14" spans="1:15" s="18" customFormat="1" ht="16.5" customHeight="1">
      <c r="A14" s="215"/>
      <c r="B14" s="558"/>
      <c r="C14" s="558"/>
      <c r="D14" s="558"/>
      <c r="E14" s="558"/>
      <c r="F14" s="558"/>
      <c r="G14" s="559"/>
      <c r="H14" s="559"/>
      <c r="I14" s="559"/>
      <c r="J14" s="216"/>
      <c r="K14" s="53"/>
      <c r="L14" s="55"/>
      <c r="N14" s="18">
        <f>75*1.5</f>
        <v>112.5</v>
      </c>
      <c r="O14" s="18">
        <f>102/1.5</f>
        <v>68</v>
      </c>
    </row>
    <row r="15" spans="1:15" s="18" customFormat="1" ht="16.5" customHeight="1">
      <c r="A15" s="215"/>
      <c r="B15" s="558"/>
      <c r="C15" s="558"/>
      <c r="D15" s="558"/>
      <c r="E15" s="558"/>
      <c r="F15" s="558"/>
      <c r="G15" s="559"/>
      <c r="H15" s="559"/>
      <c r="I15" s="559"/>
      <c r="J15" s="53"/>
      <c r="K15" s="53"/>
      <c r="L15" s="55"/>
      <c r="N15" s="18">
        <v>3</v>
      </c>
    </row>
    <row r="16" spans="1:15" s="18" customFormat="1" ht="16.5" customHeight="1">
      <c r="A16" s="54"/>
      <c r="B16" s="558"/>
      <c r="C16" s="558"/>
      <c r="D16" s="558"/>
      <c r="E16" s="558"/>
      <c r="F16" s="558"/>
      <c r="G16" s="559"/>
      <c r="H16" s="559"/>
      <c r="I16" s="559"/>
      <c r="J16" s="53"/>
      <c r="K16" s="53"/>
      <c r="L16" s="55"/>
      <c r="N16" s="18">
        <f>N14*3</f>
        <v>337.5</v>
      </c>
    </row>
    <row r="17" spans="1:12" s="18" customFormat="1" ht="16.5" customHeight="1">
      <c r="A17" s="54"/>
      <c r="B17" s="562"/>
      <c r="C17" s="562"/>
      <c r="D17" s="562"/>
      <c r="E17" s="562"/>
      <c r="F17" s="562"/>
      <c r="G17" s="559"/>
      <c r="H17" s="559"/>
      <c r="I17" s="559"/>
      <c r="J17" s="53"/>
      <c r="K17" s="53"/>
      <c r="L17" s="55"/>
    </row>
    <row r="18" spans="1:12" s="18" customFormat="1" ht="16.5" customHeight="1">
      <c r="A18" s="54"/>
      <c r="B18" s="562"/>
      <c r="C18" s="562"/>
      <c r="D18" s="562"/>
      <c r="E18" s="562"/>
      <c r="F18" s="562"/>
      <c r="G18" s="559"/>
      <c r="H18" s="559"/>
      <c r="I18" s="559"/>
      <c r="J18" s="53"/>
      <c r="K18" s="53"/>
      <c r="L18" s="55"/>
    </row>
    <row r="19" spans="1:12" s="18" customFormat="1" ht="16.5" customHeight="1">
      <c r="A19" s="61"/>
      <c r="B19" s="562"/>
      <c r="C19" s="562"/>
      <c r="D19" s="562"/>
      <c r="E19" s="562"/>
      <c r="F19" s="562"/>
      <c r="G19" s="559"/>
      <c r="H19" s="559"/>
      <c r="I19" s="559"/>
      <c r="J19" s="53"/>
      <c r="K19" s="53"/>
      <c r="L19" s="55"/>
    </row>
    <row r="20" spans="1:12" s="18" customFormat="1" ht="16.5" customHeight="1">
      <c r="A20" s="61"/>
      <c r="B20" s="562"/>
      <c r="C20" s="562"/>
      <c r="D20" s="562"/>
      <c r="E20" s="562"/>
      <c r="F20" s="562"/>
      <c r="G20" s="559"/>
      <c r="H20" s="559"/>
      <c r="I20" s="559"/>
      <c r="J20" s="53"/>
      <c r="K20" s="53"/>
      <c r="L20" s="55"/>
    </row>
    <row r="21" spans="1:12" s="18" customFormat="1" ht="16.5" customHeight="1">
      <c r="A21" s="61"/>
      <c r="B21" s="562"/>
      <c r="C21" s="562"/>
      <c r="D21" s="562"/>
      <c r="E21" s="562"/>
      <c r="F21" s="562"/>
      <c r="G21" s="559"/>
      <c r="H21" s="559"/>
      <c r="I21" s="559"/>
      <c r="J21" s="53"/>
      <c r="K21" s="53"/>
      <c r="L21" s="55"/>
    </row>
    <row r="22" spans="1:12" s="18" customFormat="1" ht="16.5" customHeight="1">
      <c r="A22" s="61"/>
      <c r="B22" s="562"/>
      <c r="C22" s="562"/>
      <c r="D22" s="562"/>
      <c r="E22" s="562"/>
      <c r="F22" s="562"/>
      <c r="G22" s="559"/>
      <c r="H22" s="559"/>
      <c r="I22" s="559"/>
      <c r="J22" s="53"/>
      <c r="K22" s="53"/>
      <c r="L22" s="55"/>
    </row>
    <row r="23" spans="1:12" s="18" customFormat="1" ht="16.5" customHeight="1">
      <c r="A23" s="61"/>
      <c r="B23" s="562"/>
      <c r="C23" s="562"/>
      <c r="D23" s="562"/>
      <c r="E23" s="562"/>
      <c r="F23" s="562"/>
      <c r="G23" s="559"/>
      <c r="H23" s="559"/>
      <c r="I23" s="559"/>
      <c r="J23" s="53"/>
      <c r="K23" s="53"/>
      <c r="L23" s="55"/>
    </row>
    <row r="24" spans="1:12" s="18" customFormat="1" ht="16.5" customHeight="1">
      <c r="A24" s="61"/>
      <c r="B24" s="562"/>
      <c r="C24" s="562"/>
      <c r="D24" s="562"/>
      <c r="E24" s="562"/>
      <c r="F24" s="562"/>
      <c r="G24" s="559"/>
      <c r="H24" s="559"/>
      <c r="I24" s="559"/>
      <c r="J24" s="53"/>
      <c r="K24" s="53"/>
      <c r="L24" s="55"/>
    </row>
    <row r="25" spans="1:12" s="18" customFormat="1" ht="16.5" customHeight="1">
      <c r="A25" s="61"/>
      <c r="B25" s="562"/>
      <c r="C25" s="562"/>
      <c r="D25" s="562"/>
      <c r="E25" s="562"/>
      <c r="F25" s="562"/>
      <c r="G25" s="559"/>
      <c r="H25" s="559"/>
      <c r="I25" s="559"/>
      <c r="J25" s="53"/>
      <c r="K25" s="53"/>
      <c r="L25" s="55"/>
    </row>
    <row r="26" spans="1:12" s="18" customFormat="1" ht="16.5" customHeight="1">
      <c r="A26" s="61"/>
      <c r="B26" s="562"/>
      <c r="C26" s="562"/>
      <c r="D26" s="562"/>
      <c r="E26" s="562"/>
      <c r="F26" s="562"/>
      <c r="G26" s="559"/>
      <c r="H26" s="559"/>
      <c r="I26" s="559"/>
      <c r="J26" s="53"/>
      <c r="K26" s="53"/>
      <c r="L26" s="55"/>
    </row>
    <row r="27" spans="1:12" s="18" customFormat="1" ht="16.5" customHeight="1">
      <c r="A27" s="61"/>
      <c r="B27" s="562"/>
      <c r="C27" s="562"/>
      <c r="D27" s="562"/>
      <c r="E27" s="562"/>
      <c r="F27" s="562"/>
      <c r="G27" s="559"/>
      <c r="H27" s="559"/>
      <c r="I27" s="559"/>
      <c r="J27" s="53"/>
      <c r="K27" s="53"/>
      <c r="L27" s="55"/>
    </row>
    <row r="28" spans="1:12" s="18" customFormat="1" ht="16.5" customHeight="1">
      <c r="A28" s="61"/>
      <c r="B28" s="562"/>
      <c r="C28" s="562"/>
      <c r="D28" s="562"/>
      <c r="E28" s="562"/>
      <c r="F28" s="562"/>
      <c r="G28" s="559"/>
      <c r="H28" s="559"/>
      <c r="I28" s="559"/>
      <c r="J28" s="53"/>
      <c r="K28" s="53"/>
      <c r="L28" s="55"/>
    </row>
    <row r="29" spans="1:12" s="18" customFormat="1" ht="16.5" customHeight="1">
      <c r="A29" s="61"/>
      <c r="B29" s="562"/>
      <c r="C29" s="562"/>
      <c r="D29" s="562"/>
      <c r="E29" s="562"/>
      <c r="F29" s="562"/>
      <c r="G29" s="559"/>
      <c r="H29" s="559"/>
      <c r="I29" s="559"/>
      <c r="J29" s="53"/>
      <c r="K29" s="53"/>
      <c r="L29" s="55"/>
    </row>
    <row r="30" spans="1:12" s="18" customFormat="1" ht="16.5" customHeight="1">
      <c r="A30" s="61"/>
      <c r="B30" s="562"/>
      <c r="C30" s="562"/>
      <c r="D30" s="562"/>
      <c r="E30" s="562"/>
      <c r="F30" s="562"/>
      <c r="G30" s="559"/>
      <c r="H30" s="559"/>
      <c r="I30" s="559"/>
      <c r="J30" s="53"/>
      <c r="K30" s="53"/>
      <c r="L30" s="55"/>
    </row>
    <row r="31" spans="1:12" s="18" customFormat="1" ht="16.5" customHeight="1">
      <c r="A31" s="66"/>
      <c r="B31" s="566"/>
      <c r="C31" s="566"/>
      <c r="D31" s="566"/>
      <c r="E31" s="566"/>
      <c r="F31" s="566"/>
      <c r="G31" s="66"/>
      <c r="H31" s="41"/>
      <c r="I31" s="41"/>
      <c r="J31" s="42"/>
      <c r="K31" s="43"/>
      <c r="L31" s="3"/>
    </row>
    <row r="32" spans="1:12" s="18" customFormat="1" ht="16.5" customHeight="1">
      <c r="A32" s="26" t="s">
        <v>23</v>
      </c>
      <c r="B32" s="67"/>
      <c r="C32" s="67"/>
      <c r="D32" s="67"/>
      <c r="E32" s="67"/>
      <c r="F32" s="17"/>
      <c r="G32" s="17"/>
      <c r="H32" s="17"/>
      <c r="I32" s="17"/>
      <c r="J32" s="17"/>
      <c r="K32" s="3"/>
      <c r="L32" s="3"/>
    </row>
    <row r="33" spans="1:12" s="25" customFormat="1" ht="16.5" customHeight="1">
      <c r="A33" s="19" t="s">
        <v>13</v>
      </c>
      <c r="B33" s="567" t="s">
        <v>14</v>
      </c>
      <c r="C33" s="567"/>
      <c r="D33" s="567"/>
      <c r="E33" s="567"/>
      <c r="F33" s="567"/>
      <c r="G33" s="568" t="s">
        <v>24</v>
      </c>
      <c r="H33" s="568"/>
      <c r="I33" s="63" t="s">
        <v>17</v>
      </c>
      <c r="J33" s="60" t="s">
        <v>25</v>
      </c>
      <c r="K33" s="60" t="s">
        <v>26</v>
      </c>
      <c r="L33" s="60" t="s">
        <v>27</v>
      </c>
    </row>
    <row r="34" spans="1:12" s="18" customFormat="1" ht="16.5" customHeight="1">
      <c r="A34" s="317"/>
      <c r="B34" s="563"/>
      <c r="C34" s="563"/>
      <c r="D34" s="563"/>
      <c r="E34" s="563"/>
      <c r="F34" s="563"/>
      <c r="G34" s="564"/>
      <c r="H34" s="564"/>
      <c r="I34" s="64"/>
      <c r="J34" s="64"/>
      <c r="K34" s="55"/>
      <c r="L34" s="55"/>
    </row>
    <row r="35" spans="1:12" s="52" customFormat="1" ht="16.5" customHeight="1">
      <c r="A35" s="79"/>
      <c r="B35" s="563"/>
      <c r="C35" s="563"/>
      <c r="D35" s="563"/>
      <c r="E35" s="563"/>
      <c r="F35" s="563"/>
      <c r="G35" s="564"/>
      <c r="H35" s="564"/>
      <c r="I35" s="64"/>
      <c r="J35" s="64"/>
      <c r="K35" s="55"/>
      <c r="L35" s="55"/>
    </row>
    <row r="36" spans="1:12" s="52" customFormat="1" ht="16.5" customHeight="1">
      <c r="A36" s="79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79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32"/>
      <c r="B38" s="565"/>
      <c r="C38" s="565"/>
      <c r="D38" s="565"/>
      <c r="E38" s="565"/>
      <c r="F38" s="565"/>
      <c r="G38" s="565"/>
      <c r="H38" s="565"/>
      <c r="I38" s="565"/>
      <c r="J38" s="17"/>
      <c r="K38" s="3"/>
      <c r="L38" s="3"/>
    </row>
    <row r="39" spans="1:12" s="51" customFormat="1" ht="16.5" customHeight="1">
      <c r="A39" s="34" t="s">
        <v>28</v>
      </c>
      <c r="B39" s="34"/>
      <c r="C39" s="34"/>
      <c r="D39" s="34"/>
      <c r="E39" s="34"/>
      <c r="F39" s="17"/>
      <c r="G39" s="38"/>
      <c r="H39" s="36" t="s">
        <v>29</v>
      </c>
      <c r="I39" s="34"/>
      <c r="J39" s="34"/>
      <c r="K39" s="34"/>
      <c r="L39" s="34"/>
    </row>
    <row r="40" spans="1:12" s="51" customFormat="1" ht="16.5" customHeight="1">
      <c r="A40" s="569"/>
      <c r="B40" s="569"/>
      <c r="C40" s="569"/>
      <c r="D40" s="569"/>
      <c r="E40" s="569"/>
      <c r="F40" s="569"/>
      <c r="G40" s="56"/>
      <c r="H40" s="569"/>
      <c r="I40" s="569"/>
      <c r="J40" s="569"/>
      <c r="K40" s="569"/>
      <c r="L40" s="569"/>
    </row>
    <row r="41" spans="1:12" s="51" customFormat="1" ht="16.5" customHeight="1">
      <c r="A41" s="571"/>
      <c r="B41" s="571"/>
      <c r="C41" s="571"/>
      <c r="D41" s="571"/>
      <c r="E41" s="571"/>
      <c r="F41" s="571"/>
      <c r="G41" s="56"/>
      <c r="H41" s="569"/>
      <c r="I41" s="569"/>
      <c r="J41" s="569"/>
      <c r="K41" s="569"/>
      <c r="L41" s="569"/>
    </row>
    <row r="42" spans="1:12" s="51" customFormat="1" ht="16.5" customHeight="1">
      <c r="A42" s="571"/>
      <c r="B42" s="571"/>
      <c r="C42" s="571"/>
      <c r="D42" s="571"/>
      <c r="E42" s="571"/>
      <c r="F42" s="571"/>
      <c r="G42" s="57"/>
      <c r="H42" s="569"/>
      <c r="I42" s="569"/>
      <c r="J42" s="569"/>
      <c r="K42" s="569"/>
      <c r="L42" s="569"/>
    </row>
    <row r="43" spans="1:12" s="51" customFormat="1" ht="16.5" customHeight="1">
      <c r="A43" s="569"/>
      <c r="B43" s="569"/>
      <c r="C43" s="569"/>
      <c r="D43" s="569"/>
      <c r="E43" s="569"/>
      <c r="F43" s="569"/>
      <c r="G43" s="57"/>
      <c r="H43" s="569"/>
      <c r="I43" s="569"/>
      <c r="J43" s="569"/>
      <c r="K43" s="569"/>
      <c r="L43" s="569"/>
    </row>
    <row r="44" spans="1:12" s="51" customFormat="1" ht="16.5" customHeight="1">
      <c r="A44" s="570"/>
      <c r="B44" s="570"/>
      <c r="C44" s="570"/>
      <c r="D44" s="570"/>
      <c r="E44" s="570"/>
      <c r="F44" s="570"/>
      <c r="G44" s="39"/>
      <c r="H44" s="569"/>
      <c r="I44" s="569"/>
      <c r="J44" s="569"/>
      <c r="K44" s="569"/>
      <c r="L44" s="569"/>
    </row>
    <row r="45" spans="1:12" s="3" customFormat="1" ht="16.5" customHeight="1">
      <c r="A45" s="571"/>
      <c r="B45" s="571"/>
      <c r="C45" s="571"/>
      <c r="D45" s="571"/>
      <c r="E45" s="571"/>
      <c r="F45" s="571"/>
      <c r="G45" s="56"/>
      <c r="H45" s="569"/>
      <c r="I45" s="569"/>
      <c r="J45" s="569"/>
      <c r="K45" s="569"/>
      <c r="L45" s="569"/>
    </row>
    <row r="46" spans="1:12" s="3" customFormat="1" ht="16.5" customHeight="1">
      <c r="A46" s="571"/>
      <c r="B46" s="571"/>
      <c r="C46" s="571"/>
      <c r="D46" s="571"/>
      <c r="E46" s="571"/>
      <c r="F46" s="571"/>
      <c r="G46" s="57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6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7"/>
      <c r="H49" s="569"/>
      <c r="I49" s="569"/>
      <c r="J49" s="569"/>
      <c r="K49" s="569"/>
      <c r="L49" s="569"/>
    </row>
    <row r="50" spans="1:12" s="3" customFormat="1" ht="16.5" customHeight="1">
      <c r="A50" s="572"/>
      <c r="B50" s="572"/>
      <c r="C50" s="572"/>
      <c r="D50" s="572"/>
      <c r="E50" s="572"/>
      <c r="F50" s="572"/>
      <c r="G50" s="57"/>
      <c r="H50" s="572"/>
      <c r="I50" s="572"/>
      <c r="J50" s="572"/>
      <c r="K50" s="572"/>
      <c r="L50" s="572"/>
    </row>
    <row r="51" spans="1:12" s="3" customFormat="1" ht="16.5" customHeight="1">
      <c r="A51" s="70" t="s">
        <v>34</v>
      </c>
      <c r="B51" s="5"/>
      <c r="C51" s="4"/>
      <c r="H51" s="573" t="s">
        <v>35</v>
      </c>
      <c r="I51" s="573"/>
      <c r="J51" s="573"/>
      <c r="K51" s="573" t="s">
        <v>36</v>
      </c>
      <c r="L51" s="573"/>
    </row>
    <row r="52" spans="1:12" s="3" customFormat="1" ht="16.5" customHeight="1">
      <c r="A52" s="576"/>
      <c r="B52" s="576"/>
      <c r="C52" s="576"/>
      <c r="D52" s="576"/>
      <c r="E52" s="576"/>
      <c r="F52" s="576"/>
      <c r="G52" s="71"/>
      <c r="H52" s="577" t="s">
        <v>14</v>
      </c>
      <c r="I52" s="577"/>
      <c r="J52" s="74" t="s">
        <v>24</v>
      </c>
      <c r="K52" s="74" t="s">
        <v>14</v>
      </c>
      <c r="L52" s="74" t="s">
        <v>24</v>
      </c>
    </row>
    <row r="53" spans="1:12" s="3" customFormat="1" ht="16.5" customHeight="1">
      <c r="A53" s="574"/>
      <c r="B53" s="574"/>
      <c r="C53" s="574"/>
      <c r="D53" s="574"/>
      <c r="E53" s="574"/>
      <c r="F53" s="574"/>
      <c r="G53" s="72"/>
      <c r="H53" s="575"/>
      <c r="I53" s="575"/>
      <c r="J53" s="55"/>
      <c r="K53" s="76"/>
      <c r="L53" s="55"/>
    </row>
    <row r="54" spans="1:12" s="3" customFormat="1" ht="16.5" customHeight="1">
      <c r="A54" s="574"/>
      <c r="B54" s="574"/>
      <c r="C54" s="574"/>
      <c r="D54" s="574"/>
      <c r="E54" s="574"/>
      <c r="F54" s="574"/>
      <c r="G54" s="72"/>
      <c r="H54" s="575"/>
      <c r="I54" s="575"/>
      <c r="J54" s="55"/>
      <c r="K54" s="76"/>
      <c r="L54" s="55"/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/>
      <c r="I55" s="575"/>
      <c r="J55" s="55"/>
      <c r="K55" s="76"/>
      <c r="L55" s="55"/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/>
      <c r="I56" s="575"/>
      <c r="J56" s="55"/>
      <c r="K56" s="76"/>
      <c r="L56" s="55"/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/>
      <c r="I57" s="575"/>
      <c r="J57" s="55"/>
      <c r="K57" s="77"/>
      <c r="L57" s="55"/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/>
      <c r="I58" s="575"/>
      <c r="J58" s="73"/>
      <c r="L58" s="73"/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73"/>
      <c r="K59" s="77"/>
      <c r="L59" s="73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K60" s="77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45"/>
      <c r="B63" s="46"/>
      <c r="C63" s="46"/>
      <c r="D63" s="46"/>
      <c r="E63" s="44"/>
      <c r="F63" s="46"/>
      <c r="G63" s="46"/>
      <c r="H63" s="46"/>
      <c r="I63" s="46"/>
      <c r="J63" s="46"/>
      <c r="K63" s="47"/>
      <c r="L63" s="46"/>
    </row>
    <row r="64" spans="1:12" s="3" customFormat="1" ht="16.5" customHeight="1">
      <c r="A64" s="45" t="s">
        <v>45</v>
      </c>
      <c r="B64" s="46"/>
      <c r="C64" s="46"/>
      <c r="D64" s="46"/>
      <c r="E64" s="44"/>
      <c r="F64" s="46"/>
      <c r="G64" s="46"/>
      <c r="H64" s="46"/>
      <c r="I64" s="46"/>
      <c r="J64" s="46"/>
      <c r="K64" s="47"/>
      <c r="L64" s="46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8"/>
      <c r="J65" s="48"/>
      <c r="K65" s="47"/>
      <c r="L65" s="46"/>
    </row>
    <row r="66" spans="1:14" s="3" customFormat="1" ht="31.5" customHeight="1">
      <c r="A66" s="46" t="s">
        <v>46</v>
      </c>
      <c r="B66" s="578" t="s">
        <v>47</v>
      </c>
      <c r="C66" s="579"/>
      <c r="D66" s="578" t="s">
        <v>48</v>
      </c>
      <c r="E66" s="579"/>
      <c r="F66" s="578" t="s">
        <v>49</v>
      </c>
      <c r="G66" s="579"/>
      <c r="H66" s="578" t="s">
        <v>50</v>
      </c>
      <c r="I66" s="579"/>
      <c r="J66" s="578" t="s">
        <v>51</v>
      </c>
      <c r="K66" s="579"/>
      <c r="L66" s="49"/>
    </row>
    <row r="67" spans="1:14" s="3" customFormat="1" ht="16.5" customHeight="1">
      <c r="A67" s="50"/>
      <c r="B67" s="583"/>
      <c r="C67" s="584"/>
      <c r="D67" s="587"/>
      <c r="E67" s="588"/>
      <c r="F67" s="665"/>
      <c r="G67" s="666"/>
      <c r="H67" s="665"/>
      <c r="I67" s="666"/>
      <c r="J67" s="587"/>
      <c r="K67" s="588"/>
      <c r="L67" s="49"/>
    </row>
    <row r="68" spans="1:14" s="22" customFormat="1" ht="16.5" customHeight="1">
      <c r="A68" s="50"/>
      <c r="B68" s="585"/>
      <c r="C68" s="586"/>
      <c r="D68" s="589"/>
      <c r="E68" s="590"/>
      <c r="F68" s="667"/>
      <c r="G68" s="668"/>
      <c r="H68" s="667"/>
      <c r="I68" s="668"/>
      <c r="J68" s="589"/>
      <c r="K68" s="590"/>
      <c r="L68" s="49"/>
    </row>
    <row r="69" spans="1:14" s="22" customFormat="1" ht="16.5" customHeight="1">
      <c r="A69" s="35"/>
      <c r="B69" s="27"/>
      <c r="C69" s="27"/>
      <c r="D69" s="27"/>
      <c r="E69" s="35"/>
      <c r="F69" s="58"/>
      <c r="G69" s="58"/>
      <c r="H69" s="58"/>
      <c r="I69" s="58"/>
      <c r="J69" s="68"/>
      <c r="K69" s="68"/>
      <c r="L69" s="3"/>
    </row>
    <row r="70" spans="1:14" s="22" customFormat="1" ht="16.5" customHeight="1">
      <c r="A70" s="35" t="s">
        <v>53</v>
      </c>
      <c r="B70" s="27"/>
      <c r="C70" s="27"/>
      <c r="D70" s="35" t="s">
        <v>54</v>
      </c>
      <c r="F70" s="58"/>
      <c r="H70" s="35" t="s">
        <v>250</v>
      </c>
      <c r="I70" s="58"/>
      <c r="K70" s="68" t="s">
        <v>55</v>
      </c>
      <c r="L70" s="3"/>
    </row>
    <row r="71" spans="1:14" s="22" customFormat="1" ht="16.5" customHeight="1">
      <c r="A71" s="29"/>
      <c r="B71" s="29"/>
      <c r="C71" s="29"/>
      <c r="D71" s="29"/>
      <c r="E71" s="29"/>
      <c r="F71" s="29"/>
      <c r="H71" s="29"/>
      <c r="I71" s="29"/>
      <c r="J71" s="3"/>
      <c r="K71" s="3"/>
      <c r="L71" s="3"/>
    </row>
    <row r="72" spans="1:14" s="22" customFormat="1" ht="16.5" customHeight="1">
      <c r="A72" s="659" t="s">
        <v>251</v>
      </c>
      <c r="B72" s="659"/>
      <c r="C72" s="318"/>
      <c r="D72" s="660" t="s">
        <v>57</v>
      </c>
      <c r="E72" s="660"/>
      <c r="F72" s="660"/>
      <c r="H72" s="661" t="s">
        <v>247</v>
      </c>
      <c r="I72" s="661"/>
      <c r="J72" s="661"/>
      <c r="K72" s="662" t="s">
        <v>251</v>
      </c>
      <c r="L72" s="662"/>
      <c r="N72" s="218" t="e">
        <f>#REF!+1.27</f>
        <v>#REF!</v>
      </c>
    </row>
    <row r="73" spans="1:14" s="3" customFormat="1" ht="16.5" customHeight="1">
      <c r="A73" s="663" t="s">
        <v>59</v>
      </c>
      <c r="B73" s="663"/>
      <c r="C73" s="319"/>
      <c r="D73" s="664" t="s">
        <v>60</v>
      </c>
      <c r="E73" s="664"/>
      <c r="F73" s="664"/>
      <c r="H73" s="663" t="s">
        <v>252</v>
      </c>
      <c r="I73" s="663"/>
      <c r="J73" s="663"/>
      <c r="K73" s="320" t="s">
        <v>253</v>
      </c>
      <c r="L73" s="320"/>
    </row>
    <row r="74" spans="1:14" s="3" customFormat="1" ht="16.5" customHeight="1">
      <c r="A74" s="37"/>
      <c r="B74" s="27"/>
      <c r="C74" s="27"/>
      <c r="D74" s="27"/>
      <c r="E74" s="27"/>
      <c r="F74" s="29"/>
      <c r="G74" s="29"/>
      <c r="H74" s="29"/>
      <c r="I74" s="29"/>
      <c r="J74" s="29"/>
    </row>
    <row r="75" spans="1:14" s="3" customFormat="1" ht="16.5" customHeight="1">
      <c r="A75" s="37"/>
      <c r="B75" s="27"/>
      <c r="C75" s="27"/>
      <c r="D75" s="27"/>
      <c r="E75" s="27"/>
      <c r="F75" s="29"/>
      <c r="G75" s="29"/>
      <c r="H75" s="29"/>
      <c r="I75" s="29"/>
      <c r="J75" s="29"/>
    </row>
    <row r="76" spans="1:14" s="3" customFormat="1" ht="16.5" customHeight="1">
      <c r="A76" s="37"/>
      <c r="B76" s="27"/>
      <c r="C76" s="27"/>
      <c r="D76" s="27"/>
      <c r="E76" s="27"/>
      <c r="F76" s="29"/>
      <c r="G76" s="29"/>
      <c r="H76" s="29"/>
      <c r="I76" s="29"/>
      <c r="J76" s="29"/>
      <c r="N76" s="3">
        <f>84.35+1.27</f>
        <v>85.61999999999999</v>
      </c>
    </row>
    <row r="77" spans="1:14" s="3" customFormat="1" ht="16.5" customHeight="1">
      <c r="A77" s="37"/>
      <c r="B77" s="27"/>
      <c r="C77" s="27"/>
      <c r="D77" s="27"/>
      <c r="E77" s="27"/>
      <c r="F77" s="30"/>
      <c r="G77" s="30"/>
      <c r="H77" s="30"/>
      <c r="I77" s="30"/>
      <c r="J77" s="30"/>
    </row>
    <row r="78" spans="1:14" s="3" customFormat="1" ht="16.5" customHeight="1">
      <c r="A78" s="37"/>
      <c r="B78" s="27"/>
      <c r="C78" s="27"/>
      <c r="D78" s="27"/>
      <c r="E78" s="27"/>
      <c r="F78" s="30"/>
      <c r="G78" s="30"/>
      <c r="H78" s="30"/>
      <c r="I78" s="30"/>
      <c r="J78" s="30"/>
    </row>
    <row r="79" spans="1:14" s="3" customFormat="1" ht="15" customHeight="1">
      <c r="A79" s="27"/>
      <c r="B79" s="27"/>
      <c r="C79" s="27"/>
      <c r="D79" s="27"/>
      <c r="E79" s="27"/>
      <c r="F79" s="29"/>
      <c r="G79" s="29"/>
      <c r="H79" s="29"/>
      <c r="I79" s="29"/>
      <c r="J79" s="29"/>
    </row>
    <row r="80" spans="1:14" s="3" customFormat="1" ht="15" customHeight="1">
      <c r="A80" s="27"/>
      <c r="B80" s="27"/>
      <c r="C80" s="27"/>
      <c r="D80" s="27"/>
      <c r="E80" s="27"/>
      <c r="F80" s="28"/>
      <c r="G80" s="28"/>
      <c r="H80" s="28"/>
      <c r="I80" s="28"/>
      <c r="J80" s="28"/>
    </row>
    <row r="81" spans="1:10" s="3" customFormat="1" ht="15" customHeight="1">
      <c r="A81" s="27"/>
      <c r="B81" s="27"/>
      <c r="C81" s="27"/>
      <c r="D81" s="27"/>
      <c r="E81" s="27"/>
      <c r="F81" s="30"/>
      <c r="G81" s="30"/>
      <c r="H81" s="30"/>
      <c r="I81" s="30"/>
      <c r="J81" s="30"/>
    </row>
    <row r="82" spans="1:10" s="3" customFormat="1" ht="15" customHeight="1">
      <c r="A82" s="27"/>
      <c r="B82" s="27"/>
      <c r="C82" s="27"/>
      <c r="D82" s="27"/>
      <c r="E82" s="27"/>
      <c r="F82" s="29"/>
      <c r="G82" s="29"/>
      <c r="H82" s="29"/>
      <c r="I82" s="29"/>
      <c r="J82" s="29"/>
    </row>
    <row r="83" spans="1:10" s="3" customFormat="1" ht="15" customHeight="1">
      <c r="A83" s="27"/>
      <c r="B83" s="27"/>
      <c r="C83" s="27"/>
      <c r="D83" s="27"/>
      <c r="E83" s="27"/>
      <c r="F83" s="30"/>
      <c r="G83" s="30"/>
      <c r="H83" s="30"/>
      <c r="I83" s="30"/>
      <c r="J83" s="30"/>
    </row>
    <row r="84" spans="1:10" s="3" customFormat="1" ht="17.399999999999999">
      <c r="A84" s="27"/>
      <c r="B84" s="27"/>
      <c r="C84" s="27"/>
      <c r="D84" s="27"/>
      <c r="E84" s="27"/>
      <c r="F84" s="30"/>
      <c r="G84" s="30"/>
      <c r="H84" s="30"/>
      <c r="I84" s="30"/>
      <c r="J84" s="30"/>
    </row>
    <row r="85" spans="1:10" s="3" customFormat="1" ht="21.9" customHeight="1">
      <c r="A85" s="27"/>
      <c r="B85" s="27"/>
      <c r="C85" s="27"/>
      <c r="D85" s="27"/>
      <c r="E85" s="27"/>
      <c r="F85" s="29"/>
      <c r="G85" s="29"/>
      <c r="H85" s="29"/>
      <c r="I85" s="29"/>
      <c r="J85" s="29"/>
    </row>
    <row r="86" spans="1:10" s="3" customFormat="1" ht="21.9" customHeight="1">
      <c r="A86" s="27"/>
      <c r="B86" s="27"/>
      <c r="C86" s="27"/>
      <c r="D86" s="27"/>
      <c r="E86" s="27"/>
      <c r="F86" s="29"/>
      <c r="G86" s="29"/>
      <c r="H86" s="29"/>
      <c r="I86" s="29"/>
      <c r="J86" s="29"/>
    </row>
    <row r="87" spans="1:10" s="3" customFormat="1" ht="21.9" customHeight="1">
      <c r="A87" s="27"/>
      <c r="B87" s="27"/>
      <c r="C87" s="27"/>
      <c r="D87" s="27"/>
      <c r="E87" s="27"/>
      <c r="F87" s="29"/>
      <c r="G87" s="29"/>
      <c r="H87" s="29"/>
      <c r="I87" s="29"/>
      <c r="J87" s="29"/>
    </row>
    <row r="88" spans="1:10" s="3" customFormat="1" ht="21.9" customHeight="1">
      <c r="A88" s="27"/>
      <c r="B88" s="27"/>
      <c r="C88" s="27"/>
      <c r="D88" s="27"/>
      <c r="E88" s="27"/>
      <c r="F88" s="29"/>
      <c r="G88" s="29"/>
      <c r="H88" s="29"/>
      <c r="I88" s="29"/>
      <c r="J88" s="29"/>
    </row>
    <row r="89" spans="1:10" s="3" customFormat="1" ht="21.9" customHeight="1">
      <c r="A89" s="27"/>
      <c r="B89" s="27"/>
      <c r="C89" s="27"/>
      <c r="D89" s="27"/>
      <c r="E89" s="27"/>
      <c r="F89" s="29"/>
      <c r="G89" s="29"/>
      <c r="H89" s="29"/>
      <c r="I89" s="29"/>
      <c r="J89" s="29"/>
    </row>
    <row r="90" spans="1:10" s="3" customFormat="1" ht="21.9" customHeight="1">
      <c r="A90" s="27"/>
      <c r="B90" s="27"/>
      <c r="C90" s="27"/>
      <c r="D90" s="27"/>
      <c r="E90" s="27"/>
      <c r="F90" s="29"/>
      <c r="G90" s="29"/>
      <c r="H90" s="29"/>
      <c r="I90" s="29"/>
      <c r="J90" s="29"/>
    </row>
    <row r="91" spans="1:10" s="3" customFormat="1" ht="21.9" customHeight="1">
      <c r="A91" s="27"/>
      <c r="B91" s="27"/>
      <c r="C91" s="27"/>
      <c r="D91" s="27"/>
      <c r="E91" s="27"/>
      <c r="F91" s="29"/>
      <c r="G91" s="29"/>
      <c r="H91" s="29"/>
      <c r="I91" s="29"/>
      <c r="J91" s="29"/>
    </row>
    <row r="92" spans="1:10" s="3" customFormat="1" ht="21.9" customHeight="1">
      <c r="A92" s="27"/>
      <c r="B92" s="27"/>
      <c r="C92" s="27"/>
      <c r="D92" s="27"/>
      <c r="E92" s="27"/>
      <c r="F92" s="30"/>
      <c r="G92" s="30"/>
      <c r="H92" s="30"/>
      <c r="I92" s="30"/>
      <c r="J92" s="30"/>
    </row>
    <row r="93" spans="1:10" s="3" customFormat="1" ht="21.9" customHeight="1">
      <c r="A93" s="27"/>
      <c r="B93" s="27"/>
      <c r="C93" s="27"/>
      <c r="D93" s="27"/>
      <c r="E93" s="27"/>
      <c r="F93" s="30"/>
      <c r="G93" s="30"/>
      <c r="H93" s="30"/>
      <c r="I93" s="30"/>
      <c r="J93" s="30"/>
    </row>
    <row r="94" spans="1:10" s="3" customFormat="1" ht="21.9" customHeight="1">
      <c r="A94" s="27"/>
      <c r="B94" s="27"/>
      <c r="C94" s="27"/>
      <c r="D94" s="27"/>
      <c r="E94" s="27"/>
      <c r="F94" s="29"/>
      <c r="G94" s="29"/>
      <c r="H94" s="29"/>
      <c r="I94" s="29"/>
      <c r="J94" s="29"/>
    </row>
    <row r="95" spans="1:10" s="3" customFormat="1" ht="21.9" customHeight="1">
      <c r="A95" s="27"/>
      <c r="B95" s="27"/>
      <c r="C95" s="27"/>
      <c r="D95" s="27"/>
      <c r="E95" s="27"/>
      <c r="F95" s="29"/>
      <c r="G95" s="29"/>
      <c r="H95" s="29"/>
      <c r="I95" s="29"/>
      <c r="J95" s="29"/>
    </row>
    <row r="96" spans="1:10" s="3" customFormat="1" ht="21.9" customHeight="1">
      <c r="A96" s="27"/>
      <c r="B96" s="27"/>
      <c r="C96" s="27"/>
      <c r="D96" s="27"/>
      <c r="E96" s="27"/>
      <c r="F96" s="29"/>
      <c r="G96" s="29"/>
      <c r="H96" s="29"/>
      <c r="I96" s="29"/>
      <c r="J96" s="29"/>
    </row>
    <row r="97" spans="1:10" s="3" customFormat="1" ht="21.9" customHeight="1">
      <c r="A97" s="27"/>
      <c r="B97" s="27"/>
      <c r="C97" s="27"/>
      <c r="D97" s="27"/>
      <c r="E97" s="27"/>
      <c r="F97" s="29"/>
      <c r="G97" s="29"/>
      <c r="H97" s="29"/>
      <c r="I97" s="29"/>
      <c r="J97" s="29"/>
    </row>
    <row r="98" spans="1:10" s="3" customFormat="1" ht="21.9" customHeight="1">
      <c r="A98" s="27"/>
      <c r="B98" s="27"/>
      <c r="C98" s="27"/>
      <c r="D98" s="27"/>
      <c r="E98" s="27"/>
      <c r="F98" s="29"/>
      <c r="G98" s="29"/>
      <c r="H98" s="29"/>
      <c r="I98" s="29"/>
      <c r="J98" s="29"/>
    </row>
    <row r="99" spans="1:10" s="3" customFormat="1" ht="21.9" customHeight="1">
      <c r="A99" s="27"/>
      <c r="B99" s="27"/>
      <c r="C99" s="27"/>
      <c r="D99" s="27"/>
      <c r="E99" s="27"/>
      <c r="F99" s="29"/>
      <c r="G99" s="29"/>
      <c r="H99" s="29"/>
      <c r="I99" s="29"/>
      <c r="J99" s="29"/>
    </row>
    <row r="100" spans="1:10" s="3" customFormat="1" ht="21.9" customHeight="1">
      <c r="A100" s="27"/>
      <c r="B100" s="27"/>
      <c r="C100" s="27"/>
      <c r="D100" s="27"/>
      <c r="E100" s="27"/>
      <c r="F100" s="29"/>
      <c r="G100" s="29"/>
      <c r="H100" s="29"/>
      <c r="I100" s="29"/>
      <c r="J100" s="29"/>
    </row>
    <row r="101" spans="1:10" s="3" customFormat="1" ht="21.9" customHeight="1">
      <c r="A101" s="27"/>
      <c r="B101" s="27"/>
      <c r="C101" s="27"/>
      <c r="D101" s="27"/>
      <c r="E101" s="27"/>
      <c r="F101" s="29"/>
      <c r="G101" s="29"/>
      <c r="H101" s="29"/>
      <c r="I101" s="29"/>
      <c r="J101" s="29"/>
    </row>
    <row r="102" spans="1:10" s="3" customFormat="1" ht="21.9" customHeight="1">
      <c r="A102" s="27"/>
      <c r="B102" s="27"/>
      <c r="C102" s="27"/>
      <c r="D102" s="27"/>
      <c r="E102" s="27"/>
      <c r="F102" s="29"/>
      <c r="G102" s="29"/>
      <c r="H102" s="29"/>
      <c r="I102" s="29"/>
      <c r="J102" s="29"/>
    </row>
    <row r="103" spans="1:10" s="3" customFormat="1" ht="21.9" customHeight="1">
      <c r="A103" s="27"/>
      <c r="B103" s="27"/>
      <c r="C103" s="27"/>
      <c r="D103" s="27"/>
      <c r="E103" s="27"/>
      <c r="F103" s="29"/>
      <c r="G103" s="29"/>
      <c r="H103" s="29"/>
      <c r="I103" s="29"/>
      <c r="J103" s="29"/>
    </row>
    <row r="104" spans="1:10" s="3" customFormat="1" ht="21.9" customHeight="1">
      <c r="A104" s="27"/>
      <c r="B104" s="27"/>
      <c r="C104" s="27"/>
      <c r="D104" s="27"/>
      <c r="E104" s="27"/>
      <c r="F104" s="29"/>
      <c r="G104" s="29"/>
      <c r="H104" s="29"/>
      <c r="I104" s="29"/>
      <c r="J104" s="29"/>
    </row>
    <row r="105" spans="1:10" s="3" customFormat="1" ht="21.9" customHeight="1">
      <c r="A105" s="27"/>
      <c r="B105" s="27"/>
      <c r="C105" s="27"/>
      <c r="D105" s="27"/>
      <c r="E105" s="27"/>
      <c r="F105" s="29"/>
      <c r="G105" s="29"/>
      <c r="H105" s="29"/>
      <c r="I105" s="29"/>
      <c r="J105" s="29"/>
    </row>
    <row r="106" spans="1:10" s="3" customFormat="1" ht="21.9" customHeight="1">
      <c r="A106" s="27"/>
      <c r="B106" s="27"/>
      <c r="C106" s="27"/>
      <c r="D106" s="27"/>
      <c r="E106" s="27"/>
      <c r="F106" s="29"/>
      <c r="G106" s="29"/>
      <c r="H106" s="29"/>
      <c r="I106" s="29"/>
      <c r="J106" s="29"/>
    </row>
    <row r="107" spans="1:10" s="3" customFormat="1" ht="21.9" customHeight="1">
      <c r="A107" s="27"/>
      <c r="B107" s="27"/>
      <c r="C107" s="27"/>
      <c r="D107" s="27"/>
      <c r="E107" s="27"/>
      <c r="F107" s="29"/>
      <c r="G107" s="29"/>
      <c r="H107" s="29"/>
      <c r="I107" s="29"/>
      <c r="J107" s="29"/>
    </row>
    <row r="108" spans="1:10" s="3" customFormat="1" ht="21.9" customHeight="1">
      <c r="A108" s="27"/>
      <c r="B108" s="27"/>
      <c r="C108" s="27"/>
      <c r="D108" s="27"/>
      <c r="E108" s="27"/>
      <c r="F108" s="29"/>
      <c r="G108" s="29"/>
      <c r="H108" s="29"/>
      <c r="I108" s="29"/>
      <c r="J108" s="29"/>
    </row>
    <row r="109" spans="1:10" s="3" customFormat="1" ht="21.9" customHeight="1">
      <c r="A109" s="27"/>
      <c r="B109" s="27"/>
      <c r="C109" s="27"/>
      <c r="D109" s="27"/>
      <c r="E109" s="27"/>
      <c r="F109" s="29"/>
      <c r="G109" s="29"/>
      <c r="H109" s="29"/>
      <c r="I109" s="29"/>
      <c r="J109" s="29"/>
    </row>
    <row r="110" spans="1:10" s="3" customFormat="1" ht="21.9" customHeight="1">
      <c r="A110" s="27"/>
      <c r="B110" s="27"/>
      <c r="C110" s="27"/>
      <c r="D110" s="27"/>
      <c r="E110" s="27"/>
      <c r="F110" s="29"/>
      <c r="G110" s="29"/>
      <c r="H110" s="29"/>
      <c r="I110" s="29"/>
      <c r="J110" s="29"/>
    </row>
    <row r="111" spans="1:10" s="3" customFormat="1" ht="21.9" customHeight="1">
      <c r="A111" s="27"/>
      <c r="B111" s="27"/>
      <c r="C111" s="27"/>
      <c r="D111" s="27"/>
      <c r="E111" s="27"/>
      <c r="F111" s="29"/>
      <c r="G111" s="29"/>
      <c r="H111" s="29"/>
      <c r="I111" s="29"/>
      <c r="J111" s="29"/>
    </row>
    <row r="112" spans="1:10" s="3" customFormat="1" ht="21.9" customHeight="1">
      <c r="A112" s="27"/>
      <c r="B112" s="27"/>
      <c r="C112" s="27"/>
      <c r="D112" s="27"/>
      <c r="E112" s="27"/>
      <c r="F112" s="29"/>
      <c r="G112" s="29"/>
      <c r="H112" s="29"/>
      <c r="I112" s="29"/>
      <c r="J112" s="29"/>
    </row>
    <row r="113" spans="1:10" s="3" customFormat="1" ht="21.9" customHeight="1">
      <c r="A113" s="27"/>
      <c r="B113" s="27"/>
      <c r="C113" s="27"/>
      <c r="D113" s="27"/>
      <c r="E113" s="27"/>
      <c r="F113" s="29"/>
      <c r="G113" s="29"/>
      <c r="H113" s="29"/>
      <c r="I113" s="29"/>
      <c r="J113" s="29"/>
    </row>
    <row r="114" spans="1:10" s="3" customFormat="1" ht="21.9" customHeight="1">
      <c r="A114" s="27"/>
      <c r="B114" s="27"/>
      <c r="C114" s="27"/>
      <c r="D114" s="27"/>
      <c r="E114" s="27"/>
      <c r="F114" s="29"/>
      <c r="G114" s="29"/>
      <c r="H114" s="29"/>
      <c r="I114" s="29"/>
      <c r="J114" s="29"/>
    </row>
    <row r="115" spans="1:10" s="3" customFormat="1" ht="21.9" customHeight="1">
      <c r="A115" s="27"/>
      <c r="B115" s="27"/>
      <c r="C115" s="27"/>
      <c r="D115" s="27"/>
      <c r="E115" s="27"/>
      <c r="F115" s="29"/>
      <c r="G115" s="29"/>
      <c r="H115" s="29"/>
      <c r="I115" s="29"/>
      <c r="J115" s="29"/>
    </row>
    <row r="116" spans="1:10" s="3" customFormat="1" ht="21.9" customHeight="1">
      <c r="A116" s="27"/>
      <c r="B116" s="27"/>
      <c r="C116" s="27"/>
      <c r="D116" s="27"/>
      <c r="E116" s="27"/>
      <c r="F116" s="29"/>
      <c r="G116" s="29"/>
      <c r="H116" s="29"/>
      <c r="I116" s="29"/>
      <c r="J116" s="29"/>
    </row>
    <row r="117" spans="1:10" s="3" customFormat="1" ht="21.9" customHeight="1">
      <c r="A117" s="27"/>
      <c r="B117" s="27"/>
      <c r="C117" s="27"/>
      <c r="D117" s="27"/>
      <c r="E117" s="27"/>
      <c r="F117" s="29"/>
      <c r="G117" s="29"/>
      <c r="H117" s="29"/>
      <c r="I117" s="29"/>
      <c r="J117" s="29"/>
    </row>
    <row r="118" spans="1:10" s="3" customFormat="1" ht="21.9" customHeight="1">
      <c r="A118" s="27"/>
      <c r="B118" s="27"/>
      <c r="C118" s="27"/>
      <c r="D118" s="27"/>
      <c r="E118" s="27"/>
      <c r="F118" s="29"/>
      <c r="G118" s="29"/>
      <c r="H118" s="29"/>
      <c r="I118" s="29"/>
      <c r="J118" s="29"/>
    </row>
    <row r="119" spans="1:10" s="3" customFormat="1" ht="21.9" customHeight="1">
      <c r="A119" s="27"/>
      <c r="B119" s="27"/>
      <c r="C119" s="27"/>
      <c r="D119" s="27"/>
      <c r="E119" s="27"/>
      <c r="F119" s="29"/>
      <c r="G119" s="29"/>
      <c r="H119" s="29"/>
      <c r="I119" s="29"/>
      <c r="J119" s="29"/>
    </row>
    <row r="120" spans="1:10" s="3" customFormat="1" ht="21.9" customHeight="1">
      <c r="A120" s="27"/>
      <c r="B120" s="27"/>
      <c r="C120" s="27"/>
      <c r="D120" s="27"/>
      <c r="E120" s="27"/>
      <c r="F120" s="29"/>
      <c r="G120" s="29"/>
      <c r="H120" s="29"/>
      <c r="I120" s="29"/>
      <c r="J120" s="29"/>
    </row>
    <row r="121" spans="1:10" s="3" customFormat="1" ht="21.9" customHeight="1">
      <c r="A121" s="27"/>
      <c r="B121" s="27"/>
      <c r="C121" s="27"/>
      <c r="D121" s="27"/>
      <c r="E121" s="27"/>
      <c r="F121" s="4"/>
      <c r="G121" s="4"/>
      <c r="H121" s="4"/>
      <c r="I121" s="4"/>
      <c r="J121" s="4"/>
    </row>
    <row r="122" spans="1:10" s="3" customFormat="1" ht="21.9" customHeight="1">
      <c r="A122" s="27"/>
      <c r="B122" s="27"/>
      <c r="C122" s="27"/>
      <c r="D122" s="27"/>
      <c r="E122" s="27"/>
      <c r="F122" s="4"/>
      <c r="G122" s="4"/>
      <c r="H122" s="4"/>
      <c r="I122" s="4"/>
      <c r="J122" s="4"/>
    </row>
    <row r="123" spans="1:10" s="3" customFormat="1" ht="21.9" customHeight="1">
      <c r="A123" s="27"/>
      <c r="B123" s="27"/>
      <c r="C123" s="27"/>
      <c r="D123" s="27"/>
      <c r="E123" s="27"/>
      <c r="F123" s="4"/>
      <c r="G123" s="4"/>
      <c r="H123" s="4"/>
      <c r="I123" s="4"/>
      <c r="J123" s="4"/>
    </row>
    <row r="124" spans="1:10" s="3" customFormat="1" ht="21.9" customHeight="1">
      <c r="A124" s="27"/>
      <c r="B124" s="27"/>
      <c r="C124" s="27"/>
      <c r="D124" s="27"/>
      <c r="E124" s="27"/>
      <c r="F124" s="29"/>
      <c r="G124" s="29"/>
      <c r="H124" s="29"/>
      <c r="I124" s="29"/>
      <c r="J124" s="29"/>
    </row>
    <row r="125" spans="1:10" s="3" customFormat="1" ht="21.9" customHeight="1">
      <c r="A125" s="27"/>
      <c r="B125" s="27"/>
      <c r="C125" s="27"/>
      <c r="D125" s="27"/>
      <c r="E125" s="27"/>
      <c r="F125" s="29"/>
      <c r="G125" s="29"/>
      <c r="H125" s="29"/>
      <c r="I125" s="29"/>
      <c r="J125" s="29"/>
    </row>
    <row r="126" spans="1:10" s="3" customFormat="1" ht="21.9" customHeight="1">
      <c r="A126" s="27"/>
      <c r="B126" s="27"/>
      <c r="C126" s="27"/>
      <c r="D126" s="27"/>
      <c r="E126" s="27"/>
      <c r="F126" s="4"/>
      <c r="G126" s="4"/>
      <c r="H126" s="4"/>
      <c r="I126" s="4"/>
      <c r="J126" s="4"/>
    </row>
    <row r="127" spans="1:10" s="3" customFormat="1" ht="21.9" customHeight="1">
      <c r="A127" s="27"/>
      <c r="B127" s="27"/>
      <c r="C127" s="27"/>
      <c r="D127" s="27"/>
      <c r="E127" s="27"/>
      <c r="F127" s="4"/>
      <c r="G127" s="4"/>
      <c r="H127" s="4"/>
      <c r="I127" s="4"/>
      <c r="J127" s="4"/>
    </row>
    <row r="128" spans="1:10" s="3" customFormat="1" ht="21.9" customHeight="1">
      <c r="A128" s="27"/>
      <c r="B128" s="27"/>
      <c r="C128" s="27"/>
      <c r="D128" s="27"/>
      <c r="E128" s="27"/>
      <c r="F128" s="4"/>
      <c r="G128" s="4"/>
      <c r="H128" s="4"/>
      <c r="I128" s="4"/>
      <c r="J128" s="4"/>
    </row>
    <row r="129" spans="1:10" s="3" customFormat="1" ht="21.9" customHeight="1">
      <c r="A129" s="27"/>
      <c r="B129" s="27"/>
      <c r="C129" s="27"/>
      <c r="D129" s="27"/>
      <c r="E129" s="27"/>
      <c r="F129" s="29"/>
      <c r="G129" s="29"/>
      <c r="H129" s="29"/>
      <c r="I129" s="29"/>
      <c r="J129" s="29"/>
    </row>
    <row r="130" spans="1:10" s="3" customFormat="1" ht="21.9" customHeight="1">
      <c r="A130" s="27"/>
      <c r="B130" s="27"/>
      <c r="C130" s="27"/>
      <c r="D130" s="27"/>
      <c r="E130" s="27"/>
      <c r="F130" s="29"/>
      <c r="G130" s="29"/>
      <c r="H130" s="29"/>
      <c r="I130" s="29"/>
      <c r="J130" s="29"/>
    </row>
    <row r="131" spans="1:10" s="3" customFormat="1" ht="21.9" customHeight="1">
      <c r="A131" s="27"/>
      <c r="B131" s="27"/>
      <c r="C131" s="27"/>
      <c r="D131" s="27"/>
      <c r="E131" s="27"/>
      <c r="F131" s="29"/>
      <c r="G131" s="29"/>
      <c r="H131" s="29"/>
      <c r="I131" s="29"/>
      <c r="J131" s="29"/>
    </row>
    <row r="132" spans="1:10" s="3" customFormat="1" ht="21.9" customHeight="1">
      <c r="A132" s="27"/>
      <c r="B132" s="27"/>
      <c r="C132" s="27"/>
      <c r="D132" s="27"/>
      <c r="E132" s="27"/>
      <c r="F132" s="31"/>
      <c r="G132" s="31"/>
      <c r="H132" s="31"/>
      <c r="I132" s="31"/>
      <c r="J132" s="31"/>
    </row>
    <row r="133" spans="1:10" s="3" customFormat="1" ht="21.9" customHeight="1">
      <c r="A133" s="32"/>
      <c r="B133" s="32"/>
      <c r="C133" s="32"/>
      <c r="D133" s="32"/>
      <c r="E133" s="32"/>
      <c r="F133" s="31"/>
      <c r="G133" s="31"/>
      <c r="H133" s="31"/>
      <c r="I133" s="31"/>
      <c r="J133" s="31"/>
    </row>
    <row r="134" spans="1:10" s="3" customFormat="1" ht="21.9" customHeight="1">
      <c r="A134" s="32"/>
      <c r="B134" s="32"/>
      <c r="C134" s="32"/>
      <c r="D134" s="32"/>
      <c r="E134" s="32"/>
      <c r="F134" s="31"/>
      <c r="G134" s="31"/>
      <c r="H134" s="31"/>
      <c r="I134" s="31"/>
      <c r="J134" s="31"/>
    </row>
    <row r="135" spans="1:10" s="3" customFormat="1" ht="21.9" customHeight="1">
      <c r="A135" s="32"/>
      <c r="B135" s="32"/>
      <c r="C135" s="32"/>
      <c r="D135" s="32"/>
      <c r="E135" s="32"/>
      <c r="F135" s="31"/>
      <c r="G135" s="31"/>
      <c r="H135" s="31"/>
      <c r="I135" s="31"/>
      <c r="J135" s="31"/>
    </row>
    <row r="136" spans="1:10" s="3" customFormat="1" ht="21.9" customHeight="1">
      <c r="A136" s="32"/>
      <c r="B136" s="32"/>
      <c r="C136" s="32"/>
      <c r="D136" s="32"/>
      <c r="E136" s="32"/>
      <c r="F136" s="31"/>
      <c r="G136" s="31"/>
      <c r="H136" s="31"/>
      <c r="I136" s="31"/>
      <c r="J136" s="31"/>
    </row>
    <row r="137" spans="1:10" s="3" customFormat="1" ht="21.9" customHeight="1">
      <c r="A137" s="32"/>
      <c r="B137" s="32"/>
      <c r="C137" s="32"/>
      <c r="D137" s="32"/>
      <c r="E137" s="32"/>
      <c r="F137" s="31"/>
      <c r="G137" s="31"/>
      <c r="H137" s="31"/>
      <c r="I137" s="31"/>
      <c r="J137" s="31"/>
    </row>
    <row r="138" spans="1:10" s="3" customFormat="1" ht="21.9" customHeight="1">
      <c r="A138" s="32"/>
      <c r="B138" s="32"/>
      <c r="C138" s="32"/>
      <c r="D138" s="32"/>
      <c r="E138" s="32"/>
      <c r="F138" s="31"/>
      <c r="G138" s="31"/>
      <c r="H138" s="31"/>
      <c r="I138" s="31"/>
      <c r="J138" s="31"/>
    </row>
    <row r="139" spans="1:10" s="3" customFormat="1" ht="21.9" customHeight="1">
      <c r="A139" s="32"/>
      <c r="B139" s="32"/>
      <c r="C139" s="32"/>
      <c r="D139" s="32"/>
      <c r="E139" s="32"/>
      <c r="F139" s="31"/>
      <c r="G139" s="31"/>
      <c r="H139" s="31"/>
      <c r="I139" s="31"/>
      <c r="J139" s="31"/>
    </row>
    <row r="140" spans="1:10" s="3" customFormat="1" ht="21.9" customHeight="1">
      <c r="A140" s="32"/>
      <c r="B140" s="32"/>
      <c r="C140" s="32"/>
      <c r="D140" s="32"/>
      <c r="E140" s="32"/>
      <c r="F140" s="31"/>
      <c r="G140" s="31"/>
      <c r="H140" s="31"/>
      <c r="I140" s="31"/>
      <c r="J140" s="31"/>
    </row>
    <row r="141" spans="1:10" s="3" customFormat="1" ht="21.9" customHeight="1">
      <c r="A141" s="32"/>
      <c r="B141" s="32"/>
      <c r="C141" s="32"/>
      <c r="D141" s="32"/>
      <c r="E141" s="32"/>
      <c r="F141" s="28"/>
      <c r="G141" s="28"/>
      <c r="H141" s="28"/>
      <c r="I141" s="28"/>
      <c r="J141" s="28"/>
    </row>
    <row r="142" spans="1:10" s="3" customFormat="1" ht="21.9" customHeight="1">
      <c r="A142" s="32"/>
      <c r="B142" s="32"/>
      <c r="C142" s="32"/>
      <c r="D142" s="32"/>
      <c r="E142" s="32"/>
      <c r="F142" s="28"/>
      <c r="G142" s="28"/>
      <c r="H142" s="28"/>
      <c r="I142" s="28"/>
      <c r="J142" s="28"/>
    </row>
    <row r="143" spans="1:10" s="3" customFormat="1" ht="21.9" customHeight="1">
      <c r="A143" s="32"/>
      <c r="B143" s="32"/>
      <c r="C143" s="32"/>
      <c r="D143" s="32"/>
      <c r="E143" s="32"/>
      <c r="F143" s="28"/>
      <c r="G143" s="28"/>
      <c r="H143" s="28"/>
      <c r="I143" s="28"/>
      <c r="J143" s="28"/>
    </row>
    <row r="144" spans="1:10" s="3" customFormat="1" ht="21.9" customHeight="1">
      <c r="A144" s="32"/>
      <c r="B144" s="32"/>
      <c r="C144" s="32"/>
      <c r="D144" s="32"/>
      <c r="E144" s="32"/>
      <c r="F144" s="28"/>
      <c r="G144" s="28"/>
      <c r="H144" s="28"/>
      <c r="I144" s="28"/>
      <c r="J144" s="28"/>
    </row>
    <row r="145" spans="1:12" s="3" customFormat="1" ht="21.9" customHeight="1">
      <c r="A145" s="32"/>
      <c r="B145" s="32"/>
      <c r="C145" s="32"/>
      <c r="D145" s="32"/>
      <c r="E145" s="32"/>
      <c r="F145" s="31"/>
      <c r="G145" s="31"/>
      <c r="H145" s="31"/>
      <c r="I145" s="31"/>
      <c r="J145" s="31"/>
    </row>
    <row r="146" spans="1:12" s="3" customFormat="1" ht="21.9" customHeight="1">
      <c r="A146" s="32"/>
      <c r="B146" s="32"/>
      <c r="C146" s="32"/>
      <c r="D146" s="32"/>
      <c r="E146" s="32"/>
      <c r="F146" s="31"/>
      <c r="G146" s="31"/>
      <c r="H146" s="31"/>
      <c r="I146" s="31"/>
      <c r="J146" s="31"/>
    </row>
    <row r="147" spans="1:12" s="3" customFormat="1" ht="21.9" customHeight="1">
      <c r="A147" s="32"/>
      <c r="B147" s="32"/>
      <c r="C147" s="32"/>
      <c r="D147" s="32"/>
      <c r="E147" s="32"/>
      <c r="F147" s="31"/>
      <c r="G147" s="31"/>
      <c r="H147" s="31"/>
      <c r="I147" s="31"/>
      <c r="J147" s="31"/>
    </row>
    <row r="148" spans="1:12" s="3" customFormat="1" ht="21.9" customHeight="1">
      <c r="A148" s="32"/>
      <c r="B148" s="32"/>
      <c r="C148" s="32"/>
      <c r="D148" s="32"/>
      <c r="E148" s="32"/>
      <c r="F148" s="29"/>
      <c r="G148" s="29"/>
      <c r="H148" s="29"/>
      <c r="I148" s="29"/>
      <c r="J148" s="29"/>
    </row>
    <row r="149" spans="1:12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</row>
    <row r="150" spans="1:12" s="3" customFormat="1" ht="21.9" customHeight="1">
      <c r="A150" s="32"/>
      <c r="B150" s="32"/>
      <c r="C150" s="32"/>
      <c r="D150" s="32"/>
      <c r="E150" s="32"/>
      <c r="F150" s="31"/>
      <c r="G150" s="31"/>
      <c r="H150" s="31"/>
      <c r="I150" s="31"/>
      <c r="J150" s="31"/>
    </row>
    <row r="151" spans="1:12" s="3" customFormat="1" ht="21.9" customHeight="1">
      <c r="A151" s="32"/>
      <c r="B151" s="32"/>
      <c r="C151" s="32"/>
      <c r="D151" s="32"/>
      <c r="E151" s="32"/>
      <c r="F151" s="33"/>
      <c r="G151" s="33"/>
      <c r="H151" s="33"/>
      <c r="I151" s="33"/>
      <c r="J151" s="33"/>
    </row>
    <row r="152" spans="1:12" s="3" customFormat="1" ht="21.9" customHeight="1">
      <c r="A152" s="32"/>
      <c r="B152" s="32"/>
      <c r="C152" s="32"/>
      <c r="D152" s="32"/>
      <c r="E152" s="32"/>
      <c r="F152" s="33"/>
      <c r="G152" s="33"/>
      <c r="H152" s="33"/>
      <c r="I152" s="33"/>
      <c r="J152" s="33"/>
    </row>
    <row r="153" spans="1:12" s="3" customFormat="1" ht="21.9" customHeight="1">
      <c r="A153" s="13"/>
      <c r="B153" s="13"/>
      <c r="C153" s="13"/>
      <c r="D153" s="13"/>
      <c r="E153" s="13"/>
      <c r="F153" s="14"/>
      <c r="G153" s="14"/>
      <c r="H153" s="14"/>
      <c r="I153" s="14"/>
      <c r="J153" s="14"/>
      <c r="K153" s="9"/>
      <c r="L153" s="9"/>
    </row>
    <row r="154" spans="1:12" s="3" customFormat="1" ht="21.9" customHeight="1">
      <c r="A154" s="13"/>
      <c r="B154" s="13"/>
      <c r="C154" s="13"/>
      <c r="D154" s="13"/>
      <c r="E154" s="13"/>
      <c r="F154" s="14"/>
      <c r="G154" s="14"/>
      <c r="H154" s="14"/>
      <c r="I154" s="14"/>
      <c r="J154" s="14"/>
      <c r="K154" s="9"/>
      <c r="L154" s="9"/>
    </row>
    <row r="155" spans="1:12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9"/>
      <c r="L155" s="9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0"/>
      <c r="G158" s="10"/>
      <c r="H158" s="10"/>
      <c r="I158" s="10"/>
      <c r="J158" s="10"/>
      <c r="K158" s="9"/>
      <c r="L158" s="9"/>
    </row>
    <row r="159" spans="1:12" s="9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</row>
    <row r="160" spans="1:12" s="9" customFormat="1" ht="21.9" customHeight="1">
      <c r="A160" s="13"/>
      <c r="B160" s="13"/>
      <c r="C160" s="13"/>
      <c r="D160" s="13"/>
      <c r="E160" s="13"/>
      <c r="F160" s="14"/>
      <c r="G160" s="14"/>
      <c r="H160" s="14"/>
      <c r="I160" s="14"/>
      <c r="J160" s="14"/>
    </row>
    <row r="161" spans="1:10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</row>
    <row r="162" spans="1:10" s="9" customFormat="1" ht="21.9" customHeight="1">
      <c r="A162" s="13"/>
      <c r="B162" s="13"/>
      <c r="C162" s="13"/>
      <c r="D162" s="13"/>
      <c r="E162" s="13"/>
      <c r="F162" s="8"/>
      <c r="G162" s="8"/>
      <c r="H162" s="8"/>
      <c r="I162" s="8"/>
      <c r="J162" s="8"/>
    </row>
    <row r="163" spans="1:10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0" s="9" customFormat="1" ht="21.9" customHeight="1">
      <c r="A164" s="13"/>
      <c r="B164" s="13"/>
      <c r="C164" s="13"/>
      <c r="D164" s="13"/>
      <c r="E164" s="13"/>
      <c r="F164" s="10"/>
      <c r="G164" s="10"/>
      <c r="H164" s="10"/>
      <c r="I164" s="10"/>
      <c r="J164" s="10"/>
    </row>
    <row r="165" spans="1:10" s="9" customFormat="1" ht="21.9" customHeight="1">
      <c r="A165" s="13"/>
      <c r="B165" s="13"/>
      <c r="C165" s="13"/>
      <c r="D165" s="13"/>
      <c r="E165" s="13"/>
      <c r="F165" s="12"/>
      <c r="G165" s="12"/>
      <c r="H165" s="12"/>
      <c r="I165" s="12"/>
      <c r="J165" s="12"/>
    </row>
    <row r="166" spans="1:10" s="9" customFormat="1" ht="21.9" customHeight="1">
      <c r="A166" s="13"/>
      <c r="B166" s="13"/>
      <c r="C166" s="13"/>
      <c r="D166" s="13"/>
      <c r="E166" s="13"/>
      <c r="F166" s="12"/>
      <c r="G166" s="12"/>
      <c r="H166" s="12"/>
      <c r="I166" s="12"/>
      <c r="J166" s="12"/>
    </row>
    <row r="167" spans="1:10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</row>
    <row r="168" spans="1:10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0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0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0" s="9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</row>
    <row r="172" spans="1:10" s="9" customFormat="1" ht="21.9" customHeight="1">
      <c r="A172" s="13"/>
      <c r="B172" s="13"/>
      <c r="C172" s="13"/>
      <c r="D172" s="13"/>
      <c r="E172" s="13"/>
      <c r="F172" s="8"/>
      <c r="G172" s="8"/>
      <c r="H172" s="8"/>
      <c r="I172" s="8"/>
      <c r="J172" s="8"/>
    </row>
    <row r="173" spans="1:10" s="9" customFormat="1" ht="21.9" customHeight="1">
      <c r="A173" s="13"/>
      <c r="B173" s="13"/>
      <c r="C173" s="13"/>
      <c r="D173" s="13"/>
      <c r="E173" s="13"/>
      <c r="F173" s="8"/>
      <c r="G173" s="8"/>
      <c r="H173" s="8"/>
      <c r="I173" s="8"/>
      <c r="J173" s="8"/>
    </row>
    <row r="174" spans="1:10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</row>
    <row r="175" spans="1:10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0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</row>
    <row r="179" spans="1:10" s="9" customFormat="1" ht="21.9" customHeight="1">
      <c r="A179" s="13"/>
      <c r="B179" s="13"/>
      <c r="C179" s="13"/>
      <c r="D179" s="13"/>
      <c r="E179" s="13"/>
      <c r="F179" s="10"/>
      <c r="G179" s="10"/>
      <c r="H179" s="10"/>
      <c r="I179" s="10"/>
      <c r="J179" s="10"/>
    </row>
    <row r="180" spans="1:10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</row>
    <row r="183" spans="1:10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</row>
    <row r="184" spans="1:10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</row>
    <row r="185" spans="1:10" s="9" customFormat="1" ht="21.9" customHeight="1">
      <c r="A185" s="13"/>
      <c r="B185" s="13"/>
      <c r="C185" s="13"/>
      <c r="D185" s="13"/>
      <c r="E185" s="13"/>
      <c r="F185" s="8"/>
      <c r="G185" s="8"/>
      <c r="H185" s="8"/>
      <c r="I185" s="8"/>
      <c r="J185" s="8"/>
    </row>
    <row r="186" spans="1:10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</row>
    <row r="187" spans="1:10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</row>
    <row r="188" spans="1:10" s="9" customFormat="1" ht="21.9" customHeight="1">
      <c r="A188" s="13"/>
      <c r="B188" s="13"/>
      <c r="C188" s="13"/>
      <c r="D188" s="13"/>
      <c r="E188" s="13"/>
      <c r="F188" s="12"/>
      <c r="G188" s="12"/>
      <c r="H188" s="12"/>
      <c r="I188" s="12"/>
      <c r="J188" s="12"/>
    </row>
    <row r="189" spans="1:10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</row>
    <row r="190" spans="1:10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</row>
    <row r="191" spans="1:10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11"/>
      <c r="G195" s="11"/>
      <c r="H195" s="11"/>
      <c r="I195" s="11"/>
      <c r="J195" s="11"/>
    </row>
    <row r="196" spans="1:10" s="9" customFormat="1" ht="21.9" customHeight="1">
      <c r="A196" s="13"/>
      <c r="B196" s="13"/>
      <c r="C196" s="13"/>
      <c r="D196" s="13"/>
      <c r="E196" s="13"/>
      <c r="F196" s="11"/>
      <c r="G196" s="11"/>
      <c r="H196" s="11"/>
      <c r="I196" s="11"/>
      <c r="J196" s="11"/>
    </row>
    <row r="197" spans="1:10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5"/>
      <c r="B199" s="15"/>
      <c r="C199" s="15"/>
      <c r="D199" s="15"/>
      <c r="E199" s="15"/>
      <c r="F199" s="12"/>
      <c r="G199" s="12"/>
      <c r="H199" s="12"/>
      <c r="I199" s="12"/>
      <c r="J199" s="12"/>
    </row>
    <row r="200" spans="1:10" s="9" customFormat="1" ht="21.9" customHeight="1">
      <c r="A200" s="15"/>
      <c r="B200" s="15"/>
      <c r="C200" s="15"/>
      <c r="D200" s="15"/>
      <c r="E200" s="15"/>
      <c r="F200" s="11"/>
      <c r="G200" s="11"/>
      <c r="H200" s="11"/>
      <c r="I200" s="11"/>
      <c r="J200" s="11"/>
    </row>
    <row r="201" spans="1:10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</row>
    <row r="202" spans="1:10" s="9" customFormat="1" ht="21.9" customHeight="1">
      <c r="A202" s="15"/>
      <c r="B202" s="15"/>
      <c r="C202" s="15"/>
      <c r="D202" s="15"/>
      <c r="E202" s="15"/>
      <c r="F202" s="12"/>
      <c r="G202" s="12"/>
      <c r="H202" s="12"/>
      <c r="I202" s="12"/>
      <c r="J202" s="12"/>
    </row>
    <row r="203" spans="1:10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8"/>
      <c r="G207" s="8"/>
      <c r="H207" s="8"/>
      <c r="I207" s="8"/>
      <c r="J207" s="8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12"/>
      <c r="G209" s="12"/>
      <c r="H209" s="12"/>
      <c r="I209" s="12"/>
      <c r="J209" s="12"/>
    </row>
    <row r="210" spans="1:10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</row>
    <row r="211" spans="1:10" s="9" customFormat="1" ht="21.9" customHeight="1">
      <c r="A211" s="15"/>
      <c r="B211" s="15"/>
      <c r="C211" s="15"/>
      <c r="D211" s="15"/>
      <c r="E211" s="15"/>
      <c r="F211" s="8"/>
      <c r="G211" s="8"/>
      <c r="H211" s="8"/>
      <c r="I211" s="8"/>
      <c r="J211" s="8"/>
    </row>
    <row r="212" spans="1:10" s="9" customFormat="1" ht="21.9" customHeight="1">
      <c r="A212" s="15"/>
      <c r="B212" s="15"/>
      <c r="C212" s="15"/>
      <c r="D212" s="15"/>
      <c r="E212" s="15"/>
      <c r="F212" s="8"/>
      <c r="G212" s="8"/>
      <c r="H212" s="8"/>
      <c r="I212" s="8"/>
      <c r="J212" s="8"/>
    </row>
    <row r="213" spans="1:10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11"/>
      <c r="G217" s="11"/>
      <c r="H217" s="11"/>
      <c r="I217" s="11"/>
      <c r="J217" s="11"/>
    </row>
    <row r="218" spans="1:10" s="9" customFormat="1" ht="21.9" customHeight="1">
      <c r="A218" s="15"/>
      <c r="B218" s="15"/>
      <c r="C218" s="15"/>
      <c r="D218" s="15"/>
      <c r="E218" s="15"/>
      <c r="F218" s="11"/>
      <c r="G218" s="11"/>
      <c r="H218" s="11"/>
      <c r="I218" s="11"/>
      <c r="J218" s="11"/>
    </row>
    <row r="219" spans="1:10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8"/>
      <c r="G223" s="8"/>
      <c r="H223" s="8"/>
      <c r="I223" s="8"/>
      <c r="J223" s="8"/>
    </row>
    <row r="224" spans="1:10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</row>
    <row r="225" spans="1:10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6"/>
      <c r="B230" s="6"/>
      <c r="C230" s="6"/>
      <c r="D230" s="6"/>
      <c r="E230" s="6"/>
      <c r="F230" s="12"/>
      <c r="G230" s="12"/>
      <c r="H230" s="12"/>
      <c r="I230" s="12"/>
      <c r="J230" s="12"/>
    </row>
    <row r="231" spans="1:10" s="9" customFormat="1" ht="21.9" customHeight="1">
      <c r="A231" s="6"/>
      <c r="B231" s="6"/>
      <c r="C231" s="6"/>
      <c r="D231" s="6"/>
      <c r="E231" s="6"/>
      <c r="F231" s="12"/>
      <c r="G231" s="12"/>
      <c r="H231" s="12"/>
      <c r="I231" s="12"/>
      <c r="J231" s="12"/>
    </row>
    <row r="232" spans="1:10" s="9" customFormat="1" ht="21.9" customHeight="1">
      <c r="A232" s="6"/>
      <c r="B232" s="6"/>
      <c r="C232" s="6"/>
      <c r="D232" s="6"/>
      <c r="E232" s="6"/>
      <c r="F232" s="11"/>
      <c r="G232" s="11"/>
      <c r="H232" s="11"/>
      <c r="I232" s="11"/>
      <c r="J232" s="11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8"/>
      <c r="G234" s="8"/>
      <c r="H234" s="8"/>
      <c r="I234" s="8"/>
      <c r="J234" s="8"/>
    </row>
    <row r="235" spans="1:10" s="9" customFormat="1" ht="21.9" customHeight="1">
      <c r="A235" s="6"/>
      <c r="B235" s="6"/>
      <c r="C235" s="6"/>
      <c r="D235" s="6"/>
      <c r="E235" s="6"/>
      <c r="F235" s="8"/>
      <c r="G235" s="8"/>
      <c r="H235" s="8"/>
      <c r="I235" s="8"/>
      <c r="J235" s="8"/>
    </row>
    <row r="236" spans="1:10" s="9" customFormat="1" ht="21.9" customHeight="1">
      <c r="A236" s="6"/>
      <c r="B236" s="6"/>
      <c r="C236" s="6"/>
      <c r="D236" s="6"/>
      <c r="E236" s="6"/>
      <c r="F236" s="11"/>
      <c r="G236" s="11"/>
      <c r="H236" s="11"/>
      <c r="I236" s="11"/>
      <c r="J236" s="11"/>
    </row>
    <row r="237" spans="1:10" s="9" customFormat="1" ht="21.9" customHeight="1">
      <c r="A237" s="6"/>
      <c r="B237" s="6"/>
      <c r="C237" s="6"/>
      <c r="D237" s="6"/>
      <c r="E237" s="6"/>
      <c r="F237" s="12"/>
      <c r="G237" s="12"/>
      <c r="H237" s="12"/>
      <c r="I237" s="12"/>
      <c r="J237" s="12"/>
    </row>
    <row r="238" spans="1:10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</row>
    <row r="239" spans="1:10" s="9" customFormat="1" ht="21.9" customHeight="1">
      <c r="A239" s="6"/>
      <c r="B239" s="6"/>
      <c r="C239" s="6"/>
      <c r="D239" s="6"/>
      <c r="E239" s="6"/>
      <c r="F239" s="11"/>
      <c r="G239" s="11"/>
      <c r="H239" s="11"/>
      <c r="I239" s="11"/>
      <c r="J239" s="11"/>
    </row>
    <row r="240" spans="1:10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8"/>
      <c r="G246" s="8"/>
      <c r="H246" s="8"/>
      <c r="I246" s="8"/>
      <c r="J246" s="8"/>
    </row>
    <row r="247" spans="1:10" s="9" customFormat="1" ht="21.9" customHeight="1">
      <c r="A247" s="6"/>
      <c r="B247" s="6"/>
      <c r="C247" s="6"/>
      <c r="D247" s="6"/>
      <c r="E247" s="6"/>
      <c r="F247" s="8"/>
      <c r="G247" s="8"/>
      <c r="H247" s="8"/>
      <c r="I247" s="8"/>
      <c r="J247" s="8"/>
    </row>
    <row r="248" spans="1:10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13.2">
      <c r="A252" s="6"/>
      <c r="B252" s="6"/>
      <c r="C252" s="6"/>
      <c r="D252" s="6"/>
      <c r="E252" s="6"/>
      <c r="F252" s="12"/>
      <c r="G252" s="12"/>
      <c r="H252" s="12"/>
      <c r="I252" s="12"/>
      <c r="J252" s="12"/>
    </row>
    <row r="253" spans="1:10" s="9" customFormat="1" ht="13.2">
      <c r="A253" s="6"/>
      <c r="B253" s="6"/>
      <c r="C253" s="6"/>
      <c r="D253" s="6"/>
      <c r="E253" s="6"/>
      <c r="F253" s="10"/>
      <c r="G253" s="10"/>
      <c r="H253" s="10"/>
      <c r="I253" s="10"/>
      <c r="J253" s="10"/>
    </row>
    <row r="254" spans="1:10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</row>
    <row r="255" spans="1:10" s="9" customFormat="1" ht="13.2">
      <c r="A255" s="6"/>
      <c r="B255" s="6"/>
      <c r="C255" s="6"/>
      <c r="D255" s="6"/>
      <c r="E255" s="6"/>
      <c r="F255" s="12"/>
      <c r="G255" s="12"/>
      <c r="H255" s="12"/>
      <c r="I255" s="12"/>
      <c r="J255" s="12"/>
    </row>
    <row r="256" spans="1:10" s="9" customFormat="1" ht="13.2">
      <c r="A256" s="6"/>
      <c r="B256" s="6"/>
      <c r="C256" s="6"/>
      <c r="D256" s="6"/>
      <c r="E256" s="6"/>
      <c r="F256" s="8"/>
      <c r="G256" s="8"/>
      <c r="H256" s="8"/>
      <c r="I256" s="8"/>
      <c r="J256" s="8"/>
    </row>
    <row r="257" spans="1:10" s="9" customFormat="1" ht="13.2">
      <c r="A257" s="6"/>
      <c r="B257" s="6"/>
      <c r="C257" s="6"/>
      <c r="D257" s="6"/>
      <c r="E257" s="6"/>
      <c r="F257" s="8"/>
      <c r="G257" s="8"/>
      <c r="H257" s="8"/>
      <c r="I257" s="8"/>
      <c r="J257" s="8"/>
    </row>
    <row r="258" spans="1:10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11"/>
      <c r="G260" s="11"/>
      <c r="H260" s="11"/>
      <c r="I260" s="11"/>
      <c r="J260" s="11"/>
    </row>
    <row r="261" spans="1:10" s="9" customFormat="1" ht="13.2">
      <c r="A261" s="6"/>
      <c r="B261" s="6"/>
      <c r="C261" s="6"/>
      <c r="D261" s="6"/>
      <c r="E261" s="6"/>
      <c r="F261" s="12"/>
      <c r="G261" s="12"/>
      <c r="H261" s="12"/>
      <c r="I261" s="12"/>
      <c r="J261" s="12"/>
    </row>
    <row r="262" spans="1:10" s="9" customFormat="1" ht="13.2">
      <c r="A262" s="6"/>
      <c r="B262" s="6"/>
      <c r="C262" s="6"/>
      <c r="D262" s="6"/>
      <c r="E262" s="6"/>
      <c r="F262" s="10"/>
      <c r="G262" s="10"/>
      <c r="H262" s="10"/>
      <c r="I262" s="10"/>
      <c r="J262" s="10"/>
    </row>
    <row r="263" spans="1:10" s="9" customFormat="1" ht="13.2">
      <c r="A263" s="6"/>
      <c r="B263" s="6"/>
      <c r="C263" s="6"/>
      <c r="D263" s="6"/>
      <c r="E263" s="6"/>
      <c r="F263" s="11"/>
      <c r="G263" s="11"/>
      <c r="H263" s="11"/>
      <c r="I263" s="11"/>
      <c r="J263" s="11"/>
    </row>
    <row r="264" spans="1:10" s="9" customFormat="1" ht="13.2">
      <c r="A264" s="6"/>
      <c r="B264" s="6"/>
      <c r="C264" s="6"/>
      <c r="D264" s="6"/>
      <c r="E264" s="6"/>
      <c r="F264" s="8"/>
      <c r="G264" s="8"/>
      <c r="H264" s="8"/>
      <c r="I264" s="8"/>
      <c r="J264" s="8"/>
    </row>
    <row r="265" spans="1:10" s="9" customFormat="1" ht="13.2">
      <c r="A265" s="6"/>
      <c r="B265" s="6"/>
      <c r="C265" s="6"/>
      <c r="D265" s="6"/>
      <c r="E265" s="6"/>
      <c r="F265" s="7"/>
      <c r="G265" s="7"/>
      <c r="H265" s="7"/>
      <c r="I265" s="7"/>
      <c r="J265" s="7"/>
    </row>
    <row r="266" spans="1:10" s="9" customFormat="1" ht="13.2">
      <c r="A266" s="6"/>
      <c r="B266" s="6"/>
      <c r="C266" s="6"/>
      <c r="D266" s="6"/>
      <c r="E266" s="6"/>
      <c r="F266" s="7"/>
      <c r="G266" s="7"/>
      <c r="H266" s="7"/>
      <c r="I266" s="7"/>
      <c r="J266" s="7"/>
    </row>
    <row r="267" spans="1:10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8"/>
      <c r="G269" s="8"/>
      <c r="H269" s="8"/>
      <c r="I269" s="8"/>
      <c r="J269" s="8"/>
    </row>
    <row r="270" spans="1:10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</row>
    <row r="271" spans="1:10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12"/>
      <c r="G277" s="12"/>
      <c r="H277" s="12"/>
      <c r="I277" s="12"/>
      <c r="J277" s="12"/>
    </row>
    <row r="278" spans="1:10" s="9" customFormat="1" ht="13.2">
      <c r="A278" s="6"/>
      <c r="B278" s="6"/>
      <c r="C278" s="6"/>
      <c r="D278" s="6"/>
      <c r="E278" s="6"/>
      <c r="F278" s="11"/>
      <c r="G278" s="11"/>
      <c r="H278" s="11"/>
      <c r="I278" s="11"/>
      <c r="J278" s="11"/>
    </row>
    <row r="279" spans="1:10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</row>
    <row r="280" spans="1:10" s="9" customFormat="1" ht="13.2">
      <c r="A280" s="6"/>
      <c r="B280" s="6"/>
      <c r="C280" s="6"/>
      <c r="D280" s="6"/>
      <c r="E280" s="6"/>
      <c r="F280" s="8"/>
      <c r="G280" s="8"/>
      <c r="H280" s="8"/>
      <c r="I280" s="8"/>
      <c r="J280" s="8"/>
    </row>
    <row r="281" spans="1:10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</row>
    <row r="282" spans="1:10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</row>
    <row r="283" spans="1:10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</row>
    <row r="284" spans="1:10" s="9" customFormat="1" ht="13.2">
      <c r="A284" s="6"/>
      <c r="B284" s="6"/>
      <c r="C284" s="6"/>
      <c r="D284" s="6"/>
      <c r="E284" s="6"/>
      <c r="F284" s="12"/>
      <c r="G284" s="12"/>
      <c r="H284" s="12"/>
      <c r="I284" s="12"/>
      <c r="J284" s="12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</row>
    <row r="287" spans="1:10" s="9" customFormat="1" ht="13.2">
      <c r="A287" s="6"/>
      <c r="B287" s="6"/>
      <c r="C287" s="6"/>
      <c r="D287" s="6"/>
      <c r="E287" s="6"/>
      <c r="F287" s="11"/>
      <c r="G287" s="11"/>
      <c r="H287" s="11"/>
      <c r="I287" s="11"/>
      <c r="J287" s="11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</row>
    <row r="290" spans="1:10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</row>
    <row r="291" spans="1:10" s="9" customFormat="1" ht="13.2">
      <c r="A291" s="6"/>
      <c r="B291" s="6"/>
      <c r="C291" s="6"/>
      <c r="D291" s="6"/>
      <c r="E291" s="6"/>
      <c r="F291" s="11"/>
      <c r="G291" s="11"/>
      <c r="H291" s="11"/>
      <c r="I291" s="11"/>
      <c r="J291" s="11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</row>
    <row r="294" spans="1:10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10"/>
      <c r="G298" s="10"/>
      <c r="H298" s="10"/>
      <c r="I298" s="10"/>
      <c r="J298" s="10"/>
    </row>
    <row r="299" spans="1:10" s="9" customFormat="1" ht="13.2">
      <c r="A299" s="6"/>
      <c r="B299" s="6"/>
      <c r="C299" s="6"/>
      <c r="D299" s="6"/>
      <c r="E299" s="6"/>
      <c r="F299" s="11"/>
      <c r="G299" s="11"/>
      <c r="H299" s="11"/>
      <c r="I299" s="11"/>
      <c r="J299" s="11"/>
    </row>
    <row r="300" spans="1:10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</row>
    <row r="301" spans="1:10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</row>
    <row r="302" spans="1:10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</row>
    <row r="303" spans="1:10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</row>
    <row r="304" spans="1:10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</row>
    <row r="305" spans="1:10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</row>
    <row r="306" spans="1:10" s="9" customFormat="1" ht="13.2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</row>
    <row r="309" spans="1:10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</row>
    <row r="310" spans="1:10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</row>
    <row r="311" spans="1:10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7"/>
      <c r="G314" s="7"/>
      <c r="H314" s="7"/>
      <c r="I314" s="7"/>
      <c r="J314" s="7"/>
    </row>
    <row r="315" spans="1:10" s="9" customFormat="1" ht="13.2">
      <c r="A315" s="6"/>
      <c r="B315" s="6"/>
      <c r="C315" s="6"/>
      <c r="D315" s="6"/>
      <c r="E315" s="6"/>
      <c r="F315" s="7"/>
      <c r="G315" s="7"/>
      <c r="H315" s="7"/>
      <c r="I315" s="7"/>
      <c r="J315" s="7"/>
    </row>
    <row r="316" spans="1:10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</row>
    <row r="317" spans="1:10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</row>
    <row r="318" spans="1:10" s="9" customFormat="1" ht="13.2">
      <c r="A318" s="6"/>
      <c r="B318" s="6"/>
      <c r="C318" s="6"/>
      <c r="D318" s="6"/>
      <c r="E318" s="6"/>
      <c r="F318" s="7"/>
      <c r="G318" s="7"/>
      <c r="H318" s="7"/>
      <c r="I318" s="7"/>
      <c r="J318" s="7"/>
    </row>
    <row r="319" spans="1:10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</row>
    <row r="320" spans="1:10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</row>
    <row r="321" spans="1:10" s="9" customFormat="1" ht="13.2">
      <c r="A321" s="6"/>
      <c r="B321" s="6"/>
      <c r="C321" s="6"/>
      <c r="D321" s="6"/>
      <c r="E321" s="6"/>
      <c r="F321" s="7"/>
      <c r="G321" s="7"/>
      <c r="H321" s="7"/>
      <c r="I321" s="7"/>
      <c r="J321" s="7"/>
    </row>
    <row r="322" spans="1:10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</row>
    <row r="323" spans="1:10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</row>
    <row r="324" spans="1:10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</row>
    <row r="330" spans="1:10" s="9" customFormat="1" ht="13.2">
      <c r="A330" s="6"/>
      <c r="B330" s="6"/>
      <c r="C330" s="6"/>
      <c r="D330" s="6"/>
      <c r="E330" s="6"/>
      <c r="F330" s="7"/>
      <c r="G330" s="7"/>
      <c r="H330" s="7"/>
      <c r="I330" s="7"/>
      <c r="J330" s="7"/>
    </row>
    <row r="331" spans="1:10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</row>
    <row r="332" spans="1:10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</row>
    <row r="333" spans="1:10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10"/>
      <c r="G358" s="10"/>
      <c r="H358" s="10"/>
      <c r="I358" s="10"/>
      <c r="J358" s="10"/>
    </row>
    <row r="359" spans="1:10" s="9" customFormat="1" ht="13.2">
      <c r="A359" s="6"/>
      <c r="B359" s="6"/>
      <c r="C359" s="6"/>
      <c r="D359" s="6"/>
      <c r="E359" s="6"/>
      <c r="F359" s="10"/>
      <c r="G359" s="10"/>
      <c r="H359" s="10"/>
      <c r="I359" s="10"/>
      <c r="J359" s="10"/>
    </row>
    <row r="360" spans="1:10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</row>
    <row r="361" spans="1:10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</row>
    <row r="362" spans="1:10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</row>
    <row r="363" spans="1:10" s="9" customFormat="1" ht="13.2">
      <c r="A363" s="6"/>
      <c r="B363" s="6"/>
      <c r="C363" s="6"/>
      <c r="D363" s="6"/>
      <c r="E363" s="6"/>
      <c r="F363" s="10"/>
      <c r="G363" s="10"/>
      <c r="H363" s="10"/>
      <c r="I363" s="10"/>
      <c r="J363" s="10"/>
    </row>
    <row r="364" spans="1:10" s="9" customFormat="1" ht="13.2">
      <c r="A364" s="6"/>
      <c r="B364" s="6"/>
      <c r="C364" s="6"/>
      <c r="D364" s="6"/>
      <c r="E364" s="6"/>
      <c r="F364" s="10"/>
      <c r="G364" s="10"/>
      <c r="H364" s="10"/>
      <c r="I364" s="10"/>
      <c r="J364" s="10"/>
    </row>
    <row r="365" spans="1:10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</row>
    <row r="366" spans="1:10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</row>
    <row r="367" spans="1:10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</row>
    <row r="368" spans="1:10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</row>
    <row r="369" spans="1:10" s="9" customFormat="1" ht="13.2">
      <c r="A369" s="6"/>
      <c r="B369" s="6"/>
      <c r="C369" s="6"/>
      <c r="D369" s="6"/>
      <c r="E369" s="6"/>
      <c r="F369" s="12"/>
      <c r="G369" s="12"/>
      <c r="H369" s="12"/>
      <c r="I369" s="12"/>
      <c r="J369" s="12"/>
    </row>
    <row r="370" spans="1:10" s="9" customFormat="1" ht="13.2">
      <c r="A370" s="13"/>
      <c r="B370" s="13"/>
      <c r="C370" s="13"/>
      <c r="D370" s="13"/>
      <c r="E370" s="13"/>
      <c r="F370" s="12"/>
      <c r="G370" s="12"/>
      <c r="H370" s="12"/>
      <c r="I370" s="12"/>
      <c r="J370" s="12"/>
    </row>
    <row r="371" spans="1:10" s="9" customFormat="1" ht="13.2">
      <c r="A371" s="13"/>
      <c r="B371" s="13"/>
      <c r="C371" s="13"/>
      <c r="D371" s="13"/>
      <c r="E371" s="13"/>
      <c r="F371" s="12"/>
      <c r="G371" s="12"/>
      <c r="H371" s="12"/>
      <c r="I371" s="12"/>
      <c r="J371" s="12"/>
    </row>
    <row r="372" spans="1:10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1"/>
      <c r="G378" s="11"/>
      <c r="H378" s="11"/>
      <c r="I378" s="11"/>
      <c r="J378" s="11"/>
    </row>
    <row r="379" spans="1:10" s="9" customFormat="1" ht="13.2">
      <c r="A379" s="13"/>
      <c r="B379" s="13"/>
      <c r="C379" s="13"/>
      <c r="D379" s="13"/>
      <c r="E379" s="13"/>
      <c r="F379" s="11"/>
      <c r="G379" s="11"/>
      <c r="H379" s="11"/>
      <c r="I379" s="11"/>
      <c r="J379" s="11"/>
    </row>
    <row r="380" spans="1:10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2"/>
      <c r="G382" s="12"/>
      <c r="H382" s="12"/>
      <c r="I382" s="12"/>
      <c r="J382" s="12"/>
    </row>
    <row r="383" spans="1:10" s="9" customFormat="1" ht="13.2">
      <c r="A383" s="13"/>
      <c r="B383" s="13"/>
      <c r="C383" s="13"/>
      <c r="D383" s="13"/>
      <c r="E383" s="13"/>
      <c r="F383" s="12"/>
      <c r="G383" s="12"/>
      <c r="H383" s="12"/>
      <c r="I383" s="12"/>
      <c r="J383" s="12"/>
    </row>
    <row r="384" spans="1:10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</row>
    <row r="385" spans="1:10" s="9" customFormat="1" ht="13.2">
      <c r="A385" s="13"/>
      <c r="B385" s="13"/>
      <c r="C385" s="13"/>
      <c r="D385" s="13"/>
      <c r="E385" s="13"/>
      <c r="F385" s="8"/>
      <c r="G385" s="8"/>
      <c r="H385" s="8"/>
      <c r="I385" s="8"/>
      <c r="J385" s="8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</row>
    <row r="388" spans="1:10" s="9" customFormat="1" ht="13.2">
      <c r="A388" s="13"/>
      <c r="B388" s="13"/>
      <c r="C388" s="13"/>
      <c r="D388" s="13"/>
      <c r="E388" s="13"/>
      <c r="F388" s="14"/>
      <c r="G388" s="14"/>
      <c r="H388" s="14"/>
      <c r="I388" s="14"/>
      <c r="J388" s="14"/>
    </row>
    <row r="389" spans="1:10" s="9" customFormat="1" ht="13.2">
      <c r="A389" s="13"/>
      <c r="B389" s="13"/>
      <c r="C389" s="13"/>
      <c r="D389" s="13"/>
      <c r="E389" s="13"/>
      <c r="F389" s="14"/>
      <c r="G389" s="14"/>
      <c r="H389" s="14"/>
      <c r="I389" s="14"/>
      <c r="J389" s="14"/>
    </row>
    <row r="390" spans="1:10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0"/>
      <c r="G395" s="10"/>
      <c r="H395" s="10"/>
      <c r="I395" s="10"/>
      <c r="J395" s="10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4"/>
      <c r="G397" s="14"/>
      <c r="H397" s="14"/>
      <c r="I397" s="14"/>
      <c r="J397" s="14"/>
    </row>
    <row r="398" spans="1:10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</row>
    <row r="399" spans="1:10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10"/>
      <c r="G401" s="10"/>
      <c r="H401" s="10"/>
      <c r="I401" s="10"/>
      <c r="J401" s="10"/>
    </row>
    <row r="402" spans="1:10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</row>
    <row r="403" spans="1:10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</row>
    <row r="404" spans="1:10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</row>
    <row r="409" spans="1:10" s="9" customFormat="1" ht="13.2">
      <c r="A409" s="13"/>
      <c r="B409" s="13"/>
      <c r="C409" s="13"/>
      <c r="D409" s="13"/>
      <c r="E409" s="13"/>
      <c r="F409" s="8"/>
      <c r="G409" s="8"/>
      <c r="H409" s="8"/>
      <c r="I409" s="8"/>
      <c r="J409" s="8"/>
    </row>
    <row r="410" spans="1:10" s="9" customFormat="1" ht="13.2">
      <c r="A410" s="13"/>
      <c r="B410" s="13"/>
      <c r="C410" s="13"/>
      <c r="D410" s="13"/>
      <c r="E410" s="13"/>
      <c r="F410" s="8"/>
      <c r="G410" s="8"/>
      <c r="H410" s="8"/>
      <c r="I410" s="8"/>
      <c r="J410" s="8"/>
    </row>
    <row r="411" spans="1:10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</row>
    <row r="416" spans="1:10" s="9" customFormat="1" ht="13.2">
      <c r="A416" s="13"/>
      <c r="B416" s="13"/>
      <c r="C416" s="13"/>
      <c r="D416" s="13"/>
      <c r="E416" s="13"/>
      <c r="F416" s="10"/>
      <c r="G416" s="10"/>
      <c r="H416" s="10"/>
      <c r="I416" s="10"/>
      <c r="J416" s="10"/>
    </row>
    <row r="417" spans="1:10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</row>
    <row r="420" spans="1:10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</row>
    <row r="421" spans="1:10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</row>
    <row r="422" spans="1:10" s="9" customFormat="1" ht="13.2">
      <c r="A422" s="13"/>
      <c r="B422" s="13"/>
      <c r="C422" s="13"/>
      <c r="D422" s="13"/>
      <c r="E422" s="13"/>
      <c r="F422" s="8"/>
      <c r="G422" s="8"/>
      <c r="H422" s="8"/>
      <c r="I422" s="8"/>
      <c r="J422" s="8"/>
    </row>
    <row r="423" spans="1:10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</row>
    <row r="424" spans="1:10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</row>
    <row r="425" spans="1:10" s="9" customFormat="1" ht="13.2">
      <c r="A425" s="13"/>
      <c r="B425" s="13"/>
      <c r="C425" s="13"/>
      <c r="D425" s="13"/>
      <c r="E425" s="13"/>
      <c r="F425" s="12"/>
      <c r="G425" s="12"/>
      <c r="H425" s="12"/>
      <c r="I425" s="12"/>
      <c r="J425" s="12"/>
    </row>
    <row r="426" spans="1:10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</row>
    <row r="427" spans="1:10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</row>
    <row r="428" spans="1:10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11"/>
      <c r="G432" s="11"/>
      <c r="H432" s="11"/>
      <c r="I432" s="11"/>
      <c r="J432" s="11"/>
    </row>
    <row r="433" spans="1:10" s="9" customFormat="1" ht="13.2">
      <c r="A433" s="13"/>
      <c r="B433" s="13"/>
      <c r="C433" s="13"/>
      <c r="D433" s="13"/>
      <c r="E433" s="13"/>
      <c r="F433" s="11"/>
      <c r="G433" s="11"/>
      <c r="H433" s="11"/>
      <c r="I433" s="11"/>
      <c r="J433" s="11"/>
    </row>
    <row r="434" spans="1:10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5"/>
      <c r="B436" s="15"/>
      <c r="C436" s="15"/>
      <c r="D436" s="15"/>
      <c r="E436" s="15"/>
      <c r="F436" s="12"/>
      <c r="G436" s="12"/>
      <c r="H436" s="12"/>
      <c r="I436" s="12"/>
      <c r="J436" s="12"/>
    </row>
    <row r="437" spans="1:10" s="9" customFormat="1" ht="13.2">
      <c r="A437" s="15"/>
      <c r="B437" s="15"/>
      <c r="C437" s="15"/>
      <c r="D437" s="15"/>
      <c r="E437" s="15"/>
      <c r="F437" s="11"/>
      <c r="G437" s="11"/>
      <c r="H437" s="11"/>
      <c r="I437" s="11"/>
      <c r="J437" s="11"/>
    </row>
    <row r="438" spans="1:10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</row>
    <row r="439" spans="1:10" s="9" customFormat="1" ht="13.2">
      <c r="A439" s="15"/>
      <c r="B439" s="15"/>
      <c r="C439" s="15"/>
      <c r="D439" s="15"/>
      <c r="E439" s="15"/>
      <c r="F439" s="12"/>
      <c r="G439" s="12"/>
      <c r="H439" s="12"/>
      <c r="I439" s="12"/>
      <c r="J439" s="12"/>
    </row>
    <row r="440" spans="1:10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8"/>
      <c r="G444" s="8"/>
      <c r="H444" s="8"/>
      <c r="I444" s="8"/>
      <c r="J444" s="8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12"/>
      <c r="G446" s="12"/>
      <c r="H446" s="12"/>
      <c r="I446" s="12"/>
      <c r="J446" s="12"/>
    </row>
    <row r="447" spans="1:10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</row>
    <row r="448" spans="1:10" s="9" customFormat="1" ht="13.2">
      <c r="A448" s="15"/>
      <c r="B448" s="15"/>
      <c r="C448" s="15"/>
      <c r="D448" s="15"/>
      <c r="E448" s="15"/>
      <c r="F448" s="8"/>
      <c r="G448" s="8"/>
      <c r="H448" s="8"/>
      <c r="I448" s="8"/>
      <c r="J448" s="8"/>
    </row>
    <row r="449" spans="1:10" s="9" customFormat="1" ht="13.2">
      <c r="A449" s="15"/>
      <c r="B449" s="15"/>
      <c r="C449" s="15"/>
      <c r="D449" s="15"/>
      <c r="E449" s="15"/>
      <c r="F449" s="8"/>
      <c r="G449" s="8"/>
      <c r="H449" s="8"/>
      <c r="I449" s="8"/>
      <c r="J449" s="8"/>
    </row>
    <row r="450" spans="1:10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11"/>
      <c r="G454" s="11"/>
      <c r="H454" s="11"/>
      <c r="I454" s="11"/>
      <c r="J454" s="11"/>
    </row>
    <row r="455" spans="1:10" s="9" customFormat="1" ht="13.2">
      <c r="A455" s="15"/>
      <c r="B455" s="15"/>
      <c r="C455" s="15"/>
      <c r="D455" s="15"/>
      <c r="E455" s="15"/>
      <c r="F455" s="11"/>
      <c r="G455" s="11"/>
      <c r="H455" s="11"/>
      <c r="I455" s="11"/>
      <c r="J455" s="11"/>
    </row>
    <row r="456" spans="1:10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8"/>
      <c r="G460" s="8"/>
      <c r="H460" s="8"/>
      <c r="I460" s="8"/>
      <c r="J460" s="8"/>
    </row>
    <row r="461" spans="1:10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</row>
    <row r="462" spans="1:10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6"/>
      <c r="B467" s="6"/>
      <c r="C467" s="6"/>
      <c r="D467" s="6"/>
      <c r="E467" s="6"/>
      <c r="F467" s="12"/>
      <c r="G467" s="12"/>
      <c r="H467" s="12"/>
      <c r="I467" s="12"/>
      <c r="J467" s="12"/>
    </row>
    <row r="468" spans="1:10" s="9" customFormat="1" ht="13.2">
      <c r="A468" s="6"/>
      <c r="B468" s="6"/>
      <c r="C468" s="6"/>
      <c r="D468" s="6"/>
      <c r="E468" s="6"/>
      <c r="F468" s="12"/>
      <c r="G468" s="12"/>
      <c r="H468" s="12"/>
      <c r="I468" s="12"/>
      <c r="J468" s="12"/>
    </row>
    <row r="469" spans="1:10" s="9" customFormat="1" ht="13.2">
      <c r="A469" s="6"/>
      <c r="B469" s="6"/>
      <c r="C469" s="6"/>
      <c r="D469" s="6"/>
      <c r="E469" s="6"/>
      <c r="F469" s="11"/>
      <c r="G469" s="11"/>
      <c r="H469" s="11"/>
      <c r="I469" s="11"/>
      <c r="J469" s="11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8"/>
      <c r="G471" s="8"/>
      <c r="H471" s="8"/>
      <c r="I471" s="8"/>
      <c r="J471" s="8"/>
    </row>
    <row r="472" spans="1:10" s="9" customFormat="1" ht="13.2">
      <c r="A472" s="6"/>
      <c r="B472" s="6"/>
      <c r="C472" s="6"/>
      <c r="D472" s="6"/>
      <c r="E472" s="6"/>
      <c r="F472" s="8"/>
      <c r="G472" s="8"/>
      <c r="H472" s="8"/>
      <c r="I472" s="8"/>
      <c r="J472" s="8"/>
    </row>
    <row r="473" spans="1:10" s="9" customFormat="1" ht="13.2">
      <c r="A473" s="6"/>
      <c r="B473" s="6"/>
      <c r="C473" s="6"/>
      <c r="D473" s="6"/>
      <c r="E473" s="6"/>
      <c r="F473" s="11"/>
      <c r="G473" s="11"/>
      <c r="H473" s="11"/>
      <c r="I473" s="11"/>
      <c r="J473" s="11"/>
    </row>
    <row r="474" spans="1:10" s="9" customFormat="1" ht="13.2">
      <c r="A474" s="6"/>
      <c r="B474" s="6"/>
      <c r="C474" s="6"/>
      <c r="D474" s="6"/>
      <c r="E474" s="6"/>
      <c r="F474" s="12"/>
      <c r="G474" s="12"/>
      <c r="H474" s="12"/>
      <c r="I474" s="12"/>
      <c r="J474" s="12"/>
    </row>
    <row r="475" spans="1:10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</row>
    <row r="476" spans="1:10" s="9" customFormat="1" ht="13.2">
      <c r="A476" s="6"/>
      <c r="B476" s="6"/>
      <c r="C476" s="6"/>
      <c r="D476" s="6"/>
      <c r="E476" s="6"/>
      <c r="F476" s="11"/>
      <c r="G476" s="11"/>
      <c r="H476" s="11"/>
      <c r="I476" s="11"/>
      <c r="J476" s="11"/>
    </row>
    <row r="477" spans="1:10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8"/>
      <c r="G483" s="8"/>
      <c r="H483" s="8"/>
      <c r="I483" s="8"/>
      <c r="J483" s="8"/>
    </row>
    <row r="484" spans="1:10" s="9" customFormat="1" ht="13.2">
      <c r="A484" s="6"/>
      <c r="B484" s="6"/>
      <c r="C484" s="6"/>
      <c r="D484" s="6"/>
      <c r="E484" s="6"/>
      <c r="F484" s="8"/>
      <c r="G484" s="8"/>
      <c r="H484" s="8"/>
      <c r="I484" s="8"/>
      <c r="J484" s="8"/>
    </row>
    <row r="485" spans="1:10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12"/>
      <c r="G489" s="12"/>
      <c r="H489" s="12"/>
      <c r="I489" s="12"/>
      <c r="J489" s="12"/>
    </row>
    <row r="490" spans="1:10" s="9" customFormat="1" ht="13.2">
      <c r="A490" s="6"/>
      <c r="B490" s="6"/>
      <c r="C490" s="6"/>
      <c r="D490" s="6"/>
      <c r="E490" s="6"/>
      <c r="F490" s="10"/>
      <c r="G490" s="10"/>
      <c r="H490" s="10"/>
      <c r="I490" s="10"/>
      <c r="J490" s="10"/>
    </row>
    <row r="491" spans="1:10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</row>
    <row r="492" spans="1:10" s="9" customFormat="1" ht="13.2">
      <c r="A492" s="6"/>
      <c r="B492" s="6"/>
      <c r="C492" s="6"/>
      <c r="D492" s="6"/>
      <c r="E492" s="6"/>
      <c r="F492" s="12"/>
      <c r="G492" s="12"/>
      <c r="H492" s="12"/>
      <c r="I492" s="12"/>
      <c r="J492" s="12"/>
    </row>
    <row r="493" spans="1:10" s="9" customFormat="1" ht="13.2">
      <c r="A493" s="6"/>
      <c r="B493" s="6"/>
      <c r="C493" s="6"/>
      <c r="D493" s="6"/>
      <c r="E493" s="6"/>
      <c r="F493" s="8"/>
      <c r="G493" s="8"/>
      <c r="H493" s="8"/>
      <c r="I493" s="8"/>
      <c r="J493" s="8"/>
    </row>
    <row r="494" spans="1:10" s="9" customFormat="1" ht="13.2">
      <c r="A494" s="6"/>
      <c r="B494" s="6"/>
      <c r="C494" s="6"/>
      <c r="D494" s="6"/>
      <c r="E494" s="6"/>
      <c r="F494" s="8"/>
      <c r="G494" s="8"/>
      <c r="H494" s="8"/>
      <c r="I494" s="8"/>
      <c r="J494" s="8"/>
    </row>
    <row r="495" spans="1:10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</row>
    <row r="498" spans="1:10" s="9" customFormat="1" ht="13.2">
      <c r="A498" s="6"/>
      <c r="B498" s="6"/>
      <c r="C498" s="6"/>
      <c r="D498" s="6"/>
      <c r="E498" s="6"/>
      <c r="F498" s="12"/>
      <c r="G498" s="12"/>
      <c r="H498" s="12"/>
      <c r="I498" s="12"/>
      <c r="J498" s="12"/>
    </row>
    <row r="499" spans="1:10" s="9" customFormat="1" ht="13.2">
      <c r="A499" s="6"/>
      <c r="B499" s="6"/>
      <c r="C499" s="6"/>
      <c r="D499" s="6"/>
      <c r="E499" s="6"/>
      <c r="F499" s="10"/>
      <c r="G499" s="10"/>
      <c r="H499" s="10"/>
      <c r="I499" s="10"/>
      <c r="J499" s="10"/>
    </row>
    <row r="500" spans="1:10" s="9" customFormat="1" ht="13.2">
      <c r="A500" s="6"/>
      <c r="B500" s="6"/>
      <c r="C500" s="6"/>
      <c r="D500" s="6"/>
      <c r="E500" s="6"/>
      <c r="F500" s="11"/>
      <c r="G500" s="11"/>
      <c r="H500" s="11"/>
      <c r="I500" s="11"/>
      <c r="J500" s="11"/>
    </row>
    <row r="501" spans="1:10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</row>
    <row r="502" spans="1:10" s="9" customFormat="1" ht="13.2">
      <c r="A502" s="6"/>
      <c r="B502" s="6"/>
      <c r="C502" s="6"/>
      <c r="D502" s="6"/>
      <c r="E502" s="6"/>
      <c r="F502" s="7"/>
      <c r="G502" s="7"/>
      <c r="H502" s="7"/>
      <c r="I502" s="7"/>
      <c r="J502" s="7"/>
    </row>
    <row r="503" spans="1:10" s="9" customFormat="1" ht="13.2">
      <c r="A503" s="6"/>
      <c r="B503" s="6"/>
      <c r="C503" s="6"/>
      <c r="D503" s="6"/>
      <c r="E503" s="6"/>
      <c r="F503" s="7"/>
      <c r="G503" s="7"/>
      <c r="H503" s="7"/>
      <c r="I503" s="7"/>
      <c r="J503" s="7"/>
    </row>
    <row r="504" spans="1:10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8"/>
      <c r="G506" s="8"/>
      <c r="H506" s="8"/>
      <c r="I506" s="8"/>
      <c r="J506" s="8"/>
    </row>
    <row r="507" spans="1:10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</row>
    <row r="508" spans="1:10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12"/>
      <c r="G514" s="12"/>
      <c r="H514" s="12"/>
      <c r="I514" s="12"/>
      <c r="J514" s="12"/>
    </row>
    <row r="515" spans="1:10" s="9" customFormat="1" ht="13.2">
      <c r="A515" s="6"/>
      <c r="B515" s="6"/>
      <c r="C515" s="6"/>
      <c r="D515" s="6"/>
      <c r="E515" s="6"/>
      <c r="F515" s="11"/>
      <c r="G515" s="11"/>
      <c r="H515" s="11"/>
      <c r="I515" s="11"/>
      <c r="J515" s="11"/>
    </row>
    <row r="516" spans="1:10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</row>
    <row r="517" spans="1:10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</row>
    <row r="518" spans="1:10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</row>
    <row r="519" spans="1:10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</row>
    <row r="520" spans="1:10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</row>
    <row r="521" spans="1:10" s="9" customFormat="1" ht="13.2">
      <c r="A521" s="6"/>
      <c r="B521" s="6"/>
      <c r="C521" s="6"/>
      <c r="D521" s="6"/>
      <c r="E521" s="6"/>
      <c r="F521" s="12"/>
      <c r="G521" s="12"/>
      <c r="H521" s="12"/>
      <c r="I521" s="12"/>
      <c r="J521" s="12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</row>
    <row r="524" spans="1:10" s="9" customFormat="1" ht="13.2">
      <c r="A524" s="6"/>
      <c r="B524" s="6"/>
      <c r="C524" s="6"/>
      <c r="D524" s="6"/>
      <c r="E524" s="6"/>
      <c r="F524" s="11"/>
      <c r="G524" s="11"/>
      <c r="H524" s="11"/>
      <c r="I524" s="11"/>
      <c r="J524" s="11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</row>
    <row r="527" spans="1:10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</row>
    <row r="528" spans="1:10" s="9" customFormat="1" ht="13.2">
      <c r="A528" s="6"/>
      <c r="B528" s="6"/>
      <c r="C528" s="6"/>
      <c r="D528" s="6"/>
      <c r="E528" s="6"/>
      <c r="F528" s="11"/>
      <c r="G528" s="11"/>
      <c r="H528" s="11"/>
      <c r="I528" s="11"/>
      <c r="J528" s="11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</row>
    <row r="531" spans="1:10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10"/>
      <c r="G535" s="10"/>
      <c r="H535" s="10"/>
      <c r="I535" s="10"/>
      <c r="J535" s="10"/>
    </row>
    <row r="536" spans="1:10" s="9" customFormat="1" ht="13.2">
      <c r="A536" s="6"/>
      <c r="B536" s="6"/>
      <c r="C536" s="6"/>
      <c r="D536" s="6"/>
      <c r="E536" s="6"/>
      <c r="F536" s="11"/>
      <c r="G536" s="11"/>
      <c r="H536" s="11"/>
      <c r="I536" s="11"/>
      <c r="J536" s="11"/>
    </row>
    <row r="537" spans="1:10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</row>
    <row r="538" spans="1:10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</row>
    <row r="539" spans="1:10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</row>
    <row r="540" spans="1:10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</row>
    <row r="541" spans="1:10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</row>
    <row r="542" spans="1:10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</row>
    <row r="543" spans="1:10" s="9" customFormat="1" ht="13.2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</row>
    <row r="546" spans="1:10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</row>
    <row r="547" spans="1:10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</row>
    <row r="548" spans="1:10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7"/>
      <c r="G551" s="7"/>
      <c r="H551" s="7"/>
      <c r="I551" s="7"/>
      <c r="J551" s="7"/>
    </row>
    <row r="552" spans="1:10" s="9" customFormat="1" ht="13.2">
      <c r="A552" s="6"/>
      <c r="B552" s="6"/>
      <c r="C552" s="6"/>
      <c r="D552" s="6"/>
      <c r="E552" s="6"/>
      <c r="F552" s="7"/>
      <c r="G552" s="7"/>
      <c r="H552" s="7"/>
      <c r="I552" s="7"/>
      <c r="J552" s="7"/>
    </row>
    <row r="553" spans="1:10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</row>
    <row r="554" spans="1:10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</row>
    <row r="555" spans="1:10" s="9" customFormat="1" ht="13.2">
      <c r="A555" s="6"/>
      <c r="B555" s="6"/>
      <c r="C555" s="6"/>
      <c r="D555" s="6"/>
      <c r="E555" s="6"/>
      <c r="F555" s="7"/>
      <c r="G555" s="7"/>
      <c r="H555" s="7"/>
      <c r="I555" s="7"/>
      <c r="J555" s="7"/>
    </row>
    <row r="556" spans="1:10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</row>
    <row r="557" spans="1:10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</row>
    <row r="558" spans="1:10" s="9" customFormat="1" ht="13.2">
      <c r="A558" s="6"/>
      <c r="B558" s="6"/>
      <c r="C558" s="6"/>
      <c r="D558" s="6"/>
      <c r="E558" s="6"/>
      <c r="F558" s="7"/>
      <c r="G558" s="7"/>
      <c r="H558" s="7"/>
      <c r="I558" s="7"/>
      <c r="J558" s="7"/>
    </row>
    <row r="559" spans="1:10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</row>
    <row r="560" spans="1:10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</row>
    <row r="561" spans="1:10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</row>
    <row r="567" spans="1:10" s="9" customFormat="1" ht="13.2">
      <c r="A567" s="6"/>
      <c r="B567" s="6"/>
      <c r="C567" s="6"/>
      <c r="D567" s="6"/>
      <c r="E567" s="6"/>
      <c r="F567" s="7"/>
      <c r="G567" s="7"/>
      <c r="H567" s="7"/>
      <c r="I567" s="7"/>
      <c r="J567" s="7"/>
    </row>
    <row r="568" spans="1:10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</row>
    <row r="569" spans="1:10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</row>
    <row r="570" spans="1:10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10"/>
      <c r="G595" s="10"/>
      <c r="H595" s="10"/>
      <c r="I595" s="10"/>
      <c r="J595" s="10"/>
    </row>
    <row r="596" spans="1:10" s="9" customFormat="1" ht="13.2">
      <c r="A596" s="6"/>
      <c r="B596" s="6"/>
      <c r="C596" s="6"/>
      <c r="D596" s="6"/>
      <c r="E596" s="6"/>
      <c r="F596" s="10"/>
      <c r="G596" s="10"/>
      <c r="H596" s="10"/>
      <c r="I596" s="10"/>
      <c r="J596" s="10"/>
    </row>
    <row r="597" spans="1:10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</row>
    <row r="598" spans="1:10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</row>
    <row r="599" spans="1:10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</row>
    <row r="600" spans="1:10" s="9" customFormat="1" ht="13.2">
      <c r="A600" s="6"/>
      <c r="B600" s="6"/>
      <c r="C600" s="6"/>
      <c r="D600" s="6"/>
      <c r="E600" s="6"/>
      <c r="F600" s="10"/>
      <c r="G600" s="10"/>
      <c r="H600" s="10"/>
      <c r="I600" s="10"/>
      <c r="J600" s="10"/>
    </row>
    <row r="601" spans="1:10" s="9" customFormat="1" ht="13.2">
      <c r="A601" s="6"/>
      <c r="B601" s="6"/>
      <c r="C601" s="6"/>
      <c r="D601" s="6"/>
      <c r="E601" s="6"/>
      <c r="F601" s="10"/>
      <c r="G601" s="10"/>
      <c r="H601" s="10"/>
      <c r="I601" s="10"/>
      <c r="J601" s="10"/>
    </row>
    <row r="602" spans="1:10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</row>
    <row r="603" spans="1:10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</row>
    <row r="604" spans="1:10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</row>
    <row r="605" spans="1:10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</row>
    <row r="606" spans="1:10" s="9" customFormat="1" ht="13.2">
      <c r="A606" s="6"/>
      <c r="B606" s="6"/>
      <c r="C606" s="6"/>
      <c r="D606" s="6"/>
      <c r="E606" s="6"/>
      <c r="F606" s="12"/>
      <c r="G606" s="12"/>
      <c r="H606" s="12"/>
      <c r="I606" s="12"/>
      <c r="J606" s="12"/>
    </row>
    <row r="607" spans="1:10" s="9" customFormat="1" ht="13.2">
      <c r="A607" s="6"/>
      <c r="B607" s="6"/>
      <c r="C607" s="6"/>
      <c r="D607" s="6"/>
      <c r="E607" s="6"/>
      <c r="F607" s="12"/>
      <c r="G607" s="12"/>
      <c r="H607" s="12"/>
      <c r="I607" s="12"/>
      <c r="J607" s="12"/>
    </row>
    <row r="608" spans="1:10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s="9" customForma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</sheetData>
  <mergeCells count="130">
    <mergeCell ref="B3:H3"/>
    <mergeCell ref="K3:L3"/>
    <mergeCell ref="B4:H4"/>
    <mergeCell ref="K4:L4"/>
    <mergeCell ref="K5:L5"/>
    <mergeCell ref="K6:L6"/>
    <mergeCell ref="B5:H5"/>
    <mergeCell ref="B11:F11"/>
    <mergeCell ref="G11:I11"/>
    <mergeCell ref="B6:H6"/>
    <mergeCell ref="B12:F12"/>
    <mergeCell ref="G12:I12"/>
    <mergeCell ref="B13:F13"/>
    <mergeCell ref="G13:I13"/>
    <mergeCell ref="K8:L8"/>
    <mergeCell ref="A9:A10"/>
    <mergeCell ref="B9:F10"/>
    <mergeCell ref="G9:I10"/>
    <mergeCell ref="J9:K9"/>
    <mergeCell ref="L9:L10"/>
    <mergeCell ref="B17:F17"/>
    <mergeCell ref="G17:I17"/>
    <mergeCell ref="B18:F18"/>
    <mergeCell ref="G18:I18"/>
    <mergeCell ref="B19:F19"/>
    <mergeCell ref="G19:I19"/>
    <mergeCell ref="B14:F14"/>
    <mergeCell ref="G14:I14"/>
    <mergeCell ref="B15:F15"/>
    <mergeCell ref="G15:I15"/>
    <mergeCell ref="B16:F16"/>
    <mergeCell ref="G16:I16"/>
    <mergeCell ref="B23:F23"/>
    <mergeCell ref="G23:I23"/>
    <mergeCell ref="B24:F24"/>
    <mergeCell ref="G24:I24"/>
    <mergeCell ref="B25:F25"/>
    <mergeCell ref="G25:I25"/>
    <mergeCell ref="B20:F20"/>
    <mergeCell ref="G20:I20"/>
    <mergeCell ref="B21:F21"/>
    <mergeCell ref="G21:I21"/>
    <mergeCell ref="B22:F22"/>
    <mergeCell ref="G22:I22"/>
    <mergeCell ref="B29:F29"/>
    <mergeCell ref="G29:I29"/>
    <mergeCell ref="B30:F30"/>
    <mergeCell ref="G30:I30"/>
    <mergeCell ref="B31:F31"/>
    <mergeCell ref="B33:F33"/>
    <mergeCell ref="G33:H33"/>
    <mergeCell ref="B26:F26"/>
    <mergeCell ref="G26:I26"/>
    <mergeCell ref="B27:F27"/>
    <mergeCell ref="G27:I27"/>
    <mergeCell ref="B28:F28"/>
    <mergeCell ref="G28:I28"/>
    <mergeCell ref="B37:F37"/>
    <mergeCell ref="G37:H37"/>
    <mergeCell ref="B38:F38"/>
    <mergeCell ref="G38:I38"/>
    <mergeCell ref="A40:F40"/>
    <mergeCell ref="H40:L40"/>
    <mergeCell ref="B34:F34"/>
    <mergeCell ref="G34:H34"/>
    <mergeCell ref="B35:F35"/>
    <mergeCell ref="G35:H35"/>
    <mergeCell ref="B36:F36"/>
    <mergeCell ref="G36:H36"/>
    <mergeCell ref="A44:F44"/>
    <mergeCell ref="H44:L44"/>
    <mergeCell ref="A45:F45"/>
    <mergeCell ref="H45:L45"/>
    <mergeCell ref="A46:F46"/>
    <mergeCell ref="H46:L46"/>
    <mergeCell ref="A41:F41"/>
    <mergeCell ref="H41:L41"/>
    <mergeCell ref="A42:F42"/>
    <mergeCell ref="H42:L42"/>
    <mergeCell ref="A43:F43"/>
    <mergeCell ref="H43:L43"/>
    <mergeCell ref="A50:F50"/>
    <mergeCell ref="H50:L50"/>
    <mergeCell ref="H51:J51"/>
    <mergeCell ref="K51:L51"/>
    <mergeCell ref="A52:F52"/>
    <mergeCell ref="H52:I52"/>
    <mergeCell ref="A47:F47"/>
    <mergeCell ref="H47:L47"/>
    <mergeCell ref="A48:F48"/>
    <mergeCell ref="H48:L48"/>
    <mergeCell ref="A49:F49"/>
    <mergeCell ref="H49:L49"/>
    <mergeCell ref="A56:F56"/>
    <mergeCell ref="H56:I56"/>
    <mergeCell ref="A57:F57"/>
    <mergeCell ref="H57:I57"/>
    <mergeCell ref="A58:F58"/>
    <mergeCell ref="H58:I58"/>
    <mergeCell ref="A53:F53"/>
    <mergeCell ref="H53:I53"/>
    <mergeCell ref="A54:F54"/>
    <mergeCell ref="H54:I54"/>
    <mergeCell ref="A55:F55"/>
    <mergeCell ref="H55:I55"/>
    <mergeCell ref="A72:B72"/>
    <mergeCell ref="D72:F72"/>
    <mergeCell ref="H72:J72"/>
    <mergeCell ref="K72:L72"/>
    <mergeCell ref="A73:B73"/>
    <mergeCell ref="D73:F73"/>
    <mergeCell ref="H73:J73"/>
    <mergeCell ref="J66:K66"/>
    <mergeCell ref="B67:C68"/>
    <mergeCell ref="D67:E68"/>
    <mergeCell ref="F67:G68"/>
    <mergeCell ref="H67:I68"/>
    <mergeCell ref="J67:K68"/>
    <mergeCell ref="A62:F62"/>
    <mergeCell ref="H62:I62"/>
    <mergeCell ref="B66:C66"/>
    <mergeCell ref="D66:E66"/>
    <mergeCell ref="F66:G66"/>
    <mergeCell ref="H66:I66"/>
    <mergeCell ref="A59:F59"/>
    <mergeCell ref="H59:I59"/>
    <mergeCell ref="A60:F60"/>
    <mergeCell ref="H60:I60"/>
    <mergeCell ref="A61:F61"/>
    <mergeCell ref="H61:I61"/>
  </mergeCells>
  <printOptions horizontalCentered="1"/>
  <pageMargins left="0.31496062992125984" right="0.31496062992125984" top="0.35433070866141736" bottom="0.35433070866141736" header="0.31496062992125984" footer="0.31496062992125984"/>
  <pageSetup paperSize="256" scale="5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pageSetUpPr fitToPage="1"/>
  </sheetPr>
  <dimension ref="A1:N621"/>
  <sheetViews>
    <sheetView view="pageBreakPreview" topLeftCell="A7" zoomScale="55" zoomScaleNormal="55" zoomScaleSheetLayoutView="55" zoomScalePageLayoutView="25" workbookViewId="0">
      <selection activeCell="A9" sqref="A9:L32"/>
    </sheetView>
  </sheetViews>
  <sheetFormatPr defaultColWidth="9.109375" defaultRowHeight="13.8"/>
  <cols>
    <col min="1" max="1" width="18.6640625" style="1" customWidth="1"/>
    <col min="2" max="2" width="19.44140625" style="1" customWidth="1"/>
    <col min="3" max="3" width="8.109375" style="1" customWidth="1"/>
    <col min="4" max="4" width="7.6640625" style="1" customWidth="1"/>
    <col min="5" max="5" width="11.109375" style="1" customWidth="1"/>
    <col min="6" max="6" width="25.109375" style="1" customWidth="1"/>
    <col min="7" max="7" width="7.5546875" style="1" customWidth="1"/>
    <col min="8" max="8" width="12.33203125" style="1" customWidth="1"/>
    <col min="9" max="9" width="8.5546875" style="1" customWidth="1"/>
    <col min="10" max="10" width="17.33203125" style="1" customWidth="1"/>
    <col min="11" max="11" width="17" style="1" customWidth="1"/>
    <col min="12" max="12" width="18.5546875" style="1" customWidth="1"/>
    <col min="13" max="13" width="9.109375" style="1"/>
    <col min="14" max="14" width="14" style="1" bestFit="1" customWidth="1"/>
    <col min="15" max="16384" width="9.109375" style="1"/>
  </cols>
  <sheetData>
    <row r="1" spans="1:12" ht="52.5" customHeight="1"/>
    <row r="2" spans="1:12" ht="14.25" customHeight="1">
      <c r="A2" s="40"/>
      <c r="B2" s="40"/>
      <c r="C2" s="40"/>
      <c r="D2" s="40"/>
      <c r="E2" s="40"/>
    </row>
    <row r="3" spans="1:12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555"/>
      <c r="L3" s="555"/>
    </row>
    <row r="4" spans="1:12" s="16" customFormat="1" ht="16.5" customHeight="1">
      <c r="A4" s="21" t="s">
        <v>2</v>
      </c>
      <c r="B4" s="324" t="s">
        <v>283</v>
      </c>
      <c r="C4" s="323"/>
      <c r="D4" s="323"/>
      <c r="E4" s="323"/>
      <c r="F4" s="323"/>
      <c r="G4" s="323"/>
      <c r="H4" s="323"/>
      <c r="J4" s="22"/>
      <c r="K4" s="555"/>
      <c r="L4" s="555"/>
    </row>
    <row r="5" spans="1:12" s="16" customFormat="1" ht="16.5" customHeight="1">
      <c r="A5" s="69"/>
      <c r="B5" s="324" t="s">
        <v>284</v>
      </c>
      <c r="C5" s="324"/>
      <c r="D5" s="324"/>
      <c r="E5" s="324"/>
      <c r="F5" s="324"/>
      <c r="G5" s="324"/>
      <c r="H5" s="324"/>
      <c r="I5" s="21" t="s">
        <v>5</v>
      </c>
      <c r="J5" s="22"/>
      <c r="K5" s="557" t="s">
        <v>271</v>
      </c>
      <c r="L5" s="557"/>
    </row>
    <row r="6" spans="1:12" s="16" customFormat="1" ht="16.5" customHeight="1">
      <c r="A6" s="22" t="s">
        <v>10</v>
      </c>
      <c r="B6" s="556" t="s">
        <v>285</v>
      </c>
      <c r="C6" s="556"/>
      <c r="D6" s="556"/>
      <c r="E6" s="556"/>
      <c r="F6" s="556"/>
      <c r="G6" s="556"/>
      <c r="H6" s="556"/>
      <c r="I6" s="21" t="s">
        <v>8</v>
      </c>
      <c r="J6" s="21"/>
      <c r="K6" s="669" t="e">
        <f>#REF!</f>
        <v>#REF!</v>
      </c>
      <c r="L6" s="669"/>
    </row>
    <row r="7" spans="1:12" s="16" customFormat="1" ht="16.5" customHeight="1">
      <c r="A7" s="22"/>
      <c r="J7" s="59"/>
      <c r="K7" s="62"/>
      <c r="L7" s="62"/>
    </row>
    <row r="8" spans="1:12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555"/>
      <c r="L8" s="555"/>
    </row>
    <row r="9" spans="1:12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5" t="s">
        <v>17</v>
      </c>
    </row>
    <row r="10" spans="1:12" s="2" customFormat="1" ht="16.5" customHeight="1">
      <c r="A10" s="702"/>
      <c r="B10" s="552"/>
      <c r="C10" s="552"/>
      <c r="D10" s="552"/>
      <c r="E10" s="552"/>
      <c r="F10" s="552"/>
      <c r="G10" s="552"/>
      <c r="H10" s="552"/>
      <c r="I10" s="552"/>
      <c r="J10" s="60" t="s">
        <v>18</v>
      </c>
      <c r="K10" s="20" t="s">
        <v>19</v>
      </c>
      <c r="L10" s="706"/>
    </row>
    <row r="11" spans="1:12" s="325" customFormat="1" ht="16.5" customHeight="1">
      <c r="A11" s="331" t="s">
        <v>274</v>
      </c>
      <c r="B11" s="698" t="s">
        <v>103</v>
      </c>
      <c r="C11" s="699"/>
      <c r="D11" s="699"/>
      <c r="E11" s="699"/>
      <c r="F11" s="699"/>
      <c r="G11" s="699"/>
      <c r="H11" s="699"/>
      <c r="I11" s="699"/>
      <c r="J11" s="699"/>
      <c r="K11" s="699"/>
      <c r="L11" s="700"/>
    </row>
    <row r="12" spans="1:12" s="18" customFormat="1" ht="16.5" customHeight="1">
      <c r="A12" s="332" t="s">
        <v>275</v>
      </c>
      <c r="B12" s="695" t="s">
        <v>262</v>
      </c>
      <c r="C12" s="696"/>
      <c r="D12" s="696"/>
      <c r="E12" s="696"/>
      <c r="F12" s="697"/>
      <c r="G12" s="685"/>
      <c r="H12" s="685"/>
      <c r="I12" s="685"/>
      <c r="J12" s="335"/>
      <c r="K12" s="336"/>
      <c r="L12" s="351" t="s">
        <v>106</v>
      </c>
    </row>
    <row r="13" spans="1:12" s="326" customFormat="1" ht="16.5" customHeight="1">
      <c r="A13" s="332" t="s">
        <v>107</v>
      </c>
      <c r="B13" s="695" t="s">
        <v>108</v>
      </c>
      <c r="C13" s="696"/>
      <c r="D13" s="696"/>
      <c r="E13" s="696"/>
      <c r="F13" s="697"/>
      <c r="G13" s="685"/>
      <c r="H13" s="685"/>
      <c r="I13" s="685"/>
      <c r="J13" s="335"/>
      <c r="K13" s="336"/>
      <c r="L13" s="351" t="s">
        <v>263</v>
      </c>
    </row>
    <row r="14" spans="1:12" s="326" customFormat="1" ht="16.5" customHeight="1">
      <c r="A14" s="332" t="s">
        <v>111</v>
      </c>
      <c r="B14" s="695" t="s">
        <v>264</v>
      </c>
      <c r="C14" s="696"/>
      <c r="D14" s="696"/>
      <c r="E14" s="696"/>
      <c r="F14" s="697"/>
      <c r="G14" s="689"/>
      <c r="H14" s="690"/>
      <c r="I14" s="691"/>
      <c r="J14" s="335"/>
      <c r="K14" s="336"/>
      <c r="L14" s="351" t="s">
        <v>263</v>
      </c>
    </row>
    <row r="15" spans="1:12" s="325" customFormat="1" ht="16.2" customHeight="1">
      <c r="A15" s="334" t="s">
        <v>276</v>
      </c>
      <c r="B15" s="692" t="s">
        <v>114</v>
      </c>
      <c r="C15" s="693"/>
      <c r="D15" s="693"/>
      <c r="E15" s="693"/>
      <c r="F15" s="693"/>
      <c r="G15" s="693"/>
      <c r="H15" s="693"/>
      <c r="I15" s="693"/>
      <c r="J15" s="693"/>
      <c r="K15" s="693"/>
      <c r="L15" s="694"/>
    </row>
    <row r="16" spans="1:12" s="326" customFormat="1" ht="16.5" customHeight="1">
      <c r="A16" s="345" t="s">
        <v>115</v>
      </c>
      <c r="B16" s="686" t="s">
        <v>286</v>
      </c>
      <c r="C16" s="687"/>
      <c r="D16" s="687"/>
      <c r="E16" s="687"/>
      <c r="F16" s="688"/>
      <c r="G16" s="685"/>
      <c r="H16" s="685"/>
      <c r="I16" s="685"/>
      <c r="J16" s="336"/>
      <c r="K16" s="336"/>
      <c r="L16" s="351" t="s">
        <v>265</v>
      </c>
    </row>
    <row r="17" spans="1:12" s="18" customFormat="1" ht="16.5" customHeight="1">
      <c r="A17" s="345" t="s">
        <v>277</v>
      </c>
      <c r="B17" s="686" t="s">
        <v>287</v>
      </c>
      <c r="C17" s="687"/>
      <c r="D17" s="687"/>
      <c r="E17" s="687"/>
      <c r="F17" s="688"/>
      <c r="G17" s="685"/>
      <c r="H17" s="685"/>
      <c r="I17" s="685"/>
      <c r="J17" s="336"/>
      <c r="K17" s="336"/>
      <c r="L17" s="351" t="s">
        <v>265</v>
      </c>
    </row>
    <row r="18" spans="1:12" s="326" customFormat="1" ht="16.5" customHeight="1">
      <c r="A18" s="345" t="s">
        <v>288</v>
      </c>
      <c r="B18" s="686" t="s">
        <v>289</v>
      </c>
      <c r="C18" s="687"/>
      <c r="D18" s="687"/>
      <c r="E18" s="687"/>
      <c r="F18" s="688"/>
      <c r="G18" s="685"/>
      <c r="H18" s="685"/>
      <c r="I18" s="685"/>
      <c r="J18" s="336"/>
      <c r="K18" s="336"/>
      <c r="L18" s="351" t="s">
        <v>21</v>
      </c>
    </row>
    <row r="19" spans="1:12" s="18" customFormat="1" ht="16.5" customHeight="1">
      <c r="A19" s="334" t="s">
        <v>278</v>
      </c>
      <c r="B19" s="692" t="s">
        <v>290</v>
      </c>
      <c r="C19" s="693"/>
      <c r="D19" s="693"/>
      <c r="E19" s="693"/>
      <c r="F19" s="693"/>
      <c r="G19" s="693"/>
      <c r="H19" s="693"/>
      <c r="I19" s="693"/>
      <c r="J19" s="693"/>
      <c r="K19" s="693"/>
      <c r="L19" s="694"/>
    </row>
    <row r="20" spans="1:12" s="326" customFormat="1" ht="16.5" customHeight="1">
      <c r="A20" s="332" t="s">
        <v>124</v>
      </c>
      <c r="B20" s="686" t="s">
        <v>279</v>
      </c>
      <c r="C20" s="687"/>
      <c r="D20" s="687"/>
      <c r="E20" s="687"/>
      <c r="F20" s="688"/>
      <c r="G20" s="685"/>
      <c r="H20" s="685"/>
      <c r="I20" s="685"/>
      <c r="J20" s="336"/>
      <c r="K20" s="336"/>
      <c r="L20" s="351" t="s">
        <v>265</v>
      </c>
    </row>
    <row r="21" spans="1:12" s="18" customFormat="1" ht="16.5" customHeight="1">
      <c r="A21" s="334" t="s">
        <v>280</v>
      </c>
      <c r="B21" s="692" t="s">
        <v>290</v>
      </c>
      <c r="C21" s="693"/>
      <c r="D21" s="693"/>
      <c r="E21" s="693"/>
      <c r="F21" s="693"/>
      <c r="G21" s="693"/>
      <c r="H21" s="693"/>
      <c r="I21" s="693"/>
      <c r="J21" s="693"/>
      <c r="K21" s="693"/>
      <c r="L21" s="694"/>
    </row>
    <row r="22" spans="1:12" s="18" customFormat="1" ht="16.5" customHeight="1">
      <c r="A22" s="332" t="s">
        <v>291</v>
      </c>
      <c r="B22" s="686" t="s">
        <v>292</v>
      </c>
      <c r="C22" s="687"/>
      <c r="D22" s="687"/>
      <c r="E22" s="687"/>
      <c r="F22" s="688"/>
      <c r="G22" s="689"/>
      <c r="H22" s="690"/>
      <c r="I22" s="691"/>
      <c r="J22" s="336"/>
      <c r="K22" s="336"/>
      <c r="L22" s="351" t="s">
        <v>21</v>
      </c>
    </row>
    <row r="23" spans="1:12" s="18" customFormat="1" ht="16.5" customHeight="1">
      <c r="A23" s="332"/>
      <c r="B23" s="337"/>
      <c r="C23" s="338"/>
      <c r="D23" s="338"/>
      <c r="E23" s="338"/>
      <c r="F23" s="339"/>
      <c r="G23" s="340"/>
      <c r="H23" s="341"/>
      <c r="I23" s="342"/>
      <c r="J23" s="336"/>
      <c r="K23" s="336"/>
      <c r="L23" s="351"/>
    </row>
    <row r="24" spans="1:12" s="18" customFormat="1" ht="16.5" customHeight="1">
      <c r="A24" s="332"/>
      <c r="B24" s="337"/>
      <c r="C24" s="338"/>
      <c r="D24" s="338"/>
      <c r="E24" s="338"/>
      <c r="F24" s="339"/>
      <c r="G24" s="340"/>
      <c r="H24" s="341"/>
      <c r="I24" s="342"/>
      <c r="J24" s="336"/>
      <c r="K24" s="336"/>
      <c r="L24" s="351"/>
    </row>
    <row r="25" spans="1:12" s="18" customFormat="1" ht="16.5" customHeight="1">
      <c r="A25" s="332"/>
      <c r="B25" s="337"/>
      <c r="C25" s="338"/>
      <c r="D25" s="338"/>
      <c r="E25" s="338"/>
      <c r="F25" s="339"/>
      <c r="G25" s="340"/>
      <c r="H25" s="341"/>
      <c r="I25" s="342"/>
      <c r="J25" s="336"/>
      <c r="K25" s="336"/>
      <c r="L25" s="351"/>
    </row>
    <row r="26" spans="1:12" s="18" customFormat="1" ht="16.5" customHeight="1">
      <c r="A26" s="332"/>
      <c r="B26" s="337"/>
      <c r="C26" s="338"/>
      <c r="D26" s="338"/>
      <c r="E26" s="338"/>
      <c r="F26" s="339"/>
      <c r="G26" s="340"/>
      <c r="H26" s="341"/>
      <c r="I26" s="342"/>
      <c r="J26" s="336"/>
      <c r="K26" s="336"/>
      <c r="L26" s="351"/>
    </row>
    <row r="27" spans="1:12" s="18" customFormat="1" ht="16.5" customHeight="1">
      <c r="A27" s="332"/>
      <c r="B27" s="337"/>
      <c r="C27" s="338"/>
      <c r="D27" s="338"/>
      <c r="E27" s="338"/>
      <c r="F27" s="339"/>
      <c r="G27" s="340"/>
      <c r="H27" s="341"/>
      <c r="I27" s="342"/>
      <c r="J27" s="336"/>
      <c r="K27" s="336"/>
      <c r="L27" s="351"/>
    </row>
    <row r="28" spans="1:12" s="18" customFormat="1" ht="16.5" customHeight="1">
      <c r="A28" s="332"/>
      <c r="B28" s="337"/>
      <c r="C28" s="338"/>
      <c r="D28" s="338"/>
      <c r="E28" s="338"/>
      <c r="F28" s="339"/>
      <c r="G28" s="340"/>
      <c r="H28" s="341"/>
      <c r="I28" s="342"/>
      <c r="J28" s="336"/>
      <c r="K28" s="336"/>
      <c r="L28" s="351"/>
    </row>
    <row r="29" spans="1:12" s="18" customFormat="1" ht="16.5" customHeight="1">
      <c r="A29" s="332"/>
      <c r="B29" s="337"/>
      <c r="C29" s="338"/>
      <c r="D29" s="338"/>
      <c r="E29" s="338"/>
      <c r="F29" s="339"/>
      <c r="G29" s="340"/>
      <c r="H29" s="341"/>
      <c r="I29" s="342"/>
      <c r="J29" s="336"/>
      <c r="K29" s="336"/>
      <c r="L29" s="351"/>
    </row>
    <row r="30" spans="1:12" s="18" customFormat="1" ht="16.5" customHeight="1">
      <c r="A30" s="332"/>
      <c r="B30" s="337"/>
      <c r="C30" s="338"/>
      <c r="D30" s="338"/>
      <c r="E30" s="338"/>
      <c r="F30" s="339"/>
      <c r="G30" s="340"/>
      <c r="H30" s="341"/>
      <c r="I30" s="342"/>
      <c r="J30" s="336"/>
      <c r="K30" s="336"/>
      <c r="L30" s="351"/>
    </row>
    <row r="31" spans="1:12" s="325" customFormat="1" ht="16.5" customHeight="1">
      <c r="A31" s="352"/>
      <c r="B31" s="682"/>
      <c r="C31" s="683"/>
      <c r="D31" s="683"/>
      <c r="E31" s="683"/>
      <c r="F31" s="684"/>
      <c r="G31" s="685"/>
      <c r="H31" s="685"/>
      <c r="I31" s="685"/>
      <c r="J31" s="336"/>
      <c r="K31" s="336"/>
      <c r="L31" s="353"/>
    </row>
    <row r="32" spans="1:12" s="326" customFormat="1" ht="17.399999999999999" customHeight="1" thickBot="1">
      <c r="A32" s="354"/>
      <c r="B32" s="676"/>
      <c r="C32" s="677"/>
      <c r="D32" s="677"/>
      <c r="E32" s="677"/>
      <c r="F32" s="678"/>
      <c r="G32" s="679"/>
      <c r="H32" s="680"/>
      <c r="I32" s="681"/>
      <c r="J32" s="355"/>
      <c r="K32" s="355"/>
      <c r="L32" s="356"/>
    </row>
    <row r="33" spans="1:12" s="18" customFormat="1" ht="16.5" customHeight="1">
      <c r="A33" s="66"/>
      <c r="B33" s="566"/>
      <c r="C33" s="566"/>
      <c r="D33" s="566"/>
      <c r="E33" s="566"/>
      <c r="F33" s="566"/>
      <c r="G33" s="66"/>
      <c r="H33" s="41"/>
      <c r="I33" s="41"/>
      <c r="J33" s="42"/>
      <c r="K33" s="43"/>
      <c r="L33" s="3"/>
    </row>
    <row r="34" spans="1:12" s="18" customFormat="1" ht="16.5" customHeight="1">
      <c r="A34" s="26" t="s">
        <v>23</v>
      </c>
      <c r="B34" s="67"/>
      <c r="C34" s="67"/>
      <c r="D34" s="67"/>
      <c r="E34" s="67"/>
      <c r="F34" s="17"/>
      <c r="G34" s="17"/>
      <c r="H34" s="17"/>
      <c r="I34" s="17"/>
      <c r="J34" s="17"/>
      <c r="K34" s="3"/>
      <c r="L34" s="3"/>
    </row>
    <row r="35" spans="1:12" s="25" customFormat="1" ht="16.5" customHeight="1">
      <c r="A35" s="19" t="s">
        <v>13</v>
      </c>
      <c r="B35" s="567" t="s">
        <v>14</v>
      </c>
      <c r="C35" s="567"/>
      <c r="D35" s="567"/>
      <c r="E35" s="567"/>
      <c r="F35" s="567"/>
      <c r="G35" s="568" t="s">
        <v>24</v>
      </c>
      <c r="H35" s="568"/>
      <c r="I35" s="63" t="s">
        <v>17</v>
      </c>
      <c r="J35" s="60" t="s">
        <v>25</v>
      </c>
      <c r="K35" s="60" t="s">
        <v>26</v>
      </c>
      <c r="L35" s="60" t="s">
        <v>27</v>
      </c>
    </row>
    <row r="36" spans="1:12" s="18" customFormat="1" ht="16.5" customHeight="1">
      <c r="A36" s="317"/>
      <c r="B36" s="563"/>
      <c r="C36" s="563"/>
      <c r="D36" s="563"/>
      <c r="E36" s="563"/>
      <c r="F36" s="563"/>
      <c r="G36" s="564"/>
      <c r="H36" s="564"/>
      <c r="I36" s="64"/>
      <c r="J36" s="64"/>
      <c r="K36" s="55"/>
      <c r="L36" s="55"/>
    </row>
    <row r="37" spans="1:12" s="52" customFormat="1" ht="16.5" customHeight="1">
      <c r="A37" s="79"/>
      <c r="B37" s="563"/>
      <c r="C37" s="563"/>
      <c r="D37" s="563"/>
      <c r="E37" s="563"/>
      <c r="F37" s="563"/>
      <c r="G37" s="564"/>
      <c r="H37" s="564"/>
      <c r="I37" s="64"/>
      <c r="J37" s="64"/>
      <c r="K37" s="55"/>
      <c r="L37" s="55"/>
    </row>
    <row r="38" spans="1:12" s="52" customFormat="1" ht="16.5" customHeight="1">
      <c r="A38" s="79"/>
      <c r="B38" s="563"/>
      <c r="C38" s="563"/>
      <c r="D38" s="563"/>
      <c r="E38" s="563"/>
      <c r="F38" s="563"/>
      <c r="G38" s="564"/>
      <c r="H38" s="564"/>
      <c r="I38" s="64"/>
      <c r="J38" s="64"/>
      <c r="K38" s="55"/>
      <c r="L38" s="55"/>
    </row>
    <row r="39" spans="1:12" s="52" customFormat="1" ht="16.5" customHeight="1">
      <c r="A39" s="79"/>
      <c r="B39" s="563"/>
      <c r="C39" s="563"/>
      <c r="D39" s="563"/>
      <c r="E39" s="563"/>
      <c r="F39" s="563"/>
      <c r="G39" s="564"/>
      <c r="H39" s="564"/>
      <c r="I39" s="64"/>
      <c r="J39" s="64"/>
      <c r="K39" s="55"/>
      <c r="L39" s="55"/>
    </row>
    <row r="40" spans="1:12" s="52" customFormat="1" ht="16.5" customHeight="1">
      <c r="A40" s="32"/>
      <c r="B40" s="565"/>
      <c r="C40" s="565"/>
      <c r="D40" s="565"/>
      <c r="E40" s="565"/>
      <c r="F40" s="565"/>
      <c r="G40" s="565"/>
      <c r="H40" s="565"/>
      <c r="I40" s="565"/>
      <c r="J40" s="17"/>
      <c r="K40" s="3"/>
      <c r="L40" s="3"/>
    </row>
    <row r="41" spans="1:12" s="51" customFormat="1" ht="16.5" customHeight="1">
      <c r="A41" s="34" t="s">
        <v>28</v>
      </c>
      <c r="B41" s="34"/>
      <c r="C41" s="34"/>
      <c r="D41" s="34"/>
      <c r="E41" s="34"/>
      <c r="F41" s="17"/>
      <c r="G41" s="38"/>
      <c r="H41" s="36" t="s">
        <v>29</v>
      </c>
      <c r="I41" s="34"/>
      <c r="J41" s="34"/>
      <c r="K41" s="34"/>
      <c r="L41" s="34"/>
    </row>
    <row r="42" spans="1:12" s="51" customFormat="1" ht="16.5" customHeight="1">
      <c r="A42" s="569"/>
      <c r="B42" s="569"/>
      <c r="C42" s="569"/>
      <c r="D42" s="569"/>
      <c r="E42" s="569"/>
      <c r="F42" s="569"/>
      <c r="G42" s="56"/>
      <c r="H42" s="569"/>
      <c r="I42" s="569"/>
      <c r="J42" s="569"/>
      <c r="K42" s="569"/>
      <c r="L42" s="569"/>
    </row>
    <row r="43" spans="1:12" s="51" customFormat="1" ht="16.5" customHeight="1">
      <c r="A43" s="571"/>
      <c r="B43" s="571"/>
      <c r="C43" s="571"/>
      <c r="D43" s="571"/>
      <c r="E43" s="571"/>
      <c r="F43" s="571"/>
      <c r="G43" s="56"/>
      <c r="H43" s="569"/>
      <c r="I43" s="569"/>
      <c r="J43" s="569"/>
      <c r="K43" s="569"/>
      <c r="L43" s="569"/>
    </row>
    <row r="44" spans="1:12" s="51" customFormat="1" ht="16.5" customHeight="1">
      <c r="A44" s="571"/>
      <c r="B44" s="571"/>
      <c r="C44" s="571"/>
      <c r="D44" s="571"/>
      <c r="E44" s="571"/>
      <c r="F44" s="571"/>
      <c r="G44" s="57"/>
      <c r="H44" s="569"/>
      <c r="I44" s="569"/>
      <c r="J44" s="569"/>
      <c r="K44" s="569"/>
      <c r="L44" s="569"/>
    </row>
    <row r="45" spans="1:12" s="51" customFormat="1" ht="16.5" customHeight="1">
      <c r="A45" s="569"/>
      <c r="B45" s="569"/>
      <c r="C45" s="569"/>
      <c r="D45" s="569"/>
      <c r="E45" s="569"/>
      <c r="F45" s="569"/>
      <c r="G45" s="57"/>
      <c r="H45" s="569"/>
      <c r="I45" s="569"/>
      <c r="J45" s="569"/>
      <c r="K45" s="569"/>
      <c r="L45" s="569"/>
    </row>
    <row r="46" spans="1:12" s="51" customFormat="1" ht="16.5" customHeight="1">
      <c r="A46" s="570"/>
      <c r="B46" s="570"/>
      <c r="C46" s="570"/>
      <c r="D46" s="570"/>
      <c r="E46" s="570"/>
      <c r="F46" s="570"/>
      <c r="G46" s="39"/>
      <c r="H46" s="569"/>
      <c r="I46" s="569"/>
      <c r="J46" s="569"/>
      <c r="K46" s="569"/>
      <c r="L46" s="569"/>
    </row>
    <row r="47" spans="1:12" s="3" customFormat="1" ht="16.5" customHeight="1">
      <c r="A47" s="571"/>
      <c r="B47" s="571"/>
      <c r="C47" s="571"/>
      <c r="D47" s="571"/>
      <c r="E47" s="571"/>
      <c r="F47" s="571"/>
      <c r="G47" s="56"/>
      <c r="H47" s="569"/>
      <c r="I47" s="569"/>
      <c r="J47" s="569"/>
      <c r="K47" s="569"/>
      <c r="L47" s="569"/>
    </row>
    <row r="48" spans="1:12" s="3" customFormat="1" ht="16.5" customHeight="1">
      <c r="A48" s="571"/>
      <c r="B48" s="571"/>
      <c r="C48" s="571"/>
      <c r="D48" s="571"/>
      <c r="E48" s="571"/>
      <c r="F48" s="571"/>
      <c r="G48" s="57"/>
      <c r="H48" s="569"/>
      <c r="I48" s="569"/>
      <c r="J48" s="569"/>
      <c r="K48" s="569"/>
      <c r="L48" s="569"/>
    </row>
    <row r="49" spans="1:12" s="3" customFormat="1" ht="16.5" customHeight="1">
      <c r="A49" s="571"/>
      <c r="B49" s="571"/>
      <c r="C49" s="571"/>
      <c r="D49" s="571"/>
      <c r="E49" s="571"/>
      <c r="F49" s="571"/>
      <c r="G49" s="56"/>
      <c r="H49" s="569"/>
      <c r="I49" s="569"/>
      <c r="J49" s="569"/>
      <c r="K49" s="569"/>
      <c r="L49" s="569"/>
    </row>
    <row r="50" spans="1:12" s="3" customFormat="1" ht="16.5" customHeight="1">
      <c r="A50" s="571"/>
      <c r="B50" s="571"/>
      <c r="C50" s="571"/>
      <c r="D50" s="571"/>
      <c r="E50" s="571"/>
      <c r="F50" s="571"/>
      <c r="G50" s="56"/>
      <c r="H50" s="569"/>
      <c r="I50" s="569"/>
      <c r="J50" s="569"/>
      <c r="K50" s="569"/>
      <c r="L50" s="569"/>
    </row>
    <row r="51" spans="1:12" s="3" customFormat="1" ht="16.5" customHeight="1">
      <c r="A51" s="571"/>
      <c r="B51" s="571"/>
      <c r="C51" s="571"/>
      <c r="D51" s="571"/>
      <c r="E51" s="571"/>
      <c r="F51" s="571"/>
      <c r="G51" s="57"/>
      <c r="H51" s="569"/>
      <c r="I51" s="569"/>
      <c r="J51" s="569"/>
      <c r="K51" s="569"/>
      <c r="L51" s="569"/>
    </row>
    <row r="52" spans="1:12" s="3" customFormat="1" ht="16.5" customHeight="1">
      <c r="A52" s="572"/>
      <c r="B52" s="572"/>
      <c r="C52" s="572"/>
      <c r="D52" s="572"/>
      <c r="E52" s="572"/>
      <c r="F52" s="572"/>
      <c r="G52" s="57"/>
      <c r="H52" s="572"/>
      <c r="I52" s="572"/>
      <c r="J52" s="572"/>
      <c r="K52" s="572"/>
      <c r="L52" s="572"/>
    </row>
    <row r="53" spans="1:12" s="3" customFormat="1" ht="16.5" customHeight="1">
      <c r="A53" s="70" t="s">
        <v>34</v>
      </c>
      <c r="B53" s="5"/>
      <c r="C53" s="4"/>
      <c r="H53" s="573" t="s">
        <v>35</v>
      </c>
      <c r="I53" s="573"/>
      <c r="J53" s="573"/>
      <c r="K53" s="573" t="s">
        <v>36</v>
      </c>
      <c r="L53" s="573"/>
    </row>
    <row r="54" spans="1:12" s="3" customFormat="1" ht="16.5" customHeight="1">
      <c r="A54" s="576"/>
      <c r="B54" s="576"/>
      <c r="C54" s="576"/>
      <c r="D54" s="576"/>
      <c r="E54" s="576"/>
      <c r="F54" s="576"/>
      <c r="G54" s="71"/>
      <c r="H54" s="577" t="s">
        <v>14</v>
      </c>
      <c r="I54" s="577"/>
      <c r="J54" s="74" t="s">
        <v>24</v>
      </c>
      <c r="K54" s="74" t="s">
        <v>14</v>
      </c>
      <c r="L54" s="74" t="s">
        <v>24</v>
      </c>
    </row>
    <row r="55" spans="1:12" s="3" customFormat="1" ht="16.5" customHeight="1">
      <c r="A55" s="574"/>
      <c r="B55" s="574"/>
      <c r="C55" s="574"/>
      <c r="D55" s="574"/>
      <c r="E55" s="574"/>
      <c r="F55" s="574"/>
      <c r="G55" s="72"/>
      <c r="H55" s="575"/>
      <c r="I55" s="575"/>
      <c r="J55" s="55"/>
      <c r="K55" s="76"/>
      <c r="L55" s="55"/>
    </row>
    <row r="56" spans="1:12" s="3" customFormat="1" ht="16.5" customHeight="1">
      <c r="A56" s="574"/>
      <c r="B56" s="574"/>
      <c r="C56" s="574"/>
      <c r="D56" s="574"/>
      <c r="E56" s="574"/>
      <c r="F56" s="574"/>
      <c r="G56" s="72"/>
      <c r="H56" s="575"/>
      <c r="I56" s="575"/>
      <c r="J56" s="55"/>
      <c r="K56" s="76"/>
      <c r="L56" s="55"/>
    </row>
    <row r="57" spans="1:12" s="3" customFormat="1" ht="16.5" customHeight="1">
      <c r="A57" s="574"/>
      <c r="B57" s="574"/>
      <c r="C57" s="574"/>
      <c r="D57" s="574"/>
      <c r="E57" s="574"/>
      <c r="F57" s="574"/>
      <c r="G57" s="72"/>
      <c r="H57" s="575"/>
      <c r="I57" s="575"/>
      <c r="J57" s="55"/>
      <c r="K57" s="76"/>
      <c r="L57" s="55"/>
    </row>
    <row r="58" spans="1:12" s="3" customFormat="1" ht="16.5" customHeight="1">
      <c r="A58" s="574"/>
      <c r="B58" s="574"/>
      <c r="C58" s="574"/>
      <c r="D58" s="574"/>
      <c r="E58" s="574"/>
      <c r="F58" s="574"/>
      <c r="G58" s="72"/>
      <c r="H58" s="575"/>
      <c r="I58" s="575"/>
      <c r="J58" s="55"/>
      <c r="K58" s="76"/>
      <c r="L58" s="55"/>
    </row>
    <row r="59" spans="1:12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55"/>
      <c r="K59" s="77"/>
      <c r="L59" s="55"/>
    </row>
    <row r="60" spans="1:12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3"/>
      <c r="L60" s="73"/>
    </row>
    <row r="61" spans="1:12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3"/>
      <c r="K61" s="77"/>
      <c r="L61" s="73"/>
    </row>
    <row r="62" spans="1:12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3"/>
      <c r="K62" s="77"/>
      <c r="L62" s="73"/>
    </row>
    <row r="63" spans="1:12" s="3" customFormat="1" ht="16.5" customHeight="1">
      <c r="A63" s="574"/>
      <c r="B63" s="574"/>
      <c r="C63" s="574"/>
      <c r="D63" s="574"/>
      <c r="E63" s="574"/>
      <c r="F63" s="574"/>
      <c r="G63" s="72"/>
      <c r="H63" s="575"/>
      <c r="I63" s="575"/>
      <c r="J63" s="73"/>
      <c r="K63" s="77"/>
      <c r="L63" s="73"/>
    </row>
    <row r="64" spans="1:12" s="3" customFormat="1" ht="16.5" customHeight="1">
      <c r="A64" s="574"/>
      <c r="B64" s="574"/>
      <c r="C64" s="574"/>
      <c r="D64" s="574"/>
      <c r="E64" s="574"/>
      <c r="F64" s="574"/>
      <c r="G64" s="72"/>
      <c r="H64" s="575"/>
      <c r="I64" s="575"/>
      <c r="J64" s="73"/>
      <c r="K64" s="77"/>
      <c r="L64" s="73"/>
    </row>
    <row r="65" spans="1:14" s="3" customFormat="1" ht="16.5" customHeight="1">
      <c r="A65" s="45"/>
      <c r="B65" s="46"/>
      <c r="C65" s="46"/>
      <c r="D65" s="46"/>
      <c r="E65" s="44"/>
      <c r="F65" s="46"/>
      <c r="G65" s="46"/>
      <c r="H65" s="46"/>
      <c r="I65" s="46"/>
      <c r="J65" s="46"/>
      <c r="K65" s="47"/>
      <c r="L65" s="46"/>
    </row>
    <row r="66" spans="1:14" s="3" customFormat="1" ht="16.5" customHeight="1">
      <c r="A66" s="45" t="s">
        <v>45</v>
      </c>
      <c r="B66" s="46"/>
      <c r="C66" s="46"/>
      <c r="D66" s="46"/>
      <c r="E66" s="44"/>
      <c r="F66" s="46"/>
      <c r="G66" s="46"/>
      <c r="H66" s="46"/>
      <c r="I66" s="46"/>
      <c r="J66" s="46"/>
      <c r="K66" s="47"/>
      <c r="L66" s="46"/>
    </row>
    <row r="67" spans="1:14" s="3" customFormat="1" ht="16.5" customHeight="1">
      <c r="A67" s="45"/>
      <c r="B67" s="46"/>
      <c r="C67" s="46"/>
      <c r="D67" s="46"/>
      <c r="E67" s="44"/>
      <c r="F67" s="46"/>
      <c r="G67" s="46"/>
      <c r="H67" s="46"/>
      <c r="I67" s="48"/>
      <c r="J67" s="48"/>
      <c r="K67" s="47"/>
      <c r="L67" s="46"/>
    </row>
    <row r="68" spans="1:14" s="3" customFormat="1" ht="31.5" customHeight="1">
      <c r="A68" s="46" t="s">
        <v>46</v>
      </c>
      <c r="B68" s="578" t="s">
        <v>47</v>
      </c>
      <c r="C68" s="579"/>
      <c r="D68" s="578" t="s">
        <v>48</v>
      </c>
      <c r="E68" s="579"/>
      <c r="F68" s="578" t="s">
        <v>49</v>
      </c>
      <c r="G68" s="579"/>
      <c r="H68" s="578" t="s">
        <v>50</v>
      </c>
      <c r="I68" s="579"/>
      <c r="J68" s="578" t="s">
        <v>51</v>
      </c>
      <c r="K68" s="579"/>
      <c r="L68" s="49"/>
    </row>
    <row r="69" spans="1:14" s="3" customFormat="1" ht="16.5" customHeight="1">
      <c r="A69" s="50"/>
      <c r="B69" s="583"/>
      <c r="C69" s="584"/>
      <c r="D69" s="587"/>
      <c r="E69" s="588"/>
      <c r="F69" s="665"/>
      <c r="G69" s="666"/>
      <c r="H69" s="665"/>
      <c r="I69" s="666"/>
      <c r="J69" s="587"/>
      <c r="K69" s="588"/>
      <c r="L69" s="49"/>
    </row>
    <row r="70" spans="1:14" s="22" customFormat="1" ht="16.5" customHeight="1">
      <c r="A70" s="50"/>
      <c r="B70" s="585"/>
      <c r="C70" s="586"/>
      <c r="D70" s="589"/>
      <c r="E70" s="590"/>
      <c r="F70" s="667"/>
      <c r="G70" s="668"/>
      <c r="H70" s="667"/>
      <c r="I70" s="668"/>
      <c r="J70" s="589"/>
      <c r="K70" s="590"/>
      <c r="L70" s="49"/>
    </row>
    <row r="71" spans="1:14" s="22" customFormat="1" ht="16.5" customHeight="1">
      <c r="A71" s="35"/>
      <c r="B71" s="27"/>
      <c r="C71" s="27"/>
      <c r="D71" s="27"/>
      <c r="E71" s="35"/>
      <c r="F71" s="58"/>
      <c r="G71" s="58"/>
      <c r="H71" s="58"/>
      <c r="I71" s="58"/>
      <c r="J71" s="68"/>
      <c r="K71" s="68"/>
      <c r="L71" s="3"/>
    </row>
    <row r="72" spans="1:14" s="22" customFormat="1" ht="16.5" customHeight="1">
      <c r="A72" s="35" t="s">
        <v>53</v>
      </c>
      <c r="B72" s="27"/>
      <c r="C72" s="27"/>
      <c r="D72" s="35" t="s">
        <v>54</v>
      </c>
      <c r="F72" s="58"/>
      <c r="H72" s="35" t="s">
        <v>250</v>
      </c>
      <c r="I72" s="58"/>
      <c r="K72" s="68" t="s">
        <v>266</v>
      </c>
      <c r="L72" s="3"/>
    </row>
    <row r="73" spans="1:14" s="22" customFormat="1" ht="16.5" customHeight="1">
      <c r="A73" s="29"/>
      <c r="B73" s="29"/>
      <c r="C73" s="29"/>
      <c r="D73" s="29"/>
      <c r="E73" s="29"/>
      <c r="F73" s="29"/>
      <c r="H73" s="29"/>
      <c r="I73" s="29"/>
      <c r="J73" s="3"/>
      <c r="K73" s="3"/>
      <c r="L73" s="3"/>
    </row>
    <row r="74" spans="1:14" s="22" customFormat="1" ht="16.5" customHeight="1">
      <c r="A74" s="673" t="s">
        <v>282</v>
      </c>
      <c r="B74" s="673"/>
      <c r="C74" s="318"/>
      <c r="D74" s="674" t="s">
        <v>267</v>
      </c>
      <c r="E74" s="674"/>
      <c r="F74" s="674"/>
      <c r="H74" s="675" t="s">
        <v>247</v>
      </c>
      <c r="I74" s="675"/>
      <c r="J74" s="675"/>
      <c r="K74" s="662" t="s">
        <v>268</v>
      </c>
      <c r="L74" s="662"/>
      <c r="N74" s="218"/>
    </row>
    <row r="75" spans="1:14" s="3" customFormat="1" ht="16.5" customHeight="1">
      <c r="A75" s="663" t="s">
        <v>59</v>
      </c>
      <c r="B75" s="663"/>
      <c r="C75" s="319"/>
      <c r="D75" s="664" t="s">
        <v>60</v>
      </c>
      <c r="E75" s="664"/>
      <c r="F75" s="664"/>
      <c r="H75" s="663" t="s">
        <v>252</v>
      </c>
      <c r="I75" s="663"/>
      <c r="J75" s="663"/>
      <c r="K75" s="320" t="s">
        <v>253</v>
      </c>
      <c r="L75" s="320"/>
    </row>
    <row r="76" spans="1:14" s="3" customFormat="1" ht="16.5" customHeight="1">
      <c r="A76" s="321"/>
      <c r="B76" s="321"/>
      <c r="C76" s="319"/>
      <c r="D76" s="322"/>
      <c r="E76" s="322"/>
      <c r="F76" s="322"/>
      <c r="H76" s="321"/>
      <c r="I76" s="321"/>
      <c r="J76" s="321"/>
      <c r="K76" s="320"/>
      <c r="L76" s="320"/>
    </row>
    <row r="77" spans="1:14" s="3" customFormat="1" ht="16.5" customHeight="1">
      <c r="A77" s="37"/>
      <c r="B77" s="27"/>
      <c r="C77" s="27"/>
      <c r="D77" s="27"/>
      <c r="E77" s="27"/>
      <c r="F77" s="29"/>
      <c r="G77" s="29"/>
      <c r="H77" s="29"/>
      <c r="I77" s="29"/>
      <c r="J77" s="29"/>
    </row>
    <row r="78" spans="1:14" s="3" customFormat="1" ht="16.5" customHeight="1">
      <c r="A78" s="37"/>
      <c r="B78" s="27"/>
      <c r="C78" s="27"/>
      <c r="D78" s="27"/>
      <c r="E78" s="27"/>
      <c r="F78" s="29"/>
      <c r="G78" s="29"/>
      <c r="H78" s="29"/>
      <c r="I78" s="29"/>
      <c r="J78" s="29"/>
    </row>
    <row r="79" spans="1:14" s="3" customFormat="1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4" s="3" customFormat="1" ht="16.5" customHeight="1">
      <c r="A80" s="40"/>
      <c r="B80" s="40"/>
      <c r="C80" s="40"/>
      <c r="D80" s="40"/>
      <c r="E80" s="40"/>
      <c r="F80" s="1"/>
      <c r="G80" s="1"/>
      <c r="H80" s="1"/>
      <c r="I80" s="1"/>
      <c r="J80" s="1"/>
      <c r="K80" s="1"/>
      <c r="L80" s="1"/>
    </row>
    <row r="81" spans="1:12" s="3" customFormat="1" ht="16.5" customHeight="1">
      <c r="A81" s="21" t="s">
        <v>0</v>
      </c>
      <c r="B81" s="554"/>
      <c r="C81" s="554"/>
      <c r="D81" s="554"/>
      <c r="E81" s="554"/>
      <c r="F81" s="554"/>
      <c r="G81" s="554"/>
      <c r="H81" s="554"/>
      <c r="I81" s="16"/>
      <c r="J81" s="22"/>
      <c r="K81" s="555"/>
      <c r="L81" s="555"/>
    </row>
    <row r="82" spans="1:12" s="3" customFormat="1" ht="15" customHeight="1">
      <c r="A82" s="21" t="s">
        <v>2</v>
      </c>
      <c r="B82" s="556" t="s">
        <v>269</v>
      </c>
      <c r="C82" s="556"/>
      <c r="D82" s="556"/>
      <c r="E82" s="556"/>
      <c r="F82" s="556"/>
      <c r="G82" s="556"/>
      <c r="H82" s="556"/>
      <c r="I82" s="16"/>
      <c r="J82" s="22"/>
      <c r="K82" s="555"/>
      <c r="L82" s="555"/>
    </row>
    <row r="83" spans="1:12" s="3" customFormat="1" ht="15" customHeight="1">
      <c r="A83" s="69"/>
      <c r="B83" s="554" t="s">
        <v>270</v>
      </c>
      <c r="C83" s="554"/>
      <c r="D83" s="554"/>
      <c r="E83" s="554"/>
      <c r="F83" s="554"/>
      <c r="G83" s="554"/>
      <c r="H83" s="554"/>
      <c r="I83" s="21" t="s">
        <v>5</v>
      </c>
      <c r="J83" s="22"/>
      <c r="K83" s="557" t="s">
        <v>271</v>
      </c>
      <c r="L83" s="557"/>
    </row>
    <row r="84" spans="1:12" s="3" customFormat="1" ht="15" customHeight="1">
      <c r="A84" s="22" t="s">
        <v>10</v>
      </c>
      <c r="B84" s="556" t="s">
        <v>272</v>
      </c>
      <c r="C84" s="556"/>
      <c r="D84" s="556"/>
      <c r="E84" s="556"/>
      <c r="F84" s="556"/>
      <c r="G84" s="556"/>
      <c r="H84" s="556"/>
      <c r="I84" s="21" t="s">
        <v>8</v>
      </c>
      <c r="J84" s="21"/>
      <c r="K84" s="669" t="s">
        <v>273</v>
      </c>
      <c r="L84" s="669"/>
    </row>
    <row r="85" spans="1:12" s="3" customFormat="1" ht="15" customHeight="1">
      <c r="A85" s="22"/>
      <c r="B85" s="16"/>
      <c r="C85" s="16"/>
      <c r="D85" s="16"/>
      <c r="E85" s="16"/>
      <c r="F85" s="16"/>
      <c r="G85" s="16"/>
      <c r="H85" s="16"/>
      <c r="I85" s="16"/>
      <c r="J85" s="59"/>
      <c r="K85" s="62"/>
      <c r="L85" s="62"/>
    </row>
    <row r="86" spans="1:12" s="3" customFormat="1" ht="15" customHeight="1">
      <c r="A86" s="24" t="s">
        <v>12</v>
      </c>
      <c r="K86" s="555"/>
      <c r="L86" s="555"/>
    </row>
    <row r="87" spans="1:12" s="3" customFormat="1" ht="17.399999999999999">
      <c r="A87" s="552" t="s">
        <v>13</v>
      </c>
      <c r="B87" s="552" t="s">
        <v>14</v>
      </c>
      <c r="C87" s="552"/>
      <c r="D87" s="552"/>
      <c r="E87" s="552"/>
      <c r="F87" s="552"/>
      <c r="G87" s="552" t="s">
        <v>15</v>
      </c>
      <c r="H87" s="552"/>
      <c r="I87" s="552"/>
      <c r="J87" s="553" t="s">
        <v>16</v>
      </c>
      <c r="K87" s="553"/>
      <c r="L87" s="552" t="s">
        <v>17</v>
      </c>
    </row>
    <row r="88" spans="1:12" s="3" customFormat="1" ht="21.9" customHeight="1">
      <c r="A88" s="552"/>
      <c r="B88" s="552"/>
      <c r="C88" s="552"/>
      <c r="D88" s="552"/>
      <c r="E88" s="552"/>
      <c r="F88" s="552"/>
      <c r="G88" s="552"/>
      <c r="H88" s="552"/>
      <c r="I88" s="552"/>
      <c r="J88" s="60" t="s">
        <v>18</v>
      </c>
      <c r="K88" s="20" t="s">
        <v>19</v>
      </c>
      <c r="L88" s="552"/>
    </row>
    <row r="89" spans="1:12" s="3" customFormat="1" ht="21.9" customHeight="1">
      <c r="A89" s="79"/>
      <c r="B89" s="558"/>
      <c r="C89" s="558"/>
      <c r="D89" s="558"/>
      <c r="E89" s="558"/>
      <c r="F89" s="558"/>
      <c r="G89" s="559"/>
      <c r="H89" s="559"/>
      <c r="I89" s="559"/>
      <c r="J89" s="216"/>
      <c r="K89" s="53"/>
      <c r="L89" s="55"/>
    </row>
    <row r="90" spans="1:12" s="3" customFormat="1" ht="21.9" customHeight="1">
      <c r="A90" s="215"/>
      <c r="B90" s="558"/>
      <c r="C90" s="558"/>
      <c r="D90" s="558"/>
      <c r="E90" s="558"/>
      <c r="F90" s="558"/>
      <c r="G90" s="559"/>
      <c r="H90" s="559"/>
      <c r="I90" s="559"/>
      <c r="J90" s="216"/>
      <c r="K90" s="53"/>
      <c r="L90" s="55"/>
    </row>
    <row r="91" spans="1:12" s="3" customFormat="1" ht="21.9" customHeight="1">
      <c r="A91" s="215"/>
      <c r="B91" s="558"/>
      <c r="C91" s="558"/>
      <c r="D91" s="558"/>
      <c r="E91" s="558"/>
      <c r="F91" s="558"/>
      <c r="G91" s="559"/>
      <c r="H91" s="559"/>
      <c r="I91" s="559"/>
      <c r="J91" s="216"/>
      <c r="K91" s="53"/>
      <c r="L91" s="55"/>
    </row>
    <row r="92" spans="1:12" s="3" customFormat="1" ht="21.9" customHeight="1">
      <c r="A92" s="215"/>
      <c r="B92" s="558"/>
      <c r="C92" s="558"/>
      <c r="D92" s="558"/>
      <c r="E92" s="558"/>
      <c r="F92" s="558"/>
      <c r="G92" s="559"/>
      <c r="H92" s="559"/>
      <c r="I92" s="559"/>
      <c r="J92" s="216"/>
      <c r="K92" s="53"/>
      <c r="L92" s="55"/>
    </row>
    <row r="93" spans="1:12" s="3" customFormat="1" ht="21.9" customHeight="1">
      <c r="A93" s="215"/>
      <c r="B93" s="558"/>
      <c r="C93" s="558"/>
      <c r="D93" s="558"/>
      <c r="E93" s="558"/>
      <c r="F93" s="558"/>
      <c r="G93" s="559"/>
      <c r="H93" s="559"/>
      <c r="I93" s="559"/>
      <c r="J93" s="53"/>
      <c r="K93" s="53"/>
      <c r="L93" s="55"/>
    </row>
    <row r="94" spans="1:12" s="3" customFormat="1" ht="21.9" customHeight="1">
      <c r="A94" s="54"/>
      <c r="B94" s="558"/>
      <c r="C94" s="558"/>
      <c r="D94" s="558"/>
      <c r="E94" s="558"/>
      <c r="F94" s="558"/>
      <c r="G94" s="559"/>
      <c r="H94" s="559"/>
      <c r="I94" s="559"/>
      <c r="J94" s="53"/>
      <c r="K94" s="53"/>
      <c r="L94" s="55"/>
    </row>
    <row r="95" spans="1:12" s="3" customFormat="1" ht="21.9" customHeight="1">
      <c r="A95" s="54"/>
      <c r="B95" s="562"/>
      <c r="C95" s="562"/>
      <c r="D95" s="562"/>
      <c r="E95" s="562"/>
      <c r="F95" s="562"/>
      <c r="G95" s="559"/>
      <c r="H95" s="559"/>
      <c r="I95" s="559"/>
      <c r="J95" s="53"/>
      <c r="K95" s="53"/>
      <c r="L95" s="55"/>
    </row>
    <row r="96" spans="1:12" s="3" customFormat="1" ht="21.9" customHeight="1">
      <c r="A96" s="54"/>
      <c r="B96" s="562"/>
      <c r="C96" s="562"/>
      <c r="D96" s="562"/>
      <c r="E96" s="562"/>
      <c r="F96" s="562"/>
      <c r="G96" s="559"/>
      <c r="H96" s="559"/>
      <c r="I96" s="559"/>
      <c r="J96" s="53"/>
      <c r="K96" s="53"/>
      <c r="L96" s="55"/>
    </row>
    <row r="97" spans="1:12" s="3" customFormat="1" ht="21.9" customHeight="1">
      <c r="A97" s="61"/>
      <c r="B97" s="562"/>
      <c r="C97" s="562"/>
      <c r="D97" s="562"/>
      <c r="E97" s="562"/>
      <c r="F97" s="562"/>
      <c r="G97" s="559"/>
      <c r="H97" s="559"/>
      <c r="I97" s="559"/>
      <c r="J97" s="53"/>
      <c r="K97" s="53"/>
      <c r="L97" s="55"/>
    </row>
    <row r="98" spans="1:12" s="3" customFormat="1" ht="21.9" customHeight="1">
      <c r="A98" s="61"/>
      <c r="B98" s="562"/>
      <c r="C98" s="562"/>
      <c r="D98" s="562"/>
      <c r="E98" s="562"/>
      <c r="F98" s="562"/>
      <c r="G98" s="559"/>
      <c r="H98" s="559"/>
      <c r="I98" s="559"/>
      <c r="J98" s="53"/>
      <c r="K98" s="53"/>
      <c r="L98" s="55"/>
    </row>
    <row r="99" spans="1:12" s="3" customFormat="1" ht="21.9" customHeight="1">
      <c r="A99" s="61"/>
      <c r="B99" s="562"/>
      <c r="C99" s="562"/>
      <c r="D99" s="562"/>
      <c r="E99" s="562"/>
      <c r="F99" s="562"/>
      <c r="G99" s="559"/>
      <c r="H99" s="559"/>
      <c r="I99" s="559"/>
      <c r="J99" s="53"/>
      <c r="K99" s="53"/>
      <c r="L99" s="55"/>
    </row>
    <row r="100" spans="1:12" s="3" customFormat="1" ht="21.9" customHeight="1">
      <c r="A100" s="61"/>
      <c r="B100" s="562"/>
      <c r="C100" s="562"/>
      <c r="D100" s="562"/>
      <c r="E100" s="562"/>
      <c r="F100" s="562"/>
      <c r="G100" s="559"/>
      <c r="H100" s="559"/>
      <c r="I100" s="559"/>
      <c r="J100" s="53"/>
      <c r="K100" s="53"/>
      <c r="L100" s="55"/>
    </row>
    <row r="101" spans="1:12" s="3" customFormat="1" ht="21.9" customHeight="1">
      <c r="A101" s="61"/>
      <c r="B101" s="562"/>
      <c r="C101" s="562"/>
      <c r="D101" s="562"/>
      <c r="E101" s="562"/>
      <c r="F101" s="562"/>
      <c r="G101" s="559"/>
      <c r="H101" s="559"/>
      <c r="I101" s="559"/>
      <c r="J101" s="53"/>
      <c r="K101" s="53"/>
      <c r="L101" s="55"/>
    </row>
    <row r="102" spans="1:12" s="3" customFormat="1" ht="21.9" customHeight="1">
      <c r="A102" s="61"/>
      <c r="B102" s="562"/>
      <c r="C102" s="562"/>
      <c r="D102" s="562"/>
      <c r="E102" s="562"/>
      <c r="F102" s="562"/>
      <c r="G102" s="559"/>
      <c r="H102" s="559"/>
      <c r="I102" s="559"/>
      <c r="J102" s="53"/>
      <c r="K102" s="53"/>
      <c r="L102" s="55"/>
    </row>
    <row r="103" spans="1:12" s="3" customFormat="1" ht="21.9" customHeight="1">
      <c r="A103" s="61"/>
      <c r="B103" s="562"/>
      <c r="C103" s="562"/>
      <c r="D103" s="562"/>
      <c r="E103" s="562"/>
      <c r="F103" s="562"/>
      <c r="G103" s="559"/>
      <c r="H103" s="559"/>
      <c r="I103" s="559"/>
      <c r="J103" s="53"/>
      <c r="K103" s="53"/>
      <c r="L103" s="55"/>
    </row>
    <row r="104" spans="1:12" s="3" customFormat="1" ht="21.9" customHeight="1">
      <c r="A104" s="61"/>
      <c r="B104" s="562"/>
      <c r="C104" s="562"/>
      <c r="D104" s="562"/>
      <c r="E104" s="562"/>
      <c r="F104" s="562"/>
      <c r="G104" s="559"/>
      <c r="H104" s="559"/>
      <c r="I104" s="559"/>
      <c r="J104" s="53"/>
      <c r="K104" s="53"/>
      <c r="L104" s="55"/>
    </row>
    <row r="105" spans="1:12" s="3" customFormat="1" ht="21.9" customHeight="1">
      <c r="A105" s="61"/>
      <c r="B105" s="562"/>
      <c r="C105" s="562"/>
      <c r="D105" s="562"/>
      <c r="E105" s="562"/>
      <c r="F105" s="562"/>
      <c r="G105" s="559"/>
      <c r="H105" s="559"/>
      <c r="I105" s="559"/>
      <c r="J105" s="53"/>
      <c r="K105" s="53"/>
      <c r="L105" s="55"/>
    </row>
    <row r="106" spans="1:12" s="3" customFormat="1" ht="21.9" customHeight="1">
      <c r="A106" s="61"/>
      <c r="B106" s="562"/>
      <c r="C106" s="562"/>
      <c r="D106" s="562"/>
      <c r="E106" s="562"/>
      <c r="F106" s="562"/>
      <c r="G106" s="559"/>
      <c r="H106" s="559"/>
      <c r="I106" s="559"/>
      <c r="J106" s="53"/>
      <c r="K106" s="53"/>
      <c r="L106" s="55"/>
    </row>
    <row r="107" spans="1:12" s="3" customFormat="1" ht="21.9" customHeight="1">
      <c r="A107" s="61"/>
      <c r="B107" s="562"/>
      <c r="C107" s="562"/>
      <c r="D107" s="562"/>
      <c r="E107" s="562"/>
      <c r="F107" s="562"/>
      <c r="G107" s="559"/>
      <c r="H107" s="559"/>
      <c r="I107" s="559"/>
      <c r="J107" s="53"/>
      <c r="K107" s="53"/>
      <c r="L107" s="55"/>
    </row>
    <row r="108" spans="1:12" s="3" customFormat="1" ht="21.9" customHeight="1">
      <c r="A108" s="61"/>
      <c r="B108" s="562"/>
      <c r="C108" s="562"/>
      <c r="D108" s="562"/>
      <c r="E108" s="562"/>
      <c r="F108" s="562"/>
      <c r="G108" s="559"/>
      <c r="H108" s="559"/>
      <c r="I108" s="559"/>
      <c r="J108" s="53"/>
      <c r="K108" s="53"/>
      <c r="L108" s="55"/>
    </row>
    <row r="109" spans="1:12" s="3" customFormat="1" ht="21.9" customHeight="1">
      <c r="A109" s="66"/>
      <c r="B109" s="566"/>
      <c r="C109" s="566"/>
      <c r="D109" s="566"/>
      <c r="E109" s="566"/>
      <c r="F109" s="566"/>
      <c r="G109" s="66"/>
      <c r="H109" s="41"/>
      <c r="I109" s="41"/>
      <c r="J109" s="42"/>
      <c r="K109" s="43"/>
    </row>
    <row r="110" spans="1:12" s="3" customFormat="1" ht="21.9" customHeight="1">
      <c r="A110" s="26" t="s">
        <v>23</v>
      </c>
      <c r="B110" s="67"/>
      <c r="C110" s="67"/>
      <c r="D110" s="67"/>
      <c r="E110" s="67"/>
      <c r="F110" s="17"/>
      <c r="G110" s="17"/>
      <c r="H110" s="17"/>
      <c r="I110" s="17"/>
      <c r="J110" s="17"/>
    </row>
    <row r="111" spans="1:12" s="3" customFormat="1" ht="21.9" customHeight="1">
      <c r="A111" s="19" t="s">
        <v>13</v>
      </c>
      <c r="B111" s="567" t="s">
        <v>14</v>
      </c>
      <c r="C111" s="567"/>
      <c r="D111" s="567"/>
      <c r="E111" s="567"/>
      <c r="F111" s="567"/>
      <c r="G111" s="568" t="s">
        <v>24</v>
      </c>
      <c r="H111" s="568"/>
      <c r="I111" s="63" t="s">
        <v>17</v>
      </c>
      <c r="J111" s="60" t="s">
        <v>25</v>
      </c>
      <c r="K111" s="60" t="s">
        <v>26</v>
      </c>
      <c r="L111" s="60" t="s">
        <v>27</v>
      </c>
    </row>
    <row r="112" spans="1:12" s="3" customFormat="1" ht="21.9" customHeight="1">
      <c r="A112" s="317"/>
      <c r="B112" s="563"/>
      <c r="C112" s="563"/>
      <c r="D112" s="563"/>
      <c r="E112" s="563"/>
      <c r="F112" s="563"/>
      <c r="G112" s="564"/>
      <c r="H112" s="564"/>
      <c r="I112" s="64"/>
      <c r="J112" s="64"/>
      <c r="K112" s="55"/>
      <c r="L112" s="55"/>
    </row>
    <row r="113" spans="1:12" s="3" customFormat="1" ht="21.9" customHeight="1">
      <c r="A113" s="79"/>
      <c r="B113" s="563"/>
      <c r="C113" s="563"/>
      <c r="D113" s="563"/>
      <c r="E113" s="563"/>
      <c r="F113" s="563"/>
      <c r="G113" s="564"/>
      <c r="H113" s="564"/>
      <c r="I113" s="64"/>
      <c r="J113" s="64"/>
      <c r="K113" s="55"/>
      <c r="L113" s="55"/>
    </row>
    <row r="114" spans="1:12" s="3" customFormat="1" ht="21.9" customHeight="1">
      <c r="A114" s="79"/>
      <c r="B114" s="563"/>
      <c r="C114" s="563"/>
      <c r="D114" s="563"/>
      <c r="E114" s="563"/>
      <c r="F114" s="563"/>
      <c r="G114" s="564"/>
      <c r="H114" s="564"/>
      <c r="I114" s="64"/>
      <c r="J114" s="64"/>
      <c r="K114" s="55"/>
      <c r="L114" s="55"/>
    </row>
    <row r="115" spans="1:12" s="3" customFormat="1" ht="21.9" customHeight="1">
      <c r="A115" s="79"/>
      <c r="B115" s="563"/>
      <c r="C115" s="563"/>
      <c r="D115" s="563"/>
      <c r="E115" s="563"/>
      <c r="F115" s="563"/>
      <c r="G115" s="564"/>
      <c r="H115" s="564"/>
      <c r="I115" s="64"/>
      <c r="J115" s="64"/>
      <c r="K115" s="55"/>
      <c r="L115" s="55"/>
    </row>
    <row r="116" spans="1:12" s="3" customFormat="1" ht="21.9" customHeight="1">
      <c r="A116" s="32"/>
      <c r="B116" s="565"/>
      <c r="C116" s="565"/>
      <c r="D116" s="565"/>
      <c r="E116" s="565"/>
      <c r="F116" s="565"/>
      <c r="G116" s="565"/>
      <c r="H116" s="565"/>
      <c r="I116" s="565"/>
      <c r="J116" s="17"/>
    </row>
    <row r="117" spans="1:12" s="3" customFormat="1" ht="21.9" customHeight="1">
      <c r="A117" s="34" t="s">
        <v>28</v>
      </c>
      <c r="B117" s="34"/>
      <c r="C117" s="34"/>
      <c r="D117" s="34"/>
      <c r="E117" s="34"/>
      <c r="F117" s="17"/>
      <c r="G117" s="38"/>
      <c r="H117" s="36" t="s">
        <v>29</v>
      </c>
      <c r="I117" s="34"/>
      <c r="J117" s="34"/>
      <c r="K117" s="34"/>
      <c r="L117" s="34"/>
    </row>
    <row r="118" spans="1:12" s="3" customFormat="1" ht="21.9" customHeight="1">
      <c r="A118" s="569"/>
      <c r="B118" s="569"/>
      <c r="C118" s="569"/>
      <c r="D118" s="569"/>
      <c r="E118" s="569"/>
      <c r="F118" s="569"/>
      <c r="G118" s="56"/>
      <c r="H118" s="569"/>
      <c r="I118" s="569"/>
      <c r="J118" s="569"/>
      <c r="K118" s="569"/>
      <c r="L118" s="569"/>
    </row>
    <row r="119" spans="1:12" s="3" customFormat="1" ht="21.9" customHeight="1">
      <c r="A119" s="571"/>
      <c r="B119" s="571"/>
      <c r="C119" s="571"/>
      <c r="D119" s="571"/>
      <c r="E119" s="571"/>
      <c r="F119" s="571"/>
      <c r="G119" s="56"/>
      <c r="H119" s="569"/>
      <c r="I119" s="569"/>
      <c r="J119" s="569"/>
      <c r="K119" s="569"/>
      <c r="L119" s="569"/>
    </row>
    <row r="120" spans="1:12" s="3" customFormat="1" ht="21.9" customHeight="1">
      <c r="A120" s="571"/>
      <c r="B120" s="571"/>
      <c r="C120" s="571"/>
      <c r="D120" s="571"/>
      <c r="E120" s="571"/>
      <c r="F120" s="571"/>
      <c r="G120" s="57"/>
      <c r="H120" s="569"/>
      <c r="I120" s="569"/>
      <c r="J120" s="569"/>
      <c r="K120" s="569"/>
      <c r="L120" s="569"/>
    </row>
    <row r="121" spans="1:12" s="3" customFormat="1" ht="21.9" customHeight="1">
      <c r="A121" s="569"/>
      <c r="B121" s="569"/>
      <c r="C121" s="569"/>
      <c r="D121" s="569"/>
      <c r="E121" s="569"/>
      <c r="F121" s="569"/>
      <c r="G121" s="57"/>
      <c r="H121" s="569"/>
      <c r="I121" s="569"/>
      <c r="J121" s="569"/>
      <c r="K121" s="569"/>
      <c r="L121" s="569"/>
    </row>
    <row r="122" spans="1:12" s="3" customFormat="1" ht="21.9" customHeight="1">
      <c r="A122" s="570"/>
      <c r="B122" s="570"/>
      <c r="C122" s="570"/>
      <c r="D122" s="570"/>
      <c r="E122" s="570"/>
      <c r="F122" s="570"/>
      <c r="G122" s="39"/>
      <c r="H122" s="569"/>
      <c r="I122" s="569"/>
      <c r="J122" s="569"/>
      <c r="K122" s="569"/>
      <c r="L122" s="569"/>
    </row>
    <row r="123" spans="1:12" s="3" customFormat="1" ht="21.9" customHeight="1">
      <c r="A123" s="571"/>
      <c r="B123" s="571"/>
      <c r="C123" s="571"/>
      <c r="D123" s="571"/>
      <c r="E123" s="571"/>
      <c r="F123" s="571"/>
      <c r="G123" s="56"/>
      <c r="H123" s="569"/>
      <c r="I123" s="569"/>
      <c r="J123" s="569"/>
      <c r="K123" s="569"/>
      <c r="L123" s="569"/>
    </row>
    <row r="124" spans="1:12" s="3" customFormat="1" ht="21.9" customHeight="1">
      <c r="A124" s="571"/>
      <c r="B124" s="571"/>
      <c r="C124" s="571"/>
      <c r="D124" s="571"/>
      <c r="E124" s="571"/>
      <c r="F124" s="571"/>
      <c r="G124" s="57"/>
      <c r="H124" s="569"/>
      <c r="I124" s="569"/>
      <c r="J124" s="569"/>
      <c r="K124" s="569"/>
      <c r="L124" s="569"/>
    </row>
    <row r="125" spans="1:12" s="3" customFormat="1" ht="21.9" customHeight="1">
      <c r="A125" s="571"/>
      <c r="B125" s="571"/>
      <c r="C125" s="571"/>
      <c r="D125" s="571"/>
      <c r="E125" s="571"/>
      <c r="F125" s="571"/>
      <c r="G125" s="56"/>
      <c r="H125" s="569"/>
      <c r="I125" s="569"/>
      <c r="J125" s="569"/>
      <c r="K125" s="569"/>
      <c r="L125" s="569"/>
    </row>
    <row r="126" spans="1:12" s="3" customFormat="1" ht="21.9" customHeight="1">
      <c r="A126" s="571"/>
      <c r="B126" s="571"/>
      <c r="C126" s="571"/>
      <c r="D126" s="571"/>
      <c r="E126" s="571"/>
      <c r="F126" s="571"/>
      <c r="G126" s="56"/>
      <c r="H126" s="569"/>
      <c r="I126" s="569"/>
      <c r="J126" s="569"/>
      <c r="K126" s="569"/>
      <c r="L126" s="569"/>
    </row>
    <row r="127" spans="1:12" s="3" customFormat="1" ht="21.9" customHeight="1">
      <c r="A127" s="571"/>
      <c r="B127" s="571"/>
      <c r="C127" s="571"/>
      <c r="D127" s="571"/>
      <c r="E127" s="571"/>
      <c r="F127" s="571"/>
      <c r="G127" s="57"/>
      <c r="H127" s="569"/>
      <c r="I127" s="569"/>
      <c r="J127" s="569"/>
      <c r="K127" s="569"/>
      <c r="L127" s="569"/>
    </row>
    <row r="128" spans="1:12" s="3" customFormat="1" ht="21.9" customHeight="1">
      <c r="A128" s="572"/>
      <c r="B128" s="572"/>
      <c r="C128" s="572"/>
      <c r="D128" s="572"/>
      <c r="E128" s="572"/>
      <c r="F128" s="572"/>
      <c r="G128" s="57"/>
      <c r="H128" s="572"/>
      <c r="I128" s="572"/>
      <c r="J128" s="572"/>
      <c r="K128" s="572"/>
      <c r="L128" s="572"/>
    </row>
    <row r="129" spans="1:12" s="3" customFormat="1" ht="21.9" customHeight="1">
      <c r="A129" s="70" t="s">
        <v>34</v>
      </c>
      <c r="B129" s="5"/>
      <c r="C129" s="4"/>
      <c r="H129" s="573" t="s">
        <v>35</v>
      </c>
      <c r="I129" s="573"/>
      <c r="J129" s="573"/>
      <c r="K129" s="573" t="s">
        <v>36</v>
      </c>
      <c r="L129" s="573"/>
    </row>
    <row r="130" spans="1:12" s="3" customFormat="1" ht="21.9" customHeight="1">
      <c r="A130" s="576"/>
      <c r="B130" s="576"/>
      <c r="C130" s="576"/>
      <c r="D130" s="576"/>
      <c r="E130" s="576"/>
      <c r="F130" s="576"/>
      <c r="G130" s="71"/>
      <c r="H130" s="577" t="s">
        <v>14</v>
      </c>
      <c r="I130" s="577"/>
      <c r="J130" s="74" t="s">
        <v>24</v>
      </c>
      <c r="K130" s="74" t="s">
        <v>14</v>
      </c>
      <c r="L130" s="74" t="s">
        <v>24</v>
      </c>
    </row>
    <row r="131" spans="1:12" s="3" customFormat="1" ht="21.9" customHeight="1">
      <c r="A131" s="574"/>
      <c r="B131" s="574"/>
      <c r="C131" s="574"/>
      <c r="D131" s="574"/>
      <c r="E131" s="574"/>
      <c r="F131" s="574"/>
      <c r="G131" s="72"/>
      <c r="H131" s="575"/>
      <c r="I131" s="575"/>
      <c r="J131" s="55"/>
      <c r="K131" s="76"/>
      <c r="L131" s="55"/>
    </row>
    <row r="132" spans="1:12" s="3" customFormat="1" ht="21.9" customHeight="1">
      <c r="A132" s="574"/>
      <c r="B132" s="574"/>
      <c r="C132" s="574"/>
      <c r="D132" s="574"/>
      <c r="E132" s="574"/>
      <c r="F132" s="574"/>
      <c r="G132" s="72"/>
      <c r="H132" s="575"/>
      <c r="I132" s="575"/>
      <c r="J132" s="55"/>
      <c r="K132" s="76"/>
      <c r="L132" s="55"/>
    </row>
    <row r="133" spans="1:12" s="3" customFormat="1" ht="21.9" customHeight="1">
      <c r="A133" s="574"/>
      <c r="B133" s="574"/>
      <c r="C133" s="574"/>
      <c r="D133" s="574"/>
      <c r="E133" s="574"/>
      <c r="F133" s="574"/>
      <c r="G133" s="72"/>
      <c r="H133" s="575"/>
      <c r="I133" s="575"/>
      <c r="J133" s="55"/>
      <c r="K133" s="76"/>
      <c r="L133" s="55"/>
    </row>
    <row r="134" spans="1:12" s="3" customFormat="1" ht="21.9" customHeight="1">
      <c r="A134" s="574"/>
      <c r="B134" s="574"/>
      <c r="C134" s="574"/>
      <c r="D134" s="574"/>
      <c r="E134" s="574"/>
      <c r="F134" s="574"/>
      <c r="G134" s="72"/>
      <c r="H134" s="575"/>
      <c r="I134" s="575"/>
      <c r="J134" s="55"/>
      <c r="K134" s="76"/>
      <c r="L134" s="55"/>
    </row>
    <row r="135" spans="1:12" s="3" customFormat="1" ht="21.9" customHeight="1">
      <c r="A135" s="574"/>
      <c r="B135" s="574"/>
      <c r="C135" s="574"/>
      <c r="D135" s="574"/>
      <c r="E135" s="574"/>
      <c r="F135" s="574"/>
      <c r="G135" s="72"/>
      <c r="H135" s="575"/>
      <c r="I135" s="575"/>
      <c r="J135" s="55"/>
      <c r="K135" s="77"/>
      <c r="L135" s="55"/>
    </row>
    <row r="136" spans="1:12" s="3" customFormat="1" ht="21.9" customHeight="1">
      <c r="A136" s="574"/>
      <c r="B136" s="574"/>
      <c r="C136" s="574"/>
      <c r="D136" s="574"/>
      <c r="E136" s="574"/>
      <c r="F136" s="574"/>
      <c r="G136" s="72"/>
      <c r="H136" s="575"/>
      <c r="I136" s="575"/>
      <c r="J136" s="73"/>
      <c r="L136" s="73"/>
    </row>
    <row r="137" spans="1:12" s="3" customFormat="1" ht="21.9" customHeight="1">
      <c r="A137" s="574"/>
      <c r="B137" s="574"/>
      <c r="C137" s="574"/>
      <c r="D137" s="574"/>
      <c r="E137" s="574"/>
      <c r="F137" s="574"/>
      <c r="G137" s="72"/>
      <c r="H137" s="575"/>
      <c r="I137" s="575"/>
      <c r="J137" s="73"/>
      <c r="K137" s="77"/>
      <c r="L137" s="73"/>
    </row>
    <row r="138" spans="1:12" s="3" customFormat="1" ht="21.9" customHeight="1">
      <c r="A138" s="574"/>
      <c r="B138" s="574"/>
      <c r="C138" s="574"/>
      <c r="D138" s="574"/>
      <c r="E138" s="574"/>
      <c r="F138" s="574"/>
      <c r="G138" s="72"/>
      <c r="H138" s="575"/>
      <c r="I138" s="575"/>
      <c r="J138" s="73"/>
      <c r="K138" s="77"/>
      <c r="L138" s="73"/>
    </row>
    <row r="139" spans="1:12" s="3" customFormat="1" ht="21.9" customHeight="1">
      <c r="A139" s="574"/>
      <c r="B139" s="574"/>
      <c r="C139" s="574"/>
      <c r="D139" s="574"/>
      <c r="E139" s="574"/>
      <c r="F139" s="574"/>
      <c r="G139" s="72"/>
      <c r="H139" s="575"/>
      <c r="I139" s="575"/>
      <c r="J139" s="73"/>
      <c r="K139" s="77"/>
      <c r="L139" s="73"/>
    </row>
    <row r="140" spans="1:12" s="3" customFormat="1" ht="21.9" customHeight="1">
      <c r="A140" s="574"/>
      <c r="B140" s="574"/>
      <c r="C140" s="574"/>
      <c r="D140" s="574"/>
      <c r="E140" s="574"/>
      <c r="F140" s="574"/>
      <c r="G140" s="72"/>
      <c r="H140" s="575"/>
      <c r="I140" s="575"/>
      <c r="J140" s="73"/>
      <c r="K140" s="77"/>
      <c r="L140" s="73"/>
    </row>
    <row r="141" spans="1:12" s="3" customFormat="1" ht="21.9" customHeight="1">
      <c r="A141" s="45"/>
      <c r="B141" s="46"/>
      <c r="C141" s="46"/>
      <c r="D141" s="46"/>
      <c r="E141" s="44"/>
      <c r="F141" s="46"/>
      <c r="G141" s="46"/>
      <c r="H141" s="46"/>
      <c r="I141" s="46"/>
      <c r="J141" s="46"/>
      <c r="K141" s="47"/>
      <c r="L141" s="46"/>
    </row>
    <row r="142" spans="1:12" s="3" customFormat="1" ht="21.9" customHeight="1">
      <c r="A142" s="45" t="s">
        <v>45</v>
      </c>
      <c r="B142" s="46"/>
      <c r="C142" s="46"/>
      <c r="D142" s="46"/>
      <c r="E142" s="44"/>
      <c r="F142" s="46"/>
      <c r="G142" s="46"/>
      <c r="H142" s="46"/>
      <c r="I142" s="46"/>
      <c r="J142" s="46"/>
      <c r="K142" s="47"/>
      <c r="L142" s="46"/>
    </row>
    <row r="143" spans="1:12" s="3" customFormat="1" ht="21.9" customHeight="1">
      <c r="A143" s="45"/>
      <c r="B143" s="46"/>
      <c r="C143" s="46"/>
      <c r="D143" s="46"/>
      <c r="E143" s="44"/>
      <c r="F143" s="46"/>
      <c r="G143" s="46"/>
      <c r="H143" s="46"/>
      <c r="I143" s="48"/>
      <c r="J143" s="48"/>
      <c r="K143" s="47"/>
      <c r="L143" s="46"/>
    </row>
    <row r="144" spans="1:12" s="3" customFormat="1" ht="21.9" customHeight="1">
      <c r="A144" s="46" t="s">
        <v>46</v>
      </c>
      <c r="B144" s="578" t="s">
        <v>47</v>
      </c>
      <c r="C144" s="579"/>
      <c r="D144" s="578" t="s">
        <v>48</v>
      </c>
      <c r="E144" s="579"/>
      <c r="F144" s="578" t="s">
        <v>49</v>
      </c>
      <c r="G144" s="579"/>
      <c r="H144" s="578" t="s">
        <v>50</v>
      </c>
      <c r="I144" s="579"/>
      <c r="J144" s="578" t="s">
        <v>51</v>
      </c>
      <c r="K144" s="579"/>
      <c r="L144" s="49"/>
    </row>
    <row r="145" spans="1:12" s="3" customFormat="1" ht="21.9" customHeight="1">
      <c r="A145" s="50"/>
      <c r="B145" s="583"/>
      <c r="C145" s="584"/>
      <c r="D145" s="587"/>
      <c r="E145" s="588"/>
      <c r="F145" s="665"/>
      <c r="G145" s="666"/>
      <c r="H145" s="665"/>
      <c r="I145" s="666"/>
      <c r="J145" s="587"/>
      <c r="K145" s="588"/>
      <c r="L145" s="49"/>
    </row>
    <row r="146" spans="1:12" s="3" customFormat="1" ht="21.9" customHeight="1">
      <c r="A146" s="50"/>
      <c r="B146" s="585"/>
      <c r="C146" s="586"/>
      <c r="D146" s="589"/>
      <c r="E146" s="590"/>
      <c r="F146" s="667"/>
      <c r="G146" s="668"/>
      <c r="H146" s="667"/>
      <c r="I146" s="668"/>
      <c r="J146" s="589"/>
      <c r="K146" s="590"/>
      <c r="L146" s="49"/>
    </row>
    <row r="147" spans="1:12" s="3" customFormat="1" ht="21.9" customHeight="1">
      <c r="A147" s="35"/>
      <c r="B147" s="27"/>
      <c r="C147" s="27"/>
      <c r="D147" s="27"/>
      <c r="E147" s="35"/>
      <c r="F147" s="58"/>
      <c r="G147" s="58"/>
      <c r="H147" s="58"/>
      <c r="I147" s="58"/>
      <c r="J147" s="68"/>
      <c r="K147" s="68"/>
    </row>
    <row r="148" spans="1:12" s="3" customFormat="1" ht="21.9" customHeight="1">
      <c r="A148" s="35" t="s">
        <v>53</v>
      </c>
      <c r="B148" s="27"/>
      <c r="C148" s="27"/>
      <c r="D148" s="35" t="s">
        <v>54</v>
      </c>
      <c r="E148" s="22"/>
      <c r="F148" s="58"/>
      <c r="G148" s="22"/>
      <c r="H148" s="35" t="s">
        <v>250</v>
      </c>
      <c r="I148" s="58"/>
      <c r="J148" s="22"/>
      <c r="K148" s="68" t="s">
        <v>266</v>
      </c>
    </row>
    <row r="149" spans="1:12" s="3" customFormat="1" ht="21.9" customHeight="1">
      <c r="A149" s="29"/>
      <c r="B149" s="29"/>
      <c r="C149" s="29"/>
      <c r="D149" s="29"/>
      <c r="E149" s="29"/>
      <c r="F149" s="29"/>
      <c r="G149" s="22"/>
      <c r="H149" s="29"/>
      <c r="I149" s="29"/>
    </row>
    <row r="150" spans="1:12" s="3" customFormat="1" ht="21.9" customHeight="1">
      <c r="A150" s="580"/>
      <c r="B150" s="580"/>
      <c r="C150" s="318"/>
      <c r="D150" s="671" t="s">
        <v>267</v>
      </c>
      <c r="E150" s="671"/>
      <c r="F150" s="671"/>
      <c r="G150" s="22"/>
      <c r="H150" s="672" t="s">
        <v>247</v>
      </c>
      <c r="I150" s="672"/>
      <c r="J150" s="672"/>
      <c r="K150" s="662" t="s">
        <v>268</v>
      </c>
      <c r="L150" s="662"/>
    </row>
    <row r="151" spans="1:12" s="3" customFormat="1" ht="21.9" customHeight="1">
      <c r="A151" s="663" t="s">
        <v>59</v>
      </c>
      <c r="B151" s="663"/>
      <c r="C151" s="319"/>
      <c r="D151" s="664" t="s">
        <v>60</v>
      </c>
      <c r="E151" s="664"/>
      <c r="F151" s="664"/>
      <c r="H151" s="663" t="s">
        <v>252</v>
      </c>
      <c r="I151" s="663"/>
      <c r="J151" s="663"/>
      <c r="K151" s="320" t="s">
        <v>253</v>
      </c>
      <c r="L151" s="320"/>
    </row>
    <row r="152" spans="1:12" s="3" customFormat="1" ht="21.9" customHeight="1">
      <c r="A152" s="32"/>
      <c r="B152" s="32"/>
      <c r="C152" s="32"/>
      <c r="D152" s="32"/>
      <c r="E152" s="32"/>
      <c r="F152" s="31"/>
      <c r="G152" s="31"/>
      <c r="H152" s="31"/>
      <c r="I152" s="31"/>
      <c r="J152" s="31"/>
    </row>
    <row r="153" spans="1:12" s="3" customFormat="1" ht="21.9" customHeight="1">
      <c r="A153" s="32"/>
      <c r="B153" s="32"/>
      <c r="C153" s="32"/>
      <c r="D153" s="32"/>
      <c r="E153" s="32"/>
      <c r="F153" s="31"/>
      <c r="G153" s="31"/>
      <c r="H153" s="31"/>
      <c r="I153" s="31"/>
      <c r="J153" s="31"/>
    </row>
    <row r="154" spans="1:12" s="3" customFormat="1" ht="21.9" customHeight="1">
      <c r="A154" s="32"/>
      <c r="B154" s="32"/>
      <c r="C154" s="32"/>
      <c r="D154" s="32"/>
      <c r="E154" s="32"/>
      <c r="F154" s="33"/>
      <c r="G154" s="33"/>
      <c r="H154" s="33"/>
      <c r="I154" s="33"/>
      <c r="J154" s="33"/>
    </row>
    <row r="155" spans="1:12" s="3" customFormat="1" ht="21.9" customHeight="1">
      <c r="A155" s="32"/>
      <c r="B155" s="32"/>
      <c r="C155" s="32"/>
      <c r="D155" s="32"/>
      <c r="E155" s="32"/>
      <c r="F155" s="33"/>
      <c r="G155" s="33"/>
      <c r="H155" s="33"/>
      <c r="I155" s="33"/>
      <c r="J155" s="33"/>
    </row>
    <row r="156" spans="1:12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9"/>
      <c r="L156" s="9"/>
    </row>
    <row r="157" spans="1:12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9"/>
      <c r="L157" s="9"/>
    </row>
    <row r="158" spans="1:12" s="3" customFormat="1" ht="21.9" customHeight="1">
      <c r="A158" s="13"/>
      <c r="B158" s="13"/>
      <c r="C158" s="13"/>
      <c r="D158" s="13"/>
      <c r="E158" s="13"/>
      <c r="F158" s="14"/>
      <c r="G158" s="14"/>
      <c r="H158" s="14"/>
      <c r="I158" s="14"/>
      <c r="J158" s="14"/>
      <c r="K158" s="9"/>
      <c r="L158" s="9"/>
    </row>
    <row r="159" spans="1:12" s="3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  <c r="K159" s="9"/>
      <c r="L159" s="9"/>
    </row>
    <row r="160" spans="1:12" s="3" customFormat="1" ht="21.9" customHeight="1">
      <c r="A160" s="13"/>
      <c r="B160" s="13"/>
      <c r="C160" s="13"/>
      <c r="D160" s="13"/>
      <c r="E160" s="13"/>
      <c r="F160" s="14"/>
      <c r="G160" s="14"/>
      <c r="H160" s="14"/>
      <c r="I160" s="14"/>
      <c r="J160" s="14"/>
      <c r="K160" s="9"/>
      <c r="L160" s="9"/>
    </row>
    <row r="161" spans="1:12" s="3" customFormat="1" ht="21.9" customHeight="1">
      <c r="A161" s="13"/>
      <c r="B161" s="13"/>
      <c r="C161" s="13"/>
      <c r="D161" s="13"/>
      <c r="E161" s="13"/>
      <c r="F161" s="10"/>
      <c r="G161" s="10"/>
      <c r="H161" s="10"/>
      <c r="I161" s="10"/>
      <c r="J161" s="10"/>
      <c r="K161" s="9"/>
      <c r="L161" s="9"/>
    </row>
    <row r="162" spans="1:12" s="9" customFormat="1" ht="21.9" customHeight="1">
      <c r="A162" s="13"/>
      <c r="B162" s="13"/>
      <c r="C162" s="13"/>
      <c r="D162" s="13"/>
      <c r="E162" s="13"/>
      <c r="F162" s="14"/>
      <c r="G162" s="14"/>
      <c r="H162" s="14"/>
      <c r="I162" s="14"/>
      <c r="J162" s="14"/>
    </row>
    <row r="163" spans="1:12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</row>
    <row r="164" spans="1:12" s="9" customFormat="1" ht="21.9" customHeight="1">
      <c r="A164" s="13"/>
      <c r="B164" s="13"/>
      <c r="C164" s="13"/>
      <c r="D164" s="13"/>
      <c r="E164" s="13"/>
      <c r="F164" s="14"/>
      <c r="G164" s="14"/>
      <c r="H164" s="14"/>
      <c r="I164" s="14"/>
      <c r="J164" s="14"/>
    </row>
    <row r="165" spans="1:12" s="9" customFormat="1" ht="21.9" customHeight="1">
      <c r="A165" s="13"/>
      <c r="B165" s="13"/>
      <c r="C165" s="13"/>
      <c r="D165" s="13"/>
      <c r="E165" s="13"/>
      <c r="F165" s="8"/>
      <c r="G165" s="8"/>
      <c r="H165" s="8"/>
      <c r="I165" s="8"/>
      <c r="J165" s="8"/>
    </row>
    <row r="166" spans="1:12" s="9" customFormat="1" ht="21.9" customHeight="1">
      <c r="A166" s="13"/>
      <c r="B166" s="13"/>
      <c r="C166" s="13"/>
      <c r="D166" s="13"/>
      <c r="E166" s="13"/>
      <c r="F166" s="14"/>
      <c r="G166" s="14"/>
      <c r="H166" s="14"/>
      <c r="I166" s="14"/>
      <c r="J166" s="14"/>
    </row>
    <row r="167" spans="1:12" s="9" customFormat="1" ht="21.9" customHeight="1">
      <c r="A167" s="13"/>
      <c r="B167" s="13"/>
      <c r="C167" s="13"/>
      <c r="D167" s="13"/>
      <c r="E167" s="13"/>
      <c r="F167" s="10"/>
      <c r="G167" s="10"/>
      <c r="H167" s="10"/>
      <c r="I167" s="10"/>
      <c r="J167" s="10"/>
    </row>
    <row r="168" spans="1:12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</row>
    <row r="169" spans="1:12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</row>
    <row r="170" spans="1:12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</row>
    <row r="171" spans="1:12" s="9" customFormat="1" ht="21.9" customHeight="1">
      <c r="A171" s="13"/>
      <c r="B171" s="13"/>
      <c r="C171" s="13"/>
      <c r="D171" s="13"/>
      <c r="E171" s="13"/>
      <c r="F171" s="12"/>
      <c r="G171" s="12"/>
      <c r="H171" s="12"/>
      <c r="I171" s="12"/>
      <c r="J171" s="12"/>
    </row>
    <row r="172" spans="1:12" s="9" customFormat="1" ht="21.9" customHeight="1">
      <c r="A172" s="13"/>
      <c r="B172" s="13"/>
      <c r="C172" s="13"/>
      <c r="D172" s="13"/>
      <c r="E172" s="13"/>
      <c r="F172" s="12"/>
      <c r="G172" s="12"/>
      <c r="H172" s="12"/>
      <c r="I172" s="12"/>
      <c r="J172" s="12"/>
    </row>
    <row r="173" spans="1:12" s="9" customFormat="1" ht="21.9" customHeight="1">
      <c r="A173" s="13"/>
      <c r="B173" s="13"/>
      <c r="C173" s="13"/>
      <c r="D173" s="13"/>
      <c r="E173" s="13"/>
      <c r="F173" s="12"/>
      <c r="G173" s="12"/>
      <c r="H173" s="12"/>
      <c r="I173" s="12"/>
      <c r="J173" s="12"/>
    </row>
    <row r="174" spans="1:12" s="9" customFormat="1" ht="21.9" customHeight="1">
      <c r="A174" s="13"/>
      <c r="B174" s="13"/>
      <c r="C174" s="13"/>
      <c r="D174" s="13"/>
      <c r="E174" s="13"/>
      <c r="F174" s="14"/>
      <c r="G174" s="14"/>
      <c r="H174" s="14"/>
      <c r="I174" s="14"/>
      <c r="J174" s="14"/>
    </row>
    <row r="175" spans="1:12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</row>
    <row r="176" spans="1:12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</row>
    <row r="177" spans="1:10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</row>
    <row r="178" spans="1:10" s="9" customFormat="1" ht="21.9" customHeight="1">
      <c r="A178" s="13"/>
      <c r="B178" s="13"/>
      <c r="C178" s="13"/>
      <c r="D178" s="13"/>
      <c r="E178" s="13"/>
      <c r="F178" s="8"/>
      <c r="G178" s="8"/>
      <c r="H178" s="8"/>
      <c r="I178" s="8"/>
      <c r="J178" s="8"/>
    </row>
    <row r="179" spans="1:10" s="9" customFormat="1" ht="21.9" customHeight="1">
      <c r="A179" s="13"/>
      <c r="B179" s="13"/>
      <c r="C179" s="13"/>
      <c r="D179" s="13"/>
      <c r="E179" s="13"/>
      <c r="F179" s="8"/>
      <c r="G179" s="8"/>
      <c r="H179" s="8"/>
      <c r="I179" s="8"/>
      <c r="J179" s="8"/>
    </row>
    <row r="180" spans="1:10" s="9" customFormat="1" ht="21.9" customHeight="1">
      <c r="A180" s="13"/>
      <c r="B180" s="13"/>
      <c r="C180" s="13"/>
      <c r="D180" s="13"/>
      <c r="E180" s="13"/>
      <c r="F180" s="8"/>
      <c r="G180" s="8"/>
      <c r="H180" s="8"/>
      <c r="I180" s="8"/>
      <c r="J180" s="8"/>
    </row>
    <row r="181" spans="1:10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</row>
    <row r="182" spans="1:10" s="9" customFormat="1" ht="21.9" customHeight="1">
      <c r="A182" s="13"/>
      <c r="B182" s="13"/>
      <c r="C182" s="13"/>
      <c r="D182" s="13"/>
      <c r="E182" s="13"/>
      <c r="F182" s="10"/>
      <c r="G182" s="10"/>
      <c r="H182" s="10"/>
      <c r="I182" s="10"/>
      <c r="J182" s="10"/>
    </row>
    <row r="183" spans="1:10" s="9" customFormat="1" ht="21.9" customHeight="1">
      <c r="A183" s="13"/>
      <c r="B183" s="13"/>
      <c r="C183" s="13"/>
      <c r="D183" s="13"/>
      <c r="E183" s="13"/>
      <c r="F183" s="10"/>
      <c r="G183" s="10"/>
      <c r="H183" s="10"/>
      <c r="I183" s="10"/>
      <c r="J183" s="10"/>
    </row>
    <row r="184" spans="1:10" s="9" customFormat="1" ht="21.9" customHeight="1">
      <c r="A184" s="13"/>
      <c r="B184" s="13"/>
      <c r="C184" s="13"/>
      <c r="D184" s="13"/>
      <c r="E184" s="13"/>
      <c r="F184" s="10"/>
      <c r="G184" s="10"/>
      <c r="H184" s="10"/>
      <c r="I184" s="10"/>
      <c r="J184" s="10"/>
    </row>
    <row r="185" spans="1:10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</row>
    <row r="186" spans="1:10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</row>
    <row r="187" spans="1:10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</row>
    <row r="188" spans="1:10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</row>
    <row r="189" spans="1:10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</row>
    <row r="190" spans="1:10" s="9" customFormat="1" ht="21.9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</row>
    <row r="191" spans="1:10" s="9" customFormat="1" ht="21.9" customHeight="1">
      <c r="A191" s="13"/>
      <c r="B191" s="13"/>
      <c r="C191" s="13"/>
      <c r="D191" s="13"/>
      <c r="E191" s="13"/>
      <c r="F191" s="12"/>
      <c r="G191" s="12"/>
      <c r="H191" s="12"/>
      <c r="I191" s="12"/>
      <c r="J191" s="12"/>
    </row>
    <row r="192" spans="1:10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</row>
    <row r="193" spans="1:10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</row>
    <row r="194" spans="1:10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</row>
    <row r="195" spans="1:10" s="9" customFormat="1" ht="21.9" customHeight="1">
      <c r="A195" s="13"/>
      <c r="B195" s="13"/>
      <c r="C195" s="13"/>
      <c r="D195" s="13"/>
      <c r="E195" s="13"/>
      <c r="F195" s="8"/>
      <c r="G195" s="8"/>
      <c r="H195" s="8"/>
      <c r="I195" s="8"/>
      <c r="J195" s="8"/>
    </row>
    <row r="196" spans="1:10" s="9" customFormat="1" ht="21.9" customHeight="1">
      <c r="A196" s="13"/>
      <c r="B196" s="13"/>
      <c r="C196" s="13"/>
      <c r="D196" s="13"/>
      <c r="E196" s="13"/>
      <c r="F196" s="8"/>
      <c r="G196" s="8"/>
      <c r="H196" s="8"/>
      <c r="I196" s="8"/>
      <c r="J196" s="8"/>
    </row>
    <row r="197" spans="1:10" s="9" customFormat="1" ht="21.9" customHeight="1">
      <c r="A197" s="13"/>
      <c r="B197" s="13"/>
      <c r="C197" s="13"/>
      <c r="D197" s="13"/>
      <c r="E197" s="13"/>
      <c r="F197" s="8"/>
      <c r="G197" s="8"/>
      <c r="H197" s="8"/>
      <c r="I197" s="8"/>
      <c r="J197" s="8"/>
    </row>
    <row r="198" spans="1:10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</row>
    <row r="199" spans="1:10" s="9" customFormat="1" ht="21.9" customHeight="1">
      <c r="A199" s="13"/>
      <c r="B199" s="13"/>
      <c r="C199" s="13"/>
      <c r="D199" s="13"/>
      <c r="E199" s="13"/>
      <c r="F199" s="11"/>
      <c r="G199" s="11"/>
      <c r="H199" s="11"/>
      <c r="I199" s="11"/>
      <c r="J199" s="11"/>
    </row>
    <row r="200" spans="1:10" s="9" customFormat="1" ht="21.9" customHeight="1">
      <c r="A200" s="13"/>
      <c r="B200" s="13"/>
      <c r="C200" s="13"/>
      <c r="D200" s="13"/>
      <c r="E200" s="13"/>
      <c r="F200" s="11"/>
      <c r="G200" s="11"/>
      <c r="H200" s="11"/>
      <c r="I200" s="11"/>
      <c r="J200" s="11"/>
    </row>
    <row r="201" spans="1:10" s="9" customFormat="1" ht="21.9" customHeight="1">
      <c r="A201" s="13"/>
      <c r="B201" s="13"/>
      <c r="C201" s="13"/>
      <c r="D201" s="13"/>
      <c r="E201" s="13"/>
      <c r="F201" s="11"/>
      <c r="G201" s="11"/>
      <c r="H201" s="11"/>
      <c r="I201" s="11"/>
      <c r="J201" s="11"/>
    </row>
    <row r="202" spans="1:10" s="9" customFormat="1" ht="21.9" customHeight="1">
      <c r="A202" s="15"/>
      <c r="B202" s="15"/>
      <c r="C202" s="15"/>
      <c r="D202" s="15"/>
      <c r="E202" s="15"/>
      <c r="F202" s="12"/>
      <c r="G202" s="12"/>
      <c r="H202" s="12"/>
      <c r="I202" s="12"/>
      <c r="J202" s="12"/>
    </row>
    <row r="203" spans="1:10" s="9" customFormat="1" ht="21.9" customHeight="1">
      <c r="A203" s="15"/>
      <c r="B203" s="15"/>
      <c r="C203" s="15"/>
      <c r="D203" s="15"/>
      <c r="E203" s="15"/>
      <c r="F203" s="11"/>
      <c r="G203" s="11"/>
      <c r="H203" s="11"/>
      <c r="I203" s="11"/>
      <c r="J203" s="11"/>
    </row>
    <row r="204" spans="1:10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</row>
    <row r="205" spans="1:10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</row>
    <row r="206" spans="1:10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</row>
    <row r="207" spans="1:10" s="9" customFormat="1" ht="21.9" customHeight="1">
      <c r="A207" s="15"/>
      <c r="B207" s="15"/>
      <c r="C207" s="15"/>
      <c r="D207" s="15"/>
      <c r="E207" s="15"/>
      <c r="F207" s="12"/>
      <c r="G207" s="12"/>
      <c r="H207" s="12"/>
      <c r="I207" s="12"/>
      <c r="J207" s="12"/>
    </row>
    <row r="208" spans="1:10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</row>
    <row r="209" spans="1:10" s="9" customFormat="1" ht="21.9" customHeight="1">
      <c r="A209" s="15"/>
      <c r="B209" s="15"/>
      <c r="C209" s="15"/>
      <c r="D209" s="15"/>
      <c r="E209" s="15"/>
      <c r="F209" s="12"/>
      <c r="G209" s="12"/>
      <c r="H209" s="12"/>
      <c r="I209" s="12"/>
      <c r="J209" s="12"/>
    </row>
    <row r="210" spans="1:10" s="9" customFormat="1" ht="21.9" customHeight="1">
      <c r="A210" s="15"/>
      <c r="B210" s="15"/>
      <c r="C210" s="15"/>
      <c r="D210" s="15"/>
      <c r="E210" s="15"/>
      <c r="F210" s="8"/>
      <c r="G210" s="8"/>
      <c r="H210" s="8"/>
      <c r="I210" s="8"/>
      <c r="J210" s="8"/>
    </row>
    <row r="211" spans="1:10" s="9" customFormat="1" ht="21.9" customHeight="1">
      <c r="A211" s="15"/>
      <c r="B211" s="15"/>
      <c r="C211" s="15"/>
      <c r="D211" s="15"/>
      <c r="E211" s="15"/>
      <c r="F211" s="12"/>
      <c r="G211" s="12"/>
      <c r="H211" s="12"/>
      <c r="I211" s="12"/>
      <c r="J211" s="12"/>
    </row>
    <row r="212" spans="1:10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</row>
    <row r="213" spans="1:10" s="9" customFormat="1" ht="21.9" customHeight="1">
      <c r="A213" s="15"/>
      <c r="B213" s="15"/>
      <c r="C213" s="15"/>
      <c r="D213" s="15"/>
      <c r="E213" s="15"/>
      <c r="F213" s="12"/>
      <c r="G213" s="12"/>
      <c r="H213" s="12"/>
      <c r="I213" s="12"/>
      <c r="J213" s="12"/>
    </row>
    <row r="214" spans="1:10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</row>
    <row r="215" spans="1:10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</row>
    <row r="216" spans="1:10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</row>
    <row r="217" spans="1:10" s="9" customFormat="1" ht="21.9" customHeight="1">
      <c r="A217" s="15"/>
      <c r="B217" s="15"/>
      <c r="C217" s="15"/>
      <c r="D217" s="15"/>
      <c r="E217" s="15"/>
      <c r="F217" s="8"/>
      <c r="G217" s="8"/>
      <c r="H217" s="8"/>
      <c r="I217" s="8"/>
      <c r="J217" s="8"/>
    </row>
    <row r="218" spans="1:10" s="9" customFormat="1" ht="21.9" customHeight="1">
      <c r="A218" s="15"/>
      <c r="B218" s="15"/>
      <c r="C218" s="15"/>
      <c r="D218" s="15"/>
      <c r="E218" s="15"/>
      <c r="F218" s="8"/>
      <c r="G218" s="8"/>
      <c r="H218" s="8"/>
      <c r="I218" s="8"/>
      <c r="J218" s="8"/>
    </row>
    <row r="219" spans="1:10" s="9" customFormat="1" ht="21.9" customHeight="1">
      <c r="A219" s="15"/>
      <c r="B219" s="15"/>
      <c r="C219" s="15"/>
      <c r="D219" s="15"/>
      <c r="E219" s="15"/>
      <c r="F219" s="8"/>
      <c r="G219" s="8"/>
      <c r="H219" s="8"/>
      <c r="I219" s="8"/>
      <c r="J219" s="8"/>
    </row>
    <row r="220" spans="1:10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</row>
    <row r="221" spans="1:10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</row>
    <row r="222" spans="1:10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</row>
    <row r="223" spans="1:10" s="9" customFormat="1" ht="21.9" customHeight="1">
      <c r="A223" s="15"/>
      <c r="B223" s="15"/>
      <c r="C223" s="15"/>
      <c r="D223" s="15"/>
      <c r="E223" s="15"/>
      <c r="F223" s="11"/>
      <c r="G223" s="11"/>
      <c r="H223" s="11"/>
      <c r="I223" s="11"/>
      <c r="J223" s="11"/>
    </row>
    <row r="224" spans="1:10" s="9" customFormat="1" ht="21.9" customHeight="1">
      <c r="A224" s="15"/>
      <c r="B224" s="15"/>
      <c r="C224" s="15"/>
      <c r="D224" s="15"/>
      <c r="E224" s="15"/>
      <c r="F224" s="11"/>
      <c r="G224" s="11"/>
      <c r="H224" s="11"/>
      <c r="I224" s="11"/>
      <c r="J224" s="11"/>
    </row>
    <row r="225" spans="1:10" s="9" customFormat="1" ht="21.9" customHeight="1">
      <c r="A225" s="15"/>
      <c r="B225" s="15"/>
      <c r="C225" s="15"/>
      <c r="D225" s="15"/>
      <c r="E225" s="15"/>
      <c r="F225" s="11"/>
      <c r="G225" s="11"/>
      <c r="H225" s="11"/>
      <c r="I225" s="11"/>
      <c r="J225" s="11"/>
    </row>
    <row r="226" spans="1:10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</row>
    <row r="227" spans="1:10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</row>
    <row r="228" spans="1:10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</row>
    <row r="229" spans="1:10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</row>
    <row r="230" spans="1:10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</row>
    <row r="231" spans="1:10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</row>
    <row r="232" spans="1:10" s="9" customFormat="1" ht="21.9" customHeight="1">
      <c r="A232" s="15"/>
      <c r="B232" s="15"/>
      <c r="C232" s="15"/>
      <c r="D232" s="15"/>
      <c r="E232" s="15"/>
      <c r="F232" s="8"/>
      <c r="G232" s="8"/>
      <c r="H232" s="8"/>
      <c r="I232" s="8"/>
      <c r="J232" s="8"/>
    </row>
    <row r="233" spans="1:10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</row>
    <row r="234" spans="1:10" s="9" customFormat="1" ht="21.9" customHeight="1">
      <c r="A234" s="6"/>
      <c r="B234" s="6"/>
      <c r="C234" s="6"/>
      <c r="D234" s="6"/>
      <c r="E234" s="6"/>
      <c r="F234" s="12"/>
      <c r="G234" s="12"/>
      <c r="H234" s="12"/>
      <c r="I234" s="12"/>
      <c r="J234" s="12"/>
    </row>
    <row r="235" spans="1:10" s="9" customFormat="1" ht="21.9" customHeight="1">
      <c r="A235" s="6"/>
      <c r="B235" s="6"/>
      <c r="C235" s="6"/>
      <c r="D235" s="6"/>
      <c r="E235" s="6"/>
      <c r="F235" s="11"/>
      <c r="G235" s="11"/>
      <c r="H235" s="11"/>
      <c r="I235" s="11"/>
      <c r="J235" s="11"/>
    </row>
    <row r="236" spans="1:10" s="9" customFormat="1" ht="21.9" customHeight="1">
      <c r="A236" s="6"/>
      <c r="B236" s="6"/>
      <c r="C236" s="6"/>
      <c r="D236" s="6"/>
      <c r="E236" s="6"/>
      <c r="F236" s="12"/>
      <c r="G236" s="12"/>
      <c r="H236" s="12"/>
      <c r="I236" s="12"/>
      <c r="J236" s="12"/>
    </row>
    <row r="237" spans="1:10" s="9" customFormat="1" ht="21.9" customHeight="1">
      <c r="A237" s="6"/>
      <c r="B237" s="6"/>
      <c r="C237" s="6"/>
      <c r="D237" s="6"/>
      <c r="E237" s="6"/>
      <c r="F237" s="8"/>
      <c r="G237" s="8"/>
      <c r="H237" s="8"/>
      <c r="I237" s="8"/>
      <c r="J237" s="8"/>
    </row>
    <row r="238" spans="1:10" s="9" customFormat="1" ht="21.9" customHeight="1">
      <c r="A238" s="6"/>
      <c r="B238" s="6"/>
      <c r="C238" s="6"/>
      <c r="D238" s="6"/>
      <c r="E238" s="6"/>
      <c r="F238" s="8"/>
      <c r="G238" s="8"/>
      <c r="H238" s="8"/>
      <c r="I238" s="8"/>
      <c r="J238" s="8"/>
    </row>
    <row r="239" spans="1:10" s="9" customFormat="1" ht="21.9" customHeight="1">
      <c r="A239" s="6"/>
      <c r="B239" s="6"/>
      <c r="C239" s="6"/>
      <c r="D239" s="6"/>
      <c r="E239" s="6"/>
      <c r="F239" s="11"/>
      <c r="G239" s="11"/>
      <c r="H239" s="11"/>
      <c r="I239" s="11"/>
      <c r="J239" s="11"/>
    </row>
    <row r="240" spans="1:10" s="9" customFormat="1" ht="21.9" customHeight="1">
      <c r="A240" s="6"/>
      <c r="B240" s="6"/>
      <c r="C240" s="6"/>
      <c r="D240" s="6"/>
      <c r="E240" s="6"/>
      <c r="F240" s="12"/>
      <c r="G240" s="12"/>
      <c r="H240" s="12"/>
      <c r="I240" s="12"/>
      <c r="J240" s="12"/>
    </row>
    <row r="241" spans="1:10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</row>
    <row r="242" spans="1:10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</row>
    <row r="243" spans="1:10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</row>
    <row r="244" spans="1:10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</row>
    <row r="245" spans="1:10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</row>
    <row r="246" spans="1:10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</row>
    <row r="247" spans="1:10" s="9" customFormat="1" ht="21.9" customHeight="1">
      <c r="A247" s="6"/>
      <c r="B247" s="6"/>
      <c r="C247" s="6"/>
      <c r="D247" s="6"/>
      <c r="E247" s="6"/>
      <c r="F247" s="11"/>
      <c r="G247" s="11"/>
      <c r="H247" s="11"/>
      <c r="I247" s="11"/>
      <c r="J247" s="11"/>
    </row>
    <row r="248" spans="1:10" s="9" customFormat="1" ht="21.9" customHeight="1">
      <c r="A248" s="6"/>
      <c r="B248" s="6"/>
      <c r="C248" s="6"/>
      <c r="D248" s="6"/>
      <c r="E248" s="6"/>
      <c r="F248" s="11"/>
      <c r="G248" s="11"/>
      <c r="H248" s="11"/>
      <c r="I248" s="11"/>
      <c r="J248" s="11"/>
    </row>
    <row r="249" spans="1:10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</row>
    <row r="250" spans="1:10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</row>
    <row r="251" spans="1:10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</row>
    <row r="252" spans="1:10" s="9" customFormat="1" ht="21.9" customHeight="1">
      <c r="A252" s="6"/>
      <c r="B252" s="6"/>
      <c r="C252" s="6"/>
      <c r="D252" s="6"/>
      <c r="E252" s="6"/>
      <c r="F252" s="8"/>
      <c r="G252" s="8"/>
      <c r="H252" s="8"/>
      <c r="I252" s="8"/>
      <c r="J252" s="8"/>
    </row>
    <row r="253" spans="1:10" s="9" customFormat="1" ht="21.9" customHeight="1">
      <c r="A253" s="6"/>
      <c r="B253" s="6"/>
      <c r="C253" s="6"/>
      <c r="D253" s="6"/>
      <c r="E253" s="6"/>
      <c r="F253" s="8"/>
      <c r="G253" s="8"/>
      <c r="H253" s="8"/>
      <c r="I253" s="8"/>
      <c r="J253" s="8"/>
    </row>
    <row r="254" spans="1:10" s="9" customFormat="1" ht="21.9" customHeight="1">
      <c r="A254" s="6"/>
      <c r="B254" s="6"/>
      <c r="C254" s="6"/>
      <c r="D254" s="6"/>
      <c r="E254" s="6"/>
      <c r="F254" s="8"/>
      <c r="G254" s="8"/>
      <c r="H254" s="8"/>
      <c r="I254" s="8"/>
      <c r="J254" s="8"/>
    </row>
    <row r="255" spans="1:10" s="9" customFormat="1" ht="13.2">
      <c r="A255" s="6"/>
      <c r="B255" s="6"/>
      <c r="C255" s="6"/>
      <c r="D255" s="6"/>
      <c r="E255" s="6"/>
      <c r="F255" s="12"/>
      <c r="G255" s="12"/>
      <c r="H255" s="12"/>
      <c r="I255" s="12"/>
      <c r="J255" s="12"/>
    </row>
    <row r="256" spans="1:10" s="9" customFormat="1" ht="13.2">
      <c r="A256" s="6"/>
      <c r="B256" s="6"/>
      <c r="C256" s="6"/>
      <c r="D256" s="6"/>
      <c r="E256" s="6"/>
      <c r="F256" s="10"/>
      <c r="G256" s="10"/>
      <c r="H256" s="10"/>
      <c r="I256" s="10"/>
      <c r="J256" s="10"/>
    </row>
    <row r="257" spans="1:10" s="9" customFormat="1" ht="13.2">
      <c r="A257" s="6"/>
      <c r="B257" s="6"/>
      <c r="C257" s="6"/>
      <c r="D257" s="6"/>
      <c r="E257" s="6"/>
      <c r="F257" s="12"/>
      <c r="G257" s="12"/>
      <c r="H257" s="12"/>
      <c r="I257" s="12"/>
      <c r="J257" s="12"/>
    </row>
    <row r="258" spans="1:10" s="9" customFormat="1" ht="13.2">
      <c r="A258" s="6"/>
      <c r="B258" s="6"/>
      <c r="C258" s="6"/>
      <c r="D258" s="6"/>
      <c r="E258" s="6"/>
      <c r="F258" s="12"/>
      <c r="G258" s="12"/>
      <c r="H258" s="12"/>
      <c r="I258" s="12"/>
      <c r="J258" s="12"/>
    </row>
    <row r="259" spans="1:10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</row>
    <row r="260" spans="1:10" s="9" customFormat="1" ht="13.2">
      <c r="A260" s="6"/>
      <c r="B260" s="6"/>
      <c r="C260" s="6"/>
      <c r="D260" s="6"/>
      <c r="E260" s="6"/>
      <c r="F260" s="8"/>
      <c r="G260" s="8"/>
      <c r="H260" s="8"/>
      <c r="I260" s="8"/>
      <c r="J260" s="8"/>
    </row>
    <row r="261" spans="1:10" s="9" customFormat="1" ht="13.2">
      <c r="A261" s="6"/>
      <c r="B261" s="6"/>
      <c r="C261" s="6"/>
      <c r="D261" s="6"/>
      <c r="E261" s="6"/>
      <c r="F261" s="8"/>
      <c r="G261" s="8"/>
      <c r="H261" s="8"/>
      <c r="I261" s="8"/>
      <c r="J261" s="8"/>
    </row>
    <row r="262" spans="1:10" s="9" customFormat="1" ht="13.2">
      <c r="A262" s="6"/>
      <c r="B262" s="6"/>
      <c r="C262" s="6"/>
      <c r="D262" s="6"/>
      <c r="E262" s="6"/>
      <c r="F262" s="8"/>
      <c r="G262" s="8"/>
      <c r="H262" s="8"/>
      <c r="I262" s="8"/>
      <c r="J262" s="8"/>
    </row>
    <row r="263" spans="1:10" s="9" customFormat="1" ht="13.2">
      <c r="A263" s="6"/>
      <c r="B263" s="6"/>
      <c r="C263" s="6"/>
      <c r="D263" s="6"/>
      <c r="E263" s="6"/>
      <c r="F263" s="11"/>
      <c r="G263" s="11"/>
      <c r="H263" s="11"/>
      <c r="I263" s="11"/>
      <c r="J263" s="11"/>
    </row>
    <row r="264" spans="1:10" s="9" customFormat="1" ht="13.2">
      <c r="A264" s="6"/>
      <c r="B264" s="6"/>
      <c r="C264" s="6"/>
      <c r="D264" s="6"/>
      <c r="E264" s="6"/>
      <c r="F264" s="12"/>
      <c r="G264" s="12"/>
      <c r="H264" s="12"/>
      <c r="I264" s="12"/>
      <c r="J264" s="12"/>
    </row>
    <row r="265" spans="1:10" s="9" customFormat="1" ht="13.2">
      <c r="A265" s="6"/>
      <c r="B265" s="6"/>
      <c r="C265" s="6"/>
      <c r="D265" s="6"/>
      <c r="E265" s="6"/>
      <c r="F265" s="10"/>
      <c r="G265" s="10"/>
      <c r="H265" s="10"/>
      <c r="I265" s="10"/>
      <c r="J265" s="10"/>
    </row>
    <row r="266" spans="1:10" s="9" customFormat="1" ht="13.2">
      <c r="A266" s="6"/>
      <c r="B266" s="6"/>
      <c r="C266" s="6"/>
      <c r="D266" s="6"/>
      <c r="E266" s="6"/>
      <c r="F266" s="11"/>
      <c r="G266" s="11"/>
      <c r="H266" s="11"/>
      <c r="I266" s="11"/>
      <c r="J266" s="11"/>
    </row>
    <row r="267" spans="1:10" s="9" customFormat="1" ht="13.2">
      <c r="A267" s="6"/>
      <c r="B267" s="6"/>
      <c r="C267" s="6"/>
      <c r="D267" s="6"/>
      <c r="E267" s="6"/>
      <c r="F267" s="8"/>
      <c r="G267" s="8"/>
      <c r="H267" s="8"/>
      <c r="I267" s="8"/>
      <c r="J267" s="8"/>
    </row>
    <row r="268" spans="1:10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</row>
    <row r="269" spans="1:10" s="9" customFormat="1" ht="13.2">
      <c r="A269" s="6"/>
      <c r="B269" s="6"/>
      <c r="C269" s="6"/>
      <c r="D269" s="6"/>
      <c r="E269" s="6"/>
      <c r="F269" s="7"/>
      <c r="G269" s="7"/>
      <c r="H269" s="7"/>
      <c r="I269" s="7"/>
      <c r="J269" s="7"/>
    </row>
    <row r="270" spans="1:10" s="9" customFormat="1" ht="13.2">
      <c r="A270" s="6"/>
      <c r="B270" s="6"/>
      <c r="C270" s="6"/>
      <c r="D270" s="6"/>
      <c r="E270" s="6"/>
      <c r="F270" s="7"/>
      <c r="G270" s="7"/>
      <c r="H270" s="7"/>
      <c r="I270" s="7"/>
      <c r="J270" s="7"/>
    </row>
    <row r="271" spans="1:10" s="9" customFormat="1" ht="13.2">
      <c r="A271" s="6"/>
      <c r="B271" s="6"/>
      <c r="C271" s="6"/>
      <c r="D271" s="6"/>
      <c r="E271" s="6"/>
      <c r="F271" s="7"/>
      <c r="G271" s="7"/>
      <c r="H271" s="7"/>
      <c r="I271" s="7"/>
      <c r="J271" s="7"/>
    </row>
    <row r="272" spans="1:10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</row>
    <row r="273" spans="1:10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</row>
    <row r="274" spans="1:10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</row>
    <row r="275" spans="1:10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</row>
    <row r="276" spans="1:10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</row>
    <row r="277" spans="1:10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</row>
    <row r="278" spans="1:10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</row>
    <row r="279" spans="1:10" s="9" customFormat="1" ht="13.2">
      <c r="A279" s="6"/>
      <c r="B279" s="6"/>
      <c r="C279" s="6"/>
      <c r="D279" s="6"/>
      <c r="E279" s="6"/>
      <c r="F279" s="8"/>
      <c r="G279" s="8"/>
      <c r="H279" s="8"/>
      <c r="I279" s="8"/>
      <c r="J279" s="8"/>
    </row>
    <row r="280" spans="1:10" s="9" customFormat="1" ht="13.2">
      <c r="A280" s="6"/>
      <c r="B280" s="6"/>
      <c r="C280" s="6"/>
      <c r="D280" s="6"/>
      <c r="E280" s="6"/>
      <c r="F280" s="12"/>
      <c r="G280" s="12"/>
      <c r="H280" s="12"/>
      <c r="I280" s="12"/>
      <c r="J280" s="12"/>
    </row>
    <row r="281" spans="1:10" s="9" customFormat="1" ht="13.2">
      <c r="A281" s="6"/>
      <c r="B281" s="6"/>
      <c r="C281" s="6"/>
      <c r="D281" s="6"/>
      <c r="E281" s="6"/>
      <c r="F281" s="11"/>
      <c r="G281" s="11"/>
      <c r="H281" s="11"/>
      <c r="I281" s="11"/>
      <c r="J281" s="11"/>
    </row>
    <row r="282" spans="1:10" s="9" customFormat="1" ht="13.2">
      <c r="A282" s="6"/>
      <c r="B282" s="6"/>
      <c r="C282" s="6"/>
      <c r="D282" s="6"/>
      <c r="E282" s="6"/>
      <c r="F282" s="12"/>
      <c r="G282" s="12"/>
      <c r="H282" s="12"/>
      <c r="I282" s="12"/>
      <c r="J282" s="12"/>
    </row>
    <row r="283" spans="1:10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</row>
    <row r="284" spans="1:10" s="9" customFormat="1" ht="13.2">
      <c r="A284" s="6"/>
      <c r="B284" s="6"/>
      <c r="C284" s="6"/>
      <c r="D284" s="6"/>
      <c r="E284" s="6"/>
      <c r="F284" s="12"/>
      <c r="G284" s="12"/>
      <c r="H284" s="12"/>
      <c r="I284" s="12"/>
      <c r="J284" s="12"/>
    </row>
    <row r="285" spans="1:10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</row>
    <row r="286" spans="1:10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</row>
    <row r="287" spans="1:10" s="9" customFormat="1" ht="13.2">
      <c r="A287" s="6"/>
      <c r="B287" s="6"/>
      <c r="C287" s="6"/>
      <c r="D287" s="6"/>
      <c r="E287" s="6"/>
      <c r="F287" s="12"/>
      <c r="G287" s="12"/>
      <c r="H287" s="12"/>
      <c r="I287" s="12"/>
      <c r="J287" s="12"/>
    </row>
    <row r="288" spans="1:10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</row>
    <row r="289" spans="1:10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</row>
    <row r="290" spans="1:10" s="9" customFormat="1" ht="13.2">
      <c r="A290" s="6"/>
      <c r="B290" s="6"/>
      <c r="C290" s="6"/>
      <c r="D290" s="6"/>
      <c r="E290" s="6"/>
      <c r="F290" s="11"/>
      <c r="G290" s="11"/>
      <c r="H290" s="11"/>
      <c r="I290" s="11"/>
      <c r="J290" s="11"/>
    </row>
    <row r="291" spans="1:10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</row>
    <row r="292" spans="1:10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</row>
    <row r="293" spans="1:10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</row>
    <row r="294" spans="1:10" s="9" customFormat="1" ht="13.2">
      <c r="A294" s="6"/>
      <c r="B294" s="6"/>
      <c r="C294" s="6"/>
      <c r="D294" s="6"/>
      <c r="E294" s="6"/>
      <c r="F294" s="11"/>
      <c r="G294" s="11"/>
      <c r="H294" s="11"/>
      <c r="I294" s="11"/>
      <c r="J294" s="11"/>
    </row>
    <row r="295" spans="1:10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</row>
    <row r="296" spans="1:10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</row>
    <row r="297" spans="1:10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</row>
    <row r="298" spans="1:10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</row>
    <row r="299" spans="1:10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</row>
    <row r="300" spans="1:10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</row>
    <row r="301" spans="1:10" s="9" customFormat="1" ht="13.2">
      <c r="A301" s="6"/>
      <c r="B301" s="6"/>
      <c r="C301" s="6"/>
      <c r="D301" s="6"/>
      <c r="E301" s="6"/>
      <c r="F301" s="10"/>
      <c r="G301" s="10"/>
      <c r="H301" s="10"/>
      <c r="I301" s="10"/>
      <c r="J301" s="10"/>
    </row>
    <row r="302" spans="1:10" s="9" customFormat="1" ht="13.2">
      <c r="A302" s="6"/>
      <c r="B302" s="6"/>
      <c r="C302" s="6"/>
      <c r="D302" s="6"/>
      <c r="E302" s="6"/>
      <c r="F302" s="11"/>
      <c r="G302" s="11"/>
      <c r="H302" s="11"/>
      <c r="I302" s="11"/>
      <c r="J302" s="11"/>
    </row>
    <row r="303" spans="1:10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</row>
    <row r="304" spans="1:10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</row>
    <row r="305" spans="1:10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</row>
    <row r="306" spans="1:10" s="9" customFormat="1" ht="13.2">
      <c r="A306" s="6"/>
      <c r="B306" s="6"/>
      <c r="C306" s="6"/>
      <c r="D306" s="6"/>
      <c r="E306" s="6"/>
      <c r="F306" s="8"/>
      <c r="G306" s="8"/>
      <c r="H306" s="8"/>
      <c r="I306" s="8"/>
      <c r="J306" s="8"/>
    </row>
    <row r="307" spans="1:10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</row>
    <row r="308" spans="1:10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</row>
    <row r="309" spans="1:10" s="9" customFormat="1" ht="13.2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spans="1:10" s="9" customFormat="1" ht="13.2">
      <c r="A310" s="6"/>
      <c r="B310" s="6"/>
      <c r="C310" s="6"/>
      <c r="D310" s="6"/>
      <c r="E310" s="6"/>
      <c r="F310" s="11"/>
      <c r="G310" s="11"/>
      <c r="H310" s="11"/>
      <c r="I310" s="11"/>
      <c r="J310" s="11"/>
    </row>
    <row r="311" spans="1:10" s="9" customFormat="1" ht="13.2">
      <c r="A311" s="6"/>
      <c r="B311" s="6"/>
      <c r="C311" s="6"/>
      <c r="D311" s="6"/>
      <c r="E311" s="6"/>
      <c r="F311" s="11"/>
      <c r="G311" s="11"/>
      <c r="H311" s="11"/>
      <c r="I311" s="11"/>
      <c r="J311" s="11"/>
    </row>
    <row r="312" spans="1:10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</row>
    <row r="313" spans="1:10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</row>
    <row r="314" spans="1:10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</row>
    <row r="315" spans="1:10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</row>
    <row r="316" spans="1:10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</row>
    <row r="317" spans="1:10" s="9" customFormat="1" ht="13.2">
      <c r="A317" s="6"/>
      <c r="B317" s="6"/>
      <c r="C317" s="6"/>
      <c r="D317" s="6"/>
      <c r="E317" s="6"/>
      <c r="F317" s="7"/>
      <c r="G317" s="7"/>
      <c r="H317" s="7"/>
      <c r="I317" s="7"/>
      <c r="J317" s="7"/>
    </row>
    <row r="318" spans="1:10" s="9" customFormat="1" ht="13.2">
      <c r="A318" s="6"/>
      <c r="B318" s="6"/>
      <c r="C318" s="6"/>
      <c r="D318" s="6"/>
      <c r="E318" s="6"/>
      <c r="F318" s="7"/>
      <c r="G318" s="7"/>
      <c r="H318" s="7"/>
      <c r="I318" s="7"/>
      <c r="J318" s="7"/>
    </row>
    <row r="319" spans="1:10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</row>
    <row r="320" spans="1:10" s="9" customFormat="1" ht="13.2">
      <c r="A320" s="6"/>
      <c r="B320" s="6"/>
      <c r="C320" s="6"/>
      <c r="D320" s="6"/>
      <c r="E320" s="6"/>
      <c r="F320" s="11"/>
      <c r="G320" s="11"/>
      <c r="H320" s="11"/>
      <c r="I320" s="11"/>
      <c r="J320" s="11"/>
    </row>
    <row r="321" spans="1:10" s="9" customFormat="1" ht="13.2">
      <c r="A321" s="6"/>
      <c r="B321" s="6"/>
      <c r="C321" s="6"/>
      <c r="D321" s="6"/>
      <c r="E321" s="6"/>
      <c r="F321" s="7"/>
      <c r="G321" s="7"/>
      <c r="H321" s="7"/>
      <c r="I321" s="7"/>
      <c r="J321" s="7"/>
    </row>
    <row r="322" spans="1:10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</row>
    <row r="323" spans="1:10" s="9" customFormat="1" ht="13.2">
      <c r="A323" s="6"/>
      <c r="B323" s="6"/>
      <c r="C323" s="6"/>
      <c r="D323" s="6"/>
      <c r="E323" s="6"/>
      <c r="F323" s="7"/>
      <c r="G323" s="7"/>
      <c r="H323" s="7"/>
      <c r="I323" s="7"/>
      <c r="J323" s="7"/>
    </row>
    <row r="324" spans="1:10" s="9" customFormat="1" ht="13.2">
      <c r="A324" s="6"/>
      <c r="B324" s="6"/>
      <c r="C324" s="6"/>
      <c r="D324" s="6"/>
      <c r="E324" s="6"/>
      <c r="F324" s="7"/>
      <c r="G324" s="7"/>
      <c r="H324" s="7"/>
      <c r="I324" s="7"/>
      <c r="J324" s="7"/>
    </row>
    <row r="325" spans="1:10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</row>
    <row r="326" spans="1:10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</row>
    <row r="327" spans="1:10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</row>
    <row r="328" spans="1:10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</row>
    <row r="329" spans="1:10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</row>
    <row r="330" spans="1:10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</row>
    <row r="331" spans="1:10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</row>
    <row r="332" spans="1:10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</row>
    <row r="333" spans="1:10" s="9" customFormat="1" ht="13.2">
      <c r="A333" s="6"/>
      <c r="B333" s="6"/>
      <c r="C333" s="6"/>
      <c r="D333" s="6"/>
      <c r="E333" s="6"/>
      <c r="F333" s="7"/>
      <c r="G333" s="7"/>
      <c r="H333" s="7"/>
      <c r="I333" s="7"/>
      <c r="J333" s="7"/>
    </row>
    <row r="334" spans="1:10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</row>
    <row r="335" spans="1:10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</row>
    <row r="336" spans="1:10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</row>
    <row r="337" spans="1:10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</row>
    <row r="338" spans="1:10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</row>
    <row r="339" spans="1:10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</row>
    <row r="340" spans="1:10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</row>
    <row r="341" spans="1:10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</row>
    <row r="342" spans="1:10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</row>
    <row r="343" spans="1:10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</row>
    <row r="344" spans="1:10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</row>
    <row r="345" spans="1:10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</row>
    <row r="346" spans="1:10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</row>
    <row r="347" spans="1:10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</row>
    <row r="348" spans="1:10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</row>
    <row r="349" spans="1:10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</row>
    <row r="350" spans="1:10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</row>
    <row r="351" spans="1:10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</row>
    <row r="352" spans="1:10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</row>
    <row r="353" spans="1:10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</row>
    <row r="354" spans="1:10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</row>
    <row r="355" spans="1:10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</row>
    <row r="356" spans="1:10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</row>
    <row r="357" spans="1:10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</row>
    <row r="358" spans="1:10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</row>
    <row r="359" spans="1:10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</row>
    <row r="360" spans="1:10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</row>
    <row r="361" spans="1:10" s="9" customFormat="1" ht="13.2">
      <c r="A361" s="6"/>
      <c r="B361" s="6"/>
      <c r="C361" s="6"/>
      <c r="D361" s="6"/>
      <c r="E361" s="6"/>
      <c r="F361" s="10"/>
      <c r="G361" s="10"/>
      <c r="H361" s="10"/>
      <c r="I361" s="10"/>
      <c r="J361" s="10"/>
    </row>
    <row r="362" spans="1:10" s="9" customFormat="1" ht="13.2">
      <c r="A362" s="6"/>
      <c r="B362" s="6"/>
      <c r="C362" s="6"/>
      <c r="D362" s="6"/>
      <c r="E362" s="6"/>
      <c r="F362" s="10"/>
      <c r="G362" s="10"/>
      <c r="H362" s="10"/>
      <c r="I362" s="10"/>
      <c r="J362" s="10"/>
    </row>
    <row r="363" spans="1:10" s="9" customFormat="1" ht="13.2">
      <c r="A363" s="6"/>
      <c r="B363" s="6"/>
      <c r="C363" s="6"/>
      <c r="D363" s="6"/>
      <c r="E363" s="6"/>
      <c r="F363" s="10"/>
      <c r="G363" s="10"/>
      <c r="H363" s="10"/>
      <c r="I363" s="10"/>
      <c r="J363" s="10"/>
    </row>
    <row r="364" spans="1:10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</row>
    <row r="365" spans="1:10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</row>
    <row r="366" spans="1:10" s="9" customFormat="1" ht="13.2">
      <c r="A366" s="6"/>
      <c r="B366" s="6"/>
      <c r="C366" s="6"/>
      <c r="D366" s="6"/>
      <c r="E366" s="6"/>
      <c r="F366" s="10"/>
      <c r="G366" s="10"/>
      <c r="H366" s="10"/>
      <c r="I366" s="10"/>
      <c r="J366" s="10"/>
    </row>
    <row r="367" spans="1:10" s="9" customFormat="1" ht="13.2">
      <c r="A367" s="6"/>
      <c r="B367" s="6"/>
      <c r="C367" s="6"/>
      <c r="D367" s="6"/>
      <c r="E367" s="6"/>
      <c r="F367" s="10"/>
      <c r="G367" s="10"/>
      <c r="H367" s="10"/>
      <c r="I367" s="10"/>
      <c r="J367" s="10"/>
    </row>
    <row r="368" spans="1:10" s="9" customFormat="1" ht="13.2">
      <c r="A368" s="6"/>
      <c r="B368" s="6"/>
      <c r="C368" s="6"/>
      <c r="D368" s="6"/>
      <c r="E368" s="6"/>
      <c r="F368" s="10"/>
      <c r="G368" s="10"/>
      <c r="H368" s="10"/>
      <c r="I368" s="10"/>
      <c r="J368" s="10"/>
    </row>
    <row r="369" spans="1:10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</row>
    <row r="370" spans="1:10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</row>
    <row r="371" spans="1:10" s="9" customFormat="1" ht="13.2">
      <c r="A371" s="6"/>
      <c r="B371" s="6"/>
      <c r="C371" s="6"/>
      <c r="D371" s="6"/>
      <c r="E371" s="6"/>
      <c r="F371" s="8"/>
      <c r="G371" s="8"/>
      <c r="H371" s="8"/>
      <c r="I371" s="8"/>
      <c r="J371" s="8"/>
    </row>
    <row r="372" spans="1:10" s="9" customFormat="1" ht="13.2">
      <c r="A372" s="6"/>
      <c r="B372" s="6"/>
      <c r="C372" s="6"/>
      <c r="D372" s="6"/>
      <c r="E372" s="6"/>
      <c r="F372" s="12"/>
      <c r="G372" s="12"/>
      <c r="H372" s="12"/>
      <c r="I372" s="12"/>
      <c r="J372" s="12"/>
    </row>
    <row r="373" spans="1:10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</row>
    <row r="374" spans="1:10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</row>
    <row r="375" spans="1:10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</row>
    <row r="376" spans="1:10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</row>
    <row r="377" spans="1:10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</row>
    <row r="378" spans="1:10" s="9" customFormat="1" ht="13.2">
      <c r="A378" s="13"/>
      <c r="B378" s="13"/>
      <c r="C378" s="13"/>
      <c r="D378" s="13"/>
      <c r="E378" s="13"/>
      <c r="F378" s="12"/>
      <c r="G378" s="12"/>
      <c r="H378" s="12"/>
      <c r="I378" s="12"/>
      <c r="J378" s="12"/>
    </row>
    <row r="379" spans="1:10" s="9" customFormat="1" ht="13.2">
      <c r="A379" s="13"/>
      <c r="B379" s="13"/>
      <c r="C379" s="13"/>
      <c r="D379" s="13"/>
      <c r="E379" s="13"/>
      <c r="F379" s="12"/>
      <c r="G379" s="12"/>
      <c r="H379" s="12"/>
      <c r="I379" s="12"/>
      <c r="J379" s="12"/>
    </row>
    <row r="380" spans="1:10" s="9" customFormat="1" ht="13.2">
      <c r="A380" s="13"/>
      <c r="B380" s="13"/>
      <c r="C380" s="13"/>
      <c r="D380" s="13"/>
      <c r="E380" s="13"/>
      <c r="F380" s="12"/>
      <c r="G380" s="12"/>
      <c r="H380" s="12"/>
      <c r="I380" s="12"/>
      <c r="J380" s="12"/>
    </row>
    <row r="381" spans="1:10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</row>
    <row r="382" spans="1:10" s="9" customFormat="1" ht="13.2">
      <c r="A382" s="13"/>
      <c r="B382" s="13"/>
      <c r="C382" s="13"/>
      <c r="D382" s="13"/>
      <c r="E382" s="13"/>
      <c r="F382" s="11"/>
      <c r="G382" s="11"/>
      <c r="H382" s="11"/>
      <c r="I382" s="11"/>
      <c r="J382" s="11"/>
    </row>
    <row r="383" spans="1:10" s="9" customFormat="1" ht="13.2">
      <c r="A383" s="13"/>
      <c r="B383" s="13"/>
      <c r="C383" s="13"/>
      <c r="D383" s="13"/>
      <c r="E383" s="13"/>
      <c r="F383" s="11"/>
      <c r="G383" s="11"/>
      <c r="H383" s="11"/>
      <c r="I383" s="11"/>
      <c r="J383" s="11"/>
    </row>
    <row r="384" spans="1:10" s="9" customFormat="1" ht="13.2">
      <c r="A384" s="13"/>
      <c r="B384" s="13"/>
      <c r="C384" s="13"/>
      <c r="D384" s="13"/>
      <c r="E384" s="13"/>
      <c r="F384" s="11"/>
      <c r="G384" s="11"/>
      <c r="H384" s="11"/>
      <c r="I384" s="11"/>
      <c r="J384" s="11"/>
    </row>
    <row r="385" spans="1:10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</row>
    <row r="386" spans="1:10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</row>
    <row r="387" spans="1:10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</row>
    <row r="388" spans="1:10" s="9" customFormat="1" ht="13.2">
      <c r="A388" s="13"/>
      <c r="B388" s="13"/>
      <c r="C388" s="13"/>
      <c r="D388" s="13"/>
      <c r="E388" s="13"/>
      <c r="F388" s="8"/>
      <c r="G388" s="8"/>
      <c r="H388" s="8"/>
      <c r="I388" s="8"/>
      <c r="J388" s="8"/>
    </row>
    <row r="389" spans="1:10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</row>
    <row r="390" spans="1:10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</row>
    <row r="391" spans="1:10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</row>
    <row r="392" spans="1:10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</row>
    <row r="393" spans="1:10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</row>
    <row r="394" spans="1:10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</row>
    <row r="395" spans="1:10" s="9" customFormat="1" ht="13.2">
      <c r="A395" s="13"/>
      <c r="B395" s="13"/>
      <c r="C395" s="13"/>
      <c r="D395" s="13"/>
      <c r="E395" s="13"/>
      <c r="F395" s="14"/>
      <c r="G395" s="14"/>
      <c r="H395" s="14"/>
      <c r="I395" s="14"/>
      <c r="J395" s="14"/>
    </row>
    <row r="396" spans="1:10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</row>
    <row r="397" spans="1:10" s="9" customFormat="1" ht="13.2">
      <c r="A397" s="13"/>
      <c r="B397" s="13"/>
      <c r="C397" s="13"/>
      <c r="D397" s="13"/>
      <c r="E397" s="13"/>
      <c r="F397" s="14"/>
      <c r="G397" s="14"/>
      <c r="H397" s="14"/>
      <c r="I397" s="14"/>
      <c r="J397" s="14"/>
    </row>
    <row r="398" spans="1:10" s="9" customFormat="1" ht="13.2">
      <c r="A398" s="13"/>
      <c r="B398" s="13"/>
      <c r="C398" s="13"/>
      <c r="D398" s="13"/>
      <c r="E398" s="13"/>
      <c r="F398" s="10"/>
      <c r="G398" s="10"/>
      <c r="H398" s="10"/>
      <c r="I398" s="10"/>
      <c r="J398" s="10"/>
    </row>
    <row r="399" spans="1:10" s="9" customFormat="1" ht="13.2">
      <c r="A399" s="13"/>
      <c r="B399" s="13"/>
      <c r="C399" s="13"/>
      <c r="D399" s="13"/>
      <c r="E399" s="13"/>
      <c r="F399" s="14"/>
      <c r="G399" s="14"/>
      <c r="H399" s="14"/>
      <c r="I399" s="14"/>
      <c r="J399" s="14"/>
    </row>
    <row r="400" spans="1:10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</row>
    <row r="401" spans="1:10" s="9" customFormat="1" ht="13.2">
      <c r="A401" s="13"/>
      <c r="B401" s="13"/>
      <c r="C401" s="13"/>
      <c r="D401" s="13"/>
      <c r="E401" s="13"/>
      <c r="F401" s="14"/>
      <c r="G401" s="14"/>
      <c r="H401" s="14"/>
      <c r="I401" s="14"/>
      <c r="J401" s="14"/>
    </row>
    <row r="402" spans="1:10" s="9" customFormat="1" ht="13.2">
      <c r="A402" s="13"/>
      <c r="B402" s="13"/>
      <c r="C402" s="13"/>
      <c r="D402" s="13"/>
      <c r="E402" s="13"/>
      <c r="F402" s="8"/>
      <c r="G402" s="8"/>
      <c r="H402" s="8"/>
      <c r="I402" s="8"/>
      <c r="J402" s="8"/>
    </row>
    <row r="403" spans="1:10" s="9" customFormat="1" ht="13.2">
      <c r="A403" s="13"/>
      <c r="B403" s="13"/>
      <c r="C403" s="13"/>
      <c r="D403" s="13"/>
      <c r="E403" s="13"/>
      <c r="F403" s="14"/>
      <c r="G403" s="14"/>
      <c r="H403" s="14"/>
      <c r="I403" s="14"/>
      <c r="J403" s="14"/>
    </row>
    <row r="404" spans="1:10" s="9" customFormat="1" ht="13.2">
      <c r="A404" s="13"/>
      <c r="B404" s="13"/>
      <c r="C404" s="13"/>
      <c r="D404" s="13"/>
      <c r="E404" s="13"/>
      <c r="F404" s="10"/>
      <c r="G404" s="10"/>
      <c r="H404" s="10"/>
      <c r="I404" s="10"/>
      <c r="J404" s="10"/>
    </row>
    <row r="405" spans="1:10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</row>
    <row r="406" spans="1:10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</row>
    <row r="407" spans="1:10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</row>
    <row r="408" spans="1:10" s="9" customFormat="1" ht="13.2">
      <c r="A408" s="13"/>
      <c r="B408" s="13"/>
      <c r="C408" s="13"/>
      <c r="D408" s="13"/>
      <c r="E408" s="13"/>
      <c r="F408" s="12"/>
      <c r="G408" s="12"/>
      <c r="H408" s="12"/>
      <c r="I408" s="12"/>
      <c r="J408" s="12"/>
    </row>
    <row r="409" spans="1:10" s="9" customFormat="1" ht="13.2">
      <c r="A409" s="13"/>
      <c r="B409" s="13"/>
      <c r="C409" s="13"/>
      <c r="D409" s="13"/>
      <c r="E409" s="13"/>
      <c r="F409" s="12"/>
      <c r="G409" s="12"/>
      <c r="H409" s="12"/>
      <c r="I409" s="12"/>
      <c r="J409" s="12"/>
    </row>
    <row r="410" spans="1:10" s="9" customFormat="1" ht="13.2">
      <c r="A410" s="13"/>
      <c r="B410" s="13"/>
      <c r="C410" s="13"/>
      <c r="D410" s="13"/>
      <c r="E410" s="13"/>
      <c r="F410" s="12"/>
      <c r="G410" s="12"/>
      <c r="H410" s="12"/>
      <c r="I410" s="12"/>
      <c r="J410" s="12"/>
    </row>
    <row r="411" spans="1:10" s="9" customFormat="1" ht="13.2">
      <c r="A411" s="13"/>
      <c r="B411" s="13"/>
      <c r="C411" s="13"/>
      <c r="D411" s="13"/>
      <c r="E411" s="13"/>
      <c r="F411" s="14"/>
      <c r="G411" s="14"/>
      <c r="H411" s="14"/>
      <c r="I411" s="14"/>
      <c r="J411" s="14"/>
    </row>
    <row r="412" spans="1:10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</row>
    <row r="413" spans="1:10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</row>
    <row r="414" spans="1:10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</row>
    <row r="415" spans="1:10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</row>
    <row r="416" spans="1:10" s="9" customFormat="1" ht="13.2">
      <c r="A416" s="13"/>
      <c r="B416" s="13"/>
      <c r="C416" s="13"/>
      <c r="D416" s="13"/>
      <c r="E416" s="13"/>
      <c r="F416" s="8"/>
      <c r="G416" s="8"/>
      <c r="H416" s="8"/>
      <c r="I416" s="8"/>
      <c r="J416" s="8"/>
    </row>
    <row r="417" spans="1:10" s="9" customFormat="1" ht="13.2">
      <c r="A417" s="13"/>
      <c r="B417" s="13"/>
      <c r="C417" s="13"/>
      <c r="D417" s="13"/>
      <c r="E417" s="13"/>
      <c r="F417" s="8"/>
      <c r="G417" s="8"/>
      <c r="H417" s="8"/>
      <c r="I417" s="8"/>
      <c r="J417" s="8"/>
    </row>
    <row r="418" spans="1:10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</row>
    <row r="419" spans="1:10" s="9" customFormat="1" ht="13.2">
      <c r="A419" s="13"/>
      <c r="B419" s="13"/>
      <c r="C419" s="13"/>
      <c r="D419" s="13"/>
      <c r="E419" s="13"/>
      <c r="F419" s="10"/>
      <c r="G419" s="10"/>
      <c r="H419" s="10"/>
      <c r="I419" s="10"/>
      <c r="J419" s="10"/>
    </row>
    <row r="420" spans="1:10" s="9" customFormat="1" ht="13.2">
      <c r="A420" s="13"/>
      <c r="B420" s="13"/>
      <c r="C420" s="13"/>
      <c r="D420" s="13"/>
      <c r="E420" s="13"/>
      <c r="F420" s="10"/>
      <c r="G420" s="10"/>
      <c r="H420" s="10"/>
      <c r="I420" s="10"/>
      <c r="J420" s="10"/>
    </row>
    <row r="421" spans="1:10" s="9" customFormat="1" ht="13.2">
      <c r="A421" s="13"/>
      <c r="B421" s="13"/>
      <c r="C421" s="13"/>
      <c r="D421" s="13"/>
      <c r="E421" s="13"/>
      <c r="F421" s="10"/>
      <c r="G421" s="10"/>
      <c r="H421" s="10"/>
      <c r="I421" s="10"/>
      <c r="J421" s="10"/>
    </row>
    <row r="422" spans="1:10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</row>
    <row r="423" spans="1:10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</row>
    <row r="424" spans="1:10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</row>
    <row r="425" spans="1:10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</row>
    <row r="426" spans="1:10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</row>
    <row r="427" spans="1:10" s="9" customFormat="1" ht="13.2">
      <c r="A427" s="13"/>
      <c r="B427" s="13"/>
      <c r="C427" s="13"/>
      <c r="D427" s="13"/>
      <c r="E427" s="13"/>
      <c r="F427" s="12"/>
      <c r="G427" s="12"/>
      <c r="H427" s="12"/>
      <c r="I427" s="12"/>
      <c r="J427" s="12"/>
    </row>
    <row r="428" spans="1:10" s="9" customFormat="1" ht="13.2">
      <c r="A428" s="13"/>
      <c r="B428" s="13"/>
      <c r="C428" s="13"/>
      <c r="D428" s="13"/>
      <c r="E428" s="13"/>
      <c r="F428" s="12"/>
      <c r="G428" s="12"/>
      <c r="H428" s="12"/>
      <c r="I428" s="12"/>
      <c r="J428" s="12"/>
    </row>
    <row r="429" spans="1:10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</row>
    <row r="430" spans="1:10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</row>
    <row r="431" spans="1:10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</row>
    <row r="432" spans="1:10" s="9" customFormat="1" ht="13.2">
      <c r="A432" s="13"/>
      <c r="B432" s="13"/>
      <c r="C432" s="13"/>
      <c r="D432" s="13"/>
      <c r="E432" s="13"/>
      <c r="F432" s="8"/>
      <c r="G432" s="8"/>
      <c r="H432" s="8"/>
      <c r="I432" s="8"/>
      <c r="J432" s="8"/>
    </row>
    <row r="433" spans="1:10" s="9" customFormat="1" ht="13.2">
      <c r="A433" s="13"/>
      <c r="B433" s="13"/>
      <c r="C433" s="13"/>
      <c r="D433" s="13"/>
      <c r="E433" s="13"/>
      <c r="F433" s="8"/>
      <c r="G433" s="8"/>
      <c r="H433" s="8"/>
      <c r="I433" s="8"/>
      <c r="J433" s="8"/>
    </row>
    <row r="434" spans="1:10" s="9" customFormat="1" ht="13.2">
      <c r="A434" s="13"/>
      <c r="B434" s="13"/>
      <c r="C434" s="13"/>
      <c r="D434" s="13"/>
      <c r="E434" s="13"/>
      <c r="F434" s="8"/>
      <c r="G434" s="8"/>
      <c r="H434" s="8"/>
      <c r="I434" s="8"/>
      <c r="J434" s="8"/>
    </row>
    <row r="435" spans="1:10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</row>
    <row r="436" spans="1:10" s="9" customFormat="1" ht="13.2">
      <c r="A436" s="13"/>
      <c r="B436" s="13"/>
      <c r="C436" s="13"/>
      <c r="D436" s="13"/>
      <c r="E436" s="13"/>
      <c r="F436" s="11"/>
      <c r="G436" s="11"/>
      <c r="H436" s="11"/>
      <c r="I436" s="11"/>
      <c r="J436" s="11"/>
    </row>
    <row r="437" spans="1:10" s="9" customFormat="1" ht="13.2">
      <c r="A437" s="13"/>
      <c r="B437" s="13"/>
      <c r="C437" s="13"/>
      <c r="D437" s="13"/>
      <c r="E437" s="13"/>
      <c r="F437" s="11"/>
      <c r="G437" s="11"/>
      <c r="H437" s="11"/>
      <c r="I437" s="11"/>
      <c r="J437" s="11"/>
    </row>
    <row r="438" spans="1:10" s="9" customFormat="1" ht="13.2">
      <c r="A438" s="13"/>
      <c r="B438" s="13"/>
      <c r="C438" s="13"/>
      <c r="D438" s="13"/>
      <c r="E438" s="13"/>
      <c r="F438" s="11"/>
      <c r="G438" s="11"/>
      <c r="H438" s="11"/>
      <c r="I438" s="11"/>
      <c r="J438" s="11"/>
    </row>
    <row r="439" spans="1:10" s="9" customFormat="1" ht="13.2">
      <c r="A439" s="15"/>
      <c r="B439" s="15"/>
      <c r="C439" s="15"/>
      <c r="D439" s="15"/>
      <c r="E439" s="15"/>
      <c r="F439" s="12"/>
      <c r="G439" s="12"/>
      <c r="H439" s="12"/>
      <c r="I439" s="12"/>
      <c r="J439" s="12"/>
    </row>
    <row r="440" spans="1:10" s="9" customFormat="1" ht="13.2">
      <c r="A440" s="15"/>
      <c r="B440" s="15"/>
      <c r="C440" s="15"/>
      <c r="D440" s="15"/>
      <c r="E440" s="15"/>
      <c r="F440" s="11"/>
      <c r="G440" s="11"/>
      <c r="H440" s="11"/>
      <c r="I440" s="11"/>
      <c r="J440" s="11"/>
    </row>
    <row r="441" spans="1:10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</row>
    <row r="442" spans="1:10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</row>
    <row r="443" spans="1:10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</row>
    <row r="444" spans="1:10" s="9" customFormat="1" ht="13.2">
      <c r="A444" s="15"/>
      <c r="B444" s="15"/>
      <c r="C444" s="15"/>
      <c r="D444" s="15"/>
      <c r="E444" s="15"/>
      <c r="F444" s="12"/>
      <c r="G444" s="12"/>
      <c r="H444" s="12"/>
      <c r="I444" s="12"/>
      <c r="J444" s="12"/>
    </row>
    <row r="445" spans="1:10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</row>
    <row r="446" spans="1:10" s="9" customFormat="1" ht="13.2">
      <c r="A446" s="15"/>
      <c r="B446" s="15"/>
      <c r="C446" s="15"/>
      <c r="D446" s="15"/>
      <c r="E446" s="15"/>
      <c r="F446" s="12"/>
      <c r="G446" s="12"/>
      <c r="H446" s="12"/>
      <c r="I446" s="12"/>
      <c r="J446" s="12"/>
    </row>
    <row r="447" spans="1:10" s="9" customFormat="1" ht="13.2">
      <c r="A447" s="15"/>
      <c r="B447" s="15"/>
      <c r="C447" s="15"/>
      <c r="D447" s="15"/>
      <c r="E447" s="15"/>
      <c r="F447" s="8"/>
      <c r="G447" s="8"/>
      <c r="H447" s="8"/>
      <c r="I447" s="8"/>
      <c r="J447" s="8"/>
    </row>
    <row r="448" spans="1:10" s="9" customFormat="1" ht="13.2">
      <c r="A448" s="15"/>
      <c r="B448" s="15"/>
      <c r="C448" s="15"/>
      <c r="D448" s="15"/>
      <c r="E448" s="15"/>
      <c r="F448" s="12"/>
      <c r="G448" s="12"/>
      <c r="H448" s="12"/>
      <c r="I448" s="12"/>
      <c r="J448" s="12"/>
    </row>
    <row r="449" spans="1:10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</row>
    <row r="450" spans="1:10" s="9" customFormat="1" ht="13.2">
      <c r="A450" s="15"/>
      <c r="B450" s="15"/>
      <c r="C450" s="15"/>
      <c r="D450" s="15"/>
      <c r="E450" s="15"/>
      <c r="F450" s="12"/>
      <c r="G450" s="12"/>
      <c r="H450" s="12"/>
      <c r="I450" s="12"/>
      <c r="J450" s="12"/>
    </row>
    <row r="451" spans="1:10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</row>
    <row r="452" spans="1:10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</row>
    <row r="453" spans="1:10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</row>
    <row r="454" spans="1:10" s="9" customFormat="1" ht="13.2">
      <c r="A454" s="15"/>
      <c r="B454" s="15"/>
      <c r="C454" s="15"/>
      <c r="D454" s="15"/>
      <c r="E454" s="15"/>
      <c r="F454" s="8"/>
      <c r="G454" s="8"/>
      <c r="H454" s="8"/>
      <c r="I454" s="8"/>
      <c r="J454" s="8"/>
    </row>
    <row r="455" spans="1:10" s="9" customFormat="1" ht="13.2">
      <c r="A455" s="15"/>
      <c r="B455" s="15"/>
      <c r="C455" s="15"/>
      <c r="D455" s="15"/>
      <c r="E455" s="15"/>
      <c r="F455" s="8"/>
      <c r="G455" s="8"/>
      <c r="H455" s="8"/>
      <c r="I455" s="8"/>
      <c r="J455" s="8"/>
    </row>
    <row r="456" spans="1:10" s="9" customFormat="1" ht="13.2">
      <c r="A456" s="15"/>
      <c r="B456" s="15"/>
      <c r="C456" s="15"/>
      <c r="D456" s="15"/>
      <c r="E456" s="15"/>
      <c r="F456" s="8"/>
      <c r="G456" s="8"/>
      <c r="H456" s="8"/>
      <c r="I456" s="8"/>
      <c r="J456" s="8"/>
    </row>
    <row r="457" spans="1:10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</row>
    <row r="458" spans="1:10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</row>
    <row r="459" spans="1:10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</row>
    <row r="460" spans="1:10" s="9" customFormat="1" ht="13.2">
      <c r="A460" s="15"/>
      <c r="B460" s="15"/>
      <c r="C460" s="15"/>
      <c r="D460" s="15"/>
      <c r="E460" s="15"/>
      <c r="F460" s="11"/>
      <c r="G460" s="11"/>
      <c r="H460" s="11"/>
      <c r="I460" s="11"/>
      <c r="J460" s="11"/>
    </row>
    <row r="461" spans="1:10" s="9" customFormat="1" ht="13.2">
      <c r="A461" s="15"/>
      <c r="B461" s="15"/>
      <c r="C461" s="15"/>
      <c r="D461" s="15"/>
      <c r="E461" s="15"/>
      <c r="F461" s="11"/>
      <c r="G461" s="11"/>
      <c r="H461" s="11"/>
      <c r="I461" s="11"/>
      <c r="J461" s="11"/>
    </row>
    <row r="462" spans="1:10" s="9" customFormat="1" ht="13.2">
      <c r="A462" s="15"/>
      <c r="B462" s="15"/>
      <c r="C462" s="15"/>
      <c r="D462" s="15"/>
      <c r="E462" s="15"/>
      <c r="F462" s="11"/>
      <c r="G462" s="11"/>
      <c r="H462" s="11"/>
      <c r="I462" s="11"/>
      <c r="J462" s="11"/>
    </row>
    <row r="463" spans="1:10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</row>
    <row r="464" spans="1:10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</row>
    <row r="465" spans="1:10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</row>
    <row r="466" spans="1:10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</row>
    <row r="467" spans="1:10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</row>
    <row r="468" spans="1:10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</row>
    <row r="469" spans="1:10" s="9" customFormat="1" ht="13.2">
      <c r="A469" s="15"/>
      <c r="B469" s="15"/>
      <c r="C469" s="15"/>
      <c r="D469" s="15"/>
      <c r="E469" s="15"/>
      <c r="F469" s="8"/>
      <c r="G469" s="8"/>
      <c r="H469" s="8"/>
      <c r="I469" s="8"/>
      <c r="J469" s="8"/>
    </row>
    <row r="470" spans="1:10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</row>
    <row r="471" spans="1:10" s="9" customFormat="1" ht="13.2">
      <c r="A471" s="6"/>
      <c r="B471" s="6"/>
      <c r="C471" s="6"/>
      <c r="D471" s="6"/>
      <c r="E471" s="6"/>
      <c r="F471" s="12"/>
      <c r="G471" s="12"/>
      <c r="H471" s="12"/>
      <c r="I471" s="12"/>
      <c r="J471" s="12"/>
    </row>
    <row r="472" spans="1:10" s="9" customFormat="1" ht="13.2">
      <c r="A472" s="6"/>
      <c r="B472" s="6"/>
      <c r="C472" s="6"/>
      <c r="D472" s="6"/>
      <c r="E472" s="6"/>
      <c r="F472" s="11"/>
      <c r="G472" s="11"/>
      <c r="H472" s="11"/>
      <c r="I472" s="11"/>
      <c r="J472" s="11"/>
    </row>
    <row r="473" spans="1:10" s="9" customFormat="1" ht="13.2">
      <c r="A473" s="6"/>
      <c r="B473" s="6"/>
      <c r="C473" s="6"/>
      <c r="D473" s="6"/>
      <c r="E473" s="6"/>
      <c r="F473" s="12"/>
      <c r="G473" s="12"/>
      <c r="H473" s="12"/>
      <c r="I473" s="12"/>
      <c r="J473" s="12"/>
    </row>
    <row r="474" spans="1:10" s="9" customFormat="1" ht="13.2">
      <c r="A474" s="6"/>
      <c r="B474" s="6"/>
      <c r="C474" s="6"/>
      <c r="D474" s="6"/>
      <c r="E474" s="6"/>
      <c r="F474" s="8"/>
      <c r="G474" s="8"/>
      <c r="H474" s="8"/>
      <c r="I474" s="8"/>
      <c r="J474" s="8"/>
    </row>
    <row r="475" spans="1:10" s="9" customFormat="1" ht="13.2">
      <c r="A475" s="6"/>
      <c r="B475" s="6"/>
      <c r="C475" s="6"/>
      <c r="D475" s="6"/>
      <c r="E475" s="6"/>
      <c r="F475" s="8"/>
      <c r="G475" s="8"/>
      <c r="H475" s="8"/>
      <c r="I475" s="8"/>
      <c r="J475" s="8"/>
    </row>
    <row r="476" spans="1:10" s="9" customFormat="1" ht="13.2">
      <c r="A476" s="6"/>
      <c r="B476" s="6"/>
      <c r="C476" s="6"/>
      <c r="D476" s="6"/>
      <c r="E476" s="6"/>
      <c r="F476" s="11"/>
      <c r="G476" s="11"/>
      <c r="H476" s="11"/>
      <c r="I476" s="11"/>
      <c r="J476" s="11"/>
    </row>
    <row r="477" spans="1:10" s="9" customFormat="1" ht="13.2">
      <c r="A477" s="6"/>
      <c r="B477" s="6"/>
      <c r="C477" s="6"/>
      <c r="D477" s="6"/>
      <c r="E477" s="6"/>
      <c r="F477" s="12"/>
      <c r="G477" s="12"/>
      <c r="H477" s="12"/>
      <c r="I477" s="12"/>
      <c r="J477" s="12"/>
    </row>
    <row r="478" spans="1:10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</row>
    <row r="479" spans="1:10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</row>
    <row r="480" spans="1:10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</row>
    <row r="481" spans="1:10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</row>
    <row r="482" spans="1:10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</row>
    <row r="483" spans="1:10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</row>
    <row r="484" spans="1:10" s="9" customFormat="1" ht="13.2">
      <c r="A484" s="6"/>
      <c r="B484" s="6"/>
      <c r="C484" s="6"/>
      <c r="D484" s="6"/>
      <c r="E484" s="6"/>
      <c r="F484" s="11"/>
      <c r="G484" s="11"/>
      <c r="H484" s="11"/>
      <c r="I484" s="11"/>
      <c r="J484" s="11"/>
    </row>
    <row r="485" spans="1:10" s="9" customFormat="1" ht="13.2">
      <c r="A485" s="6"/>
      <c r="B485" s="6"/>
      <c r="C485" s="6"/>
      <c r="D485" s="6"/>
      <c r="E485" s="6"/>
      <c r="F485" s="11"/>
      <c r="G485" s="11"/>
      <c r="H485" s="11"/>
      <c r="I485" s="11"/>
      <c r="J485" s="11"/>
    </row>
    <row r="486" spans="1:10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</row>
    <row r="487" spans="1:10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</row>
    <row r="488" spans="1:10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</row>
    <row r="489" spans="1:10" s="9" customFormat="1" ht="13.2">
      <c r="A489" s="6"/>
      <c r="B489" s="6"/>
      <c r="C489" s="6"/>
      <c r="D489" s="6"/>
      <c r="E489" s="6"/>
      <c r="F489" s="8"/>
      <c r="G489" s="8"/>
      <c r="H489" s="8"/>
      <c r="I489" s="8"/>
      <c r="J489" s="8"/>
    </row>
    <row r="490" spans="1:10" s="9" customFormat="1" ht="13.2">
      <c r="A490" s="6"/>
      <c r="B490" s="6"/>
      <c r="C490" s="6"/>
      <c r="D490" s="6"/>
      <c r="E490" s="6"/>
      <c r="F490" s="8"/>
      <c r="G490" s="8"/>
      <c r="H490" s="8"/>
      <c r="I490" s="8"/>
      <c r="J490" s="8"/>
    </row>
    <row r="491" spans="1:10" s="9" customFormat="1" ht="13.2">
      <c r="A491" s="6"/>
      <c r="B491" s="6"/>
      <c r="C491" s="6"/>
      <c r="D491" s="6"/>
      <c r="E491" s="6"/>
      <c r="F491" s="8"/>
      <c r="G491" s="8"/>
      <c r="H491" s="8"/>
      <c r="I491" s="8"/>
      <c r="J491" s="8"/>
    </row>
    <row r="492" spans="1:10" s="9" customFormat="1" ht="13.2">
      <c r="A492" s="6"/>
      <c r="B492" s="6"/>
      <c r="C492" s="6"/>
      <c r="D492" s="6"/>
      <c r="E492" s="6"/>
      <c r="F492" s="12"/>
      <c r="G492" s="12"/>
      <c r="H492" s="12"/>
      <c r="I492" s="12"/>
      <c r="J492" s="12"/>
    </row>
    <row r="493" spans="1:10" s="9" customFormat="1" ht="13.2">
      <c r="A493" s="6"/>
      <c r="B493" s="6"/>
      <c r="C493" s="6"/>
      <c r="D493" s="6"/>
      <c r="E493" s="6"/>
      <c r="F493" s="10"/>
      <c r="G493" s="10"/>
      <c r="H493" s="10"/>
      <c r="I493" s="10"/>
      <c r="J493" s="10"/>
    </row>
    <row r="494" spans="1:10" s="9" customFormat="1" ht="13.2">
      <c r="A494" s="6"/>
      <c r="B494" s="6"/>
      <c r="C494" s="6"/>
      <c r="D494" s="6"/>
      <c r="E494" s="6"/>
      <c r="F494" s="12"/>
      <c r="G494" s="12"/>
      <c r="H494" s="12"/>
      <c r="I494" s="12"/>
      <c r="J494" s="12"/>
    </row>
    <row r="495" spans="1:10" s="9" customFormat="1" ht="13.2">
      <c r="A495" s="6"/>
      <c r="B495" s="6"/>
      <c r="C495" s="6"/>
      <c r="D495" s="6"/>
      <c r="E495" s="6"/>
      <c r="F495" s="12"/>
      <c r="G495" s="12"/>
      <c r="H495" s="12"/>
      <c r="I495" s="12"/>
      <c r="J495" s="12"/>
    </row>
    <row r="496" spans="1:10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</row>
    <row r="497" spans="1:10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</row>
    <row r="498" spans="1:10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</row>
    <row r="499" spans="1:10" s="9" customFormat="1" ht="13.2">
      <c r="A499" s="6"/>
      <c r="B499" s="6"/>
      <c r="C499" s="6"/>
      <c r="D499" s="6"/>
      <c r="E499" s="6"/>
      <c r="F499" s="8"/>
      <c r="G499" s="8"/>
      <c r="H499" s="8"/>
      <c r="I499" s="8"/>
      <c r="J499" s="8"/>
    </row>
    <row r="500" spans="1:10" s="9" customFormat="1" ht="13.2">
      <c r="A500" s="6"/>
      <c r="B500" s="6"/>
      <c r="C500" s="6"/>
      <c r="D500" s="6"/>
      <c r="E500" s="6"/>
      <c r="F500" s="11"/>
      <c r="G500" s="11"/>
      <c r="H500" s="11"/>
      <c r="I500" s="11"/>
      <c r="J500" s="11"/>
    </row>
    <row r="501" spans="1:10" s="9" customFormat="1" ht="13.2">
      <c r="A501" s="6"/>
      <c r="B501" s="6"/>
      <c r="C501" s="6"/>
      <c r="D501" s="6"/>
      <c r="E501" s="6"/>
      <c r="F501" s="12"/>
      <c r="G501" s="12"/>
      <c r="H501" s="12"/>
      <c r="I501" s="12"/>
      <c r="J501" s="12"/>
    </row>
    <row r="502" spans="1:10" s="9" customFormat="1" ht="13.2">
      <c r="A502" s="6"/>
      <c r="B502" s="6"/>
      <c r="C502" s="6"/>
      <c r="D502" s="6"/>
      <c r="E502" s="6"/>
      <c r="F502" s="10"/>
      <c r="G502" s="10"/>
      <c r="H502" s="10"/>
      <c r="I502" s="10"/>
      <c r="J502" s="10"/>
    </row>
    <row r="503" spans="1:10" s="9" customFormat="1" ht="13.2">
      <c r="A503" s="6"/>
      <c r="B503" s="6"/>
      <c r="C503" s="6"/>
      <c r="D503" s="6"/>
      <c r="E503" s="6"/>
      <c r="F503" s="11"/>
      <c r="G503" s="11"/>
      <c r="H503" s="11"/>
      <c r="I503" s="11"/>
      <c r="J503" s="11"/>
    </row>
    <row r="504" spans="1:10" s="9" customFormat="1" ht="13.2">
      <c r="A504" s="6"/>
      <c r="B504" s="6"/>
      <c r="C504" s="6"/>
      <c r="D504" s="6"/>
      <c r="E504" s="6"/>
      <c r="F504" s="8"/>
      <c r="G504" s="8"/>
      <c r="H504" s="8"/>
      <c r="I504" s="8"/>
      <c r="J504" s="8"/>
    </row>
    <row r="505" spans="1:10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</row>
    <row r="506" spans="1:10" s="9" customFormat="1" ht="13.2">
      <c r="A506" s="6"/>
      <c r="B506" s="6"/>
      <c r="C506" s="6"/>
      <c r="D506" s="6"/>
      <c r="E506" s="6"/>
      <c r="F506" s="7"/>
      <c r="G506" s="7"/>
      <c r="H506" s="7"/>
      <c r="I506" s="7"/>
      <c r="J506" s="7"/>
    </row>
    <row r="507" spans="1:10" s="9" customFormat="1" ht="13.2">
      <c r="A507" s="6"/>
      <c r="B507" s="6"/>
      <c r="C507" s="6"/>
      <c r="D507" s="6"/>
      <c r="E507" s="6"/>
      <c r="F507" s="7"/>
      <c r="G507" s="7"/>
      <c r="H507" s="7"/>
      <c r="I507" s="7"/>
      <c r="J507" s="7"/>
    </row>
    <row r="508" spans="1:10" s="9" customFormat="1" ht="13.2">
      <c r="A508" s="6"/>
      <c r="B508" s="6"/>
      <c r="C508" s="6"/>
      <c r="D508" s="6"/>
      <c r="E508" s="6"/>
      <c r="F508" s="7"/>
      <c r="G508" s="7"/>
      <c r="H508" s="7"/>
      <c r="I508" s="7"/>
      <c r="J508" s="7"/>
    </row>
    <row r="509" spans="1:10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</row>
    <row r="510" spans="1:10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</row>
    <row r="511" spans="1:10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</row>
    <row r="512" spans="1:10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</row>
    <row r="513" spans="1:10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</row>
    <row r="514" spans="1:10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</row>
    <row r="515" spans="1:10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</row>
    <row r="516" spans="1:10" s="9" customFormat="1" ht="13.2">
      <c r="A516" s="6"/>
      <c r="B516" s="6"/>
      <c r="C516" s="6"/>
      <c r="D516" s="6"/>
      <c r="E516" s="6"/>
      <c r="F516" s="8"/>
      <c r="G516" s="8"/>
      <c r="H516" s="8"/>
      <c r="I516" s="8"/>
      <c r="J516" s="8"/>
    </row>
    <row r="517" spans="1:10" s="9" customFormat="1" ht="13.2">
      <c r="A517" s="6"/>
      <c r="B517" s="6"/>
      <c r="C517" s="6"/>
      <c r="D517" s="6"/>
      <c r="E517" s="6"/>
      <c r="F517" s="12"/>
      <c r="G517" s="12"/>
      <c r="H517" s="12"/>
      <c r="I517" s="12"/>
      <c r="J517" s="12"/>
    </row>
    <row r="518" spans="1:10" s="9" customFormat="1" ht="13.2">
      <c r="A518" s="6"/>
      <c r="B518" s="6"/>
      <c r="C518" s="6"/>
      <c r="D518" s="6"/>
      <c r="E518" s="6"/>
      <c r="F518" s="11"/>
      <c r="G518" s="11"/>
      <c r="H518" s="11"/>
      <c r="I518" s="11"/>
      <c r="J518" s="11"/>
    </row>
    <row r="519" spans="1:10" s="9" customFormat="1" ht="13.2">
      <c r="A519" s="6"/>
      <c r="B519" s="6"/>
      <c r="C519" s="6"/>
      <c r="D519" s="6"/>
      <c r="E519" s="6"/>
      <c r="F519" s="12"/>
      <c r="G519" s="12"/>
      <c r="H519" s="12"/>
      <c r="I519" s="12"/>
      <c r="J519" s="12"/>
    </row>
    <row r="520" spans="1:10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</row>
    <row r="521" spans="1:10" s="9" customFormat="1" ht="13.2">
      <c r="A521" s="6"/>
      <c r="B521" s="6"/>
      <c r="C521" s="6"/>
      <c r="D521" s="6"/>
      <c r="E521" s="6"/>
      <c r="F521" s="12"/>
      <c r="G521" s="12"/>
      <c r="H521" s="12"/>
      <c r="I521" s="12"/>
      <c r="J521" s="12"/>
    </row>
    <row r="522" spans="1:10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</row>
    <row r="523" spans="1:10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</row>
    <row r="524" spans="1:10" s="9" customFormat="1" ht="13.2">
      <c r="A524" s="6"/>
      <c r="B524" s="6"/>
      <c r="C524" s="6"/>
      <c r="D524" s="6"/>
      <c r="E524" s="6"/>
      <c r="F524" s="12"/>
      <c r="G524" s="12"/>
      <c r="H524" s="12"/>
      <c r="I524" s="12"/>
      <c r="J524" s="12"/>
    </row>
    <row r="525" spans="1:10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</row>
    <row r="526" spans="1:10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</row>
    <row r="527" spans="1:10" s="9" customFormat="1" ht="13.2">
      <c r="A527" s="6"/>
      <c r="B527" s="6"/>
      <c r="C527" s="6"/>
      <c r="D527" s="6"/>
      <c r="E527" s="6"/>
      <c r="F527" s="11"/>
      <c r="G527" s="11"/>
      <c r="H527" s="11"/>
      <c r="I527" s="11"/>
      <c r="J527" s="11"/>
    </row>
    <row r="528" spans="1:10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</row>
    <row r="529" spans="1:10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</row>
    <row r="530" spans="1:10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</row>
    <row r="531" spans="1:10" s="9" customFormat="1" ht="13.2">
      <c r="A531" s="6"/>
      <c r="B531" s="6"/>
      <c r="C531" s="6"/>
      <c r="D531" s="6"/>
      <c r="E531" s="6"/>
      <c r="F531" s="11"/>
      <c r="G531" s="11"/>
      <c r="H531" s="11"/>
      <c r="I531" s="11"/>
      <c r="J531" s="11"/>
    </row>
    <row r="532" spans="1:10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</row>
    <row r="533" spans="1:10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</row>
    <row r="534" spans="1:10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</row>
    <row r="535" spans="1:10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</row>
    <row r="536" spans="1:10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</row>
    <row r="537" spans="1:10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</row>
    <row r="538" spans="1:10" s="9" customFormat="1" ht="13.2">
      <c r="A538" s="6"/>
      <c r="B538" s="6"/>
      <c r="C538" s="6"/>
      <c r="D538" s="6"/>
      <c r="E538" s="6"/>
      <c r="F538" s="10"/>
      <c r="G538" s="10"/>
      <c r="H538" s="10"/>
      <c r="I538" s="10"/>
      <c r="J538" s="10"/>
    </row>
    <row r="539" spans="1:10" s="9" customFormat="1" ht="13.2">
      <c r="A539" s="6"/>
      <c r="B539" s="6"/>
      <c r="C539" s="6"/>
      <c r="D539" s="6"/>
      <c r="E539" s="6"/>
      <c r="F539" s="11"/>
      <c r="G539" s="11"/>
      <c r="H539" s="11"/>
      <c r="I539" s="11"/>
      <c r="J539" s="11"/>
    </row>
    <row r="540" spans="1:10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</row>
    <row r="541" spans="1:10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</row>
    <row r="542" spans="1:10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</row>
    <row r="543" spans="1:10" s="9" customFormat="1" ht="13.2">
      <c r="A543" s="6"/>
      <c r="B543" s="6"/>
      <c r="C543" s="6"/>
      <c r="D543" s="6"/>
      <c r="E543" s="6"/>
      <c r="F543" s="8"/>
      <c r="G543" s="8"/>
      <c r="H543" s="8"/>
      <c r="I543" s="8"/>
      <c r="J543" s="8"/>
    </row>
    <row r="544" spans="1:10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</row>
    <row r="545" spans="1:10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</row>
    <row r="546" spans="1:10" s="9" customFormat="1" ht="13.2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spans="1:10" s="9" customFormat="1" ht="13.2">
      <c r="A547" s="6"/>
      <c r="B547" s="6"/>
      <c r="C547" s="6"/>
      <c r="D547" s="6"/>
      <c r="E547" s="6"/>
      <c r="F547" s="11"/>
      <c r="G547" s="11"/>
      <c r="H547" s="11"/>
      <c r="I547" s="11"/>
      <c r="J547" s="11"/>
    </row>
    <row r="548" spans="1:10" s="9" customFormat="1" ht="13.2">
      <c r="A548" s="6"/>
      <c r="B548" s="6"/>
      <c r="C548" s="6"/>
      <c r="D548" s="6"/>
      <c r="E548" s="6"/>
      <c r="F548" s="11"/>
      <c r="G548" s="11"/>
      <c r="H548" s="11"/>
      <c r="I548" s="11"/>
      <c r="J548" s="11"/>
    </row>
    <row r="549" spans="1:10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</row>
    <row r="550" spans="1:10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</row>
    <row r="551" spans="1:10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</row>
    <row r="552" spans="1:10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</row>
    <row r="553" spans="1:10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</row>
    <row r="554" spans="1:10" s="9" customFormat="1" ht="13.2">
      <c r="A554" s="6"/>
      <c r="B554" s="6"/>
      <c r="C554" s="6"/>
      <c r="D554" s="6"/>
      <c r="E554" s="6"/>
      <c r="F554" s="7"/>
      <c r="G554" s="7"/>
      <c r="H554" s="7"/>
      <c r="I554" s="7"/>
      <c r="J554" s="7"/>
    </row>
    <row r="555" spans="1:10" s="9" customFormat="1" ht="13.2">
      <c r="A555" s="6"/>
      <c r="B555" s="6"/>
      <c r="C555" s="6"/>
      <c r="D555" s="6"/>
      <c r="E555" s="6"/>
      <c r="F555" s="7"/>
      <c r="G555" s="7"/>
      <c r="H555" s="7"/>
      <c r="I555" s="7"/>
      <c r="J555" s="7"/>
    </row>
    <row r="556" spans="1:10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</row>
    <row r="557" spans="1:10" s="9" customFormat="1" ht="13.2">
      <c r="A557" s="6"/>
      <c r="B557" s="6"/>
      <c r="C557" s="6"/>
      <c r="D557" s="6"/>
      <c r="E557" s="6"/>
      <c r="F557" s="11"/>
      <c r="G557" s="11"/>
      <c r="H557" s="11"/>
      <c r="I557" s="11"/>
      <c r="J557" s="11"/>
    </row>
    <row r="558" spans="1:10" s="9" customFormat="1" ht="13.2">
      <c r="A558" s="6"/>
      <c r="B558" s="6"/>
      <c r="C558" s="6"/>
      <c r="D558" s="6"/>
      <c r="E558" s="6"/>
      <c r="F558" s="7"/>
      <c r="G558" s="7"/>
      <c r="H558" s="7"/>
      <c r="I558" s="7"/>
      <c r="J558" s="7"/>
    </row>
    <row r="559" spans="1:10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</row>
    <row r="560" spans="1:10" s="9" customFormat="1" ht="13.2">
      <c r="A560" s="6"/>
      <c r="B560" s="6"/>
      <c r="C560" s="6"/>
      <c r="D560" s="6"/>
      <c r="E560" s="6"/>
      <c r="F560" s="7"/>
      <c r="G560" s="7"/>
      <c r="H560" s="7"/>
      <c r="I560" s="7"/>
      <c r="J560" s="7"/>
    </row>
    <row r="561" spans="1:10" s="9" customFormat="1" ht="13.2">
      <c r="A561" s="6"/>
      <c r="B561" s="6"/>
      <c r="C561" s="6"/>
      <c r="D561" s="6"/>
      <c r="E561" s="6"/>
      <c r="F561" s="7"/>
      <c r="G561" s="7"/>
      <c r="H561" s="7"/>
      <c r="I561" s="7"/>
      <c r="J561" s="7"/>
    </row>
    <row r="562" spans="1:10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</row>
    <row r="563" spans="1:10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</row>
    <row r="564" spans="1:10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</row>
    <row r="565" spans="1:10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</row>
    <row r="566" spans="1:10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</row>
    <row r="567" spans="1:10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</row>
    <row r="568" spans="1:10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</row>
    <row r="569" spans="1:10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</row>
    <row r="570" spans="1:10" s="9" customFormat="1" ht="13.2">
      <c r="A570" s="6"/>
      <c r="B570" s="6"/>
      <c r="C570" s="6"/>
      <c r="D570" s="6"/>
      <c r="E570" s="6"/>
      <c r="F570" s="7"/>
      <c r="G570" s="7"/>
      <c r="H570" s="7"/>
      <c r="I570" s="7"/>
      <c r="J570" s="7"/>
    </row>
    <row r="571" spans="1:10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</row>
    <row r="572" spans="1:10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</row>
    <row r="573" spans="1:10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</row>
    <row r="574" spans="1:10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</row>
    <row r="575" spans="1:10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</row>
    <row r="576" spans="1:10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</row>
    <row r="577" spans="1:10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</row>
    <row r="578" spans="1:10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</row>
    <row r="579" spans="1:10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</row>
    <row r="580" spans="1:10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</row>
    <row r="581" spans="1:10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</row>
    <row r="582" spans="1:10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</row>
    <row r="583" spans="1:10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</row>
    <row r="584" spans="1:10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</row>
    <row r="585" spans="1:10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</row>
    <row r="586" spans="1:10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</row>
    <row r="587" spans="1:10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</row>
    <row r="588" spans="1:10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</row>
    <row r="589" spans="1:10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</row>
    <row r="590" spans="1:10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</row>
    <row r="591" spans="1:10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</row>
    <row r="592" spans="1:10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</row>
    <row r="593" spans="1:10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</row>
    <row r="594" spans="1:10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</row>
    <row r="595" spans="1:10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</row>
    <row r="596" spans="1:10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</row>
    <row r="597" spans="1:10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</row>
    <row r="598" spans="1:10" s="9" customFormat="1" ht="13.2">
      <c r="A598" s="6"/>
      <c r="B598" s="6"/>
      <c r="C598" s="6"/>
      <c r="D598" s="6"/>
      <c r="E598" s="6"/>
      <c r="F598" s="10"/>
      <c r="G598" s="10"/>
      <c r="H598" s="10"/>
      <c r="I598" s="10"/>
      <c r="J598" s="10"/>
    </row>
    <row r="599" spans="1:10" s="9" customFormat="1" ht="13.2">
      <c r="A599" s="6"/>
      <c r="B599" s="6"/>
      <c r="C599" s="6"/>
      <c r="D599" s="6"/>
      <c r="E599" s="6"/>
      <c r="F599" s="10"/>
      <c r="G599" s="10"/>
      <c r="H599" s="10"/>
      <c r="I599" s="10"/>
      <c r="J599" s="10"/>
    </row>
    <row r="600" spans="1:10" s="9" customFormat="1" ht="13.2">
      <c r="A600" s="6"/>
      <c r="B600" s="6"/>
      <c r="C600" s="6"/>
      <c r="D600" s="6"/>
      <c r="E600" s="6"/>
      <c r="F600" s="10"/>
      <c r="G600" s="10"/>
      <c r="H600" s="10"/>
      <c r="I600" s="10"/>
      <c r="J600" s="10"/>
    </row>
    <row r="601" spans="1:10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</row>
    <row r="602" spans="1:10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</row>
    <row r="603" spans="1:10" s="9" customFormat="1" ht="13.2">
      <c r="A603" s="6"/>
      <c r="B603" s="6"/>
      <c r="C603" s="6"/>
      <c r="D603" s="6"/>
      <c r="E603" s="6"/>
      <c r="F603" s="10"/>
      <c r="G603" s="10"/>
      <c r="H603" s="10"/>
      <c r="I603" s="10"/>
      <c r="J603" s="10"/>
    </row>
    <row r="604" spans="1:10" s="9" customFormat="1" ht="13.2">
      <c r="A604" s="6"/>
      <c r="B604" s="6"/>
      <c r="C604" s="6"/>
      <c r="D604" s="6"/>
      <c r="E604" s="6"/>
      <c r="F604" s="10"/>
      <c r="G604" s="10"/>
      <c r="H604" s="10"/>
      <c r="I604" s="10"/>
      <c r="J604" s="10"/>
    </row>
    <row r="605" spans="1:10" s="9" customFormat="1" ht="13.2">
      <c r="A605" s="6"/>
      <c r="B605" s="6"/>
      <c r="C605" s="6"/>
      <c r="D605" s="6"/>
      <c r="E605" s="6"/>
      <c r="F605" s="10"/>
      <c r="G605" s="10"/>
      <c r="H605" s="10"/>
      <c r="I605" s="10"/>
      <c r="J605" s="10"/>
    </row>
    <row r="606" spans="1:10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</row>
    <row r="607" spans="1:10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</row>
    <row r="608" spans="1:10" s="9" customFormat="1" ht="13.2">
      <c r="A608" s="6"/>
      <c r="B608" s="6"/>
      <c r="C608" s="6"/>
      <c r="D608" s="6"/>
      <c r="E608" s="6"/>
      <c r="F608" s="8"/>
      <c r="G608" s="8"/>
      <c r="H608" s="8"/>
      <c r="I608" s="8"/>
      <c r="J608" s="8"/>
    </row>
    <row r="609" spans="1:12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</row>
    <row r="610" spans="1:12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</row>
    <row r="611" spans="1:12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</row>
    <row r="612" spans="1:12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</row>
    <row r="613" spans="1:12" s="9" customFormat="1" ht="13.2">
      <c r="A613" s="6"/>
      <c r="B613" s="6"/>
      <c r="C613" s="6"/>
      <c r="D613" s="6"/>
      <c r="E613" s="6"/>
      <c r="F613" s="12"/>
      <c r="G613" s="12"/>
      <c r="H613" s="12"/>
      <c r="I613" s="12"/>
      <c r="J613" s="12"/>
    </row>
    <row r="614" spans="1:12" s="9" customFormat="1" ht="13.2">
      <c r="A614" s="6"/>
      <c r="B614" s="6"/>
      <c r="C614" s="6"/>
      <c r="D614" s="6"/>
      <c r="E614" s="6"/>
      <c r="F614" s="12"/>
      <c r="G614" s="12"/>
      <c r="H614" s="12"/>
      <c r="I614" s="12"/>
      <c r="J614" s="12"/>
    </row>
    <row r="615" spans="1:12" s="9" customFormat="1" ht="13.2">
      <c r="A615" s="6"/>
      <c r="B615" s="6"/>
      <c r="C615" s="6"/>
      <c r="D615" s="6"/>
      <c r="E615" s="6"/>
      <c r="F615" s="12"/>
      <c r="G615" s="12"/>
      <c r="H615" s="12"/>
      <c r="I615" s="12"/>
      <c r="J615" s="12"/>
    </row>
    <row r="616" spans="1:12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s="9" customForma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s="9" customForma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s="9" customForma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</sheetData>
  <mergeCells count="242">
    <mergeCell ref="B11:L11"/>
    <mergeCell ref="K8:L8"/>
    <mergeCell ref="A9:A10"/>
    <mergeCell ref="B9:F10"/>
    <mergeCell ref="G9:I10"/>
    <mergeCell ref="J9:K9"/>
    <mergeCell ref="L9:L10"/>
    <mergeCell ref="B3:H3"/>
    <mergeCell ref="K3:L3"/>
    <mergeCell ref="K4:L4"/>
    <mergeCell ref="K5:L5"/>
    <mergeCell ref="B6:H6"/>
    <mergeCell ref="K6:L6"/>
    <mergeCell ref="B14:F14"/>
    <mergeCell ref="G14:I14"/>
    <mergeCell ref="B16:F16"/>
    <mergeCell ref="G16:I16"/>
    <mergeCell ref="B12:F12"/>
    <mergeCell ref="G12:I12"/>
    <mergeCell ref="B13:F13"/>
    <mergeCell ref="G13:I13"/>
    <mergeCell ref="B15:L15"/>
    <mergeCell ref="B32:F32"/>
    <mergeCell ref="G32:I32"/>
    <mergeCell ref="B31:F31"/>
    <mergeCell ref="G31:I31"/>
    <mergeCell ref="B20:F20"/>
    <mergeCell ref="G20:I20"/>
    <mergeCell ref="B22:F22"/>
    <mergeCell ref="G22:I22"/>
    <mergeCell ref="B17:F17"/>
    <mergeCell ref="G17:I17"/>
    <mergeCell ref="B18:F18"/>
    <mergeCell ref="G18:I18"/>
    <mergeCell ref="B21:L21"/>
    <mergeCell ref="B19:L19"/>
    <mergeCell ref="B38:F38"/>
    <mergeCell ref="G38:H38"/>
    <mergeCell ref="B39:F39"/>
    <mergeCell ref="G39:H39"/>
    <mergeCell ref="B40:F40"/>
    <mergeCell ref="G40:I40"/>
    <mergeCell ref="B33:F33"/>
    <mergeCell ref="B35:F35"/>
    <mergeCell ref="G35:H35"/>
    <mergeCell ref="B36:F36"/>
    <mergeCell ref="G36:H36"/>
    <mergeCell ref="B37:F37"/>
    <mergeCell ref="G37:H37"/>
    <mergeCell ref="A45:F45"/>
    <mergeCell ref="H45:L45"/>
    <mergeCell ref="A46:F46"/>
    <mergeCell ref="H46:L46"/>
    <mergeCell ref="A47:F47"/>
    <mergeCell ref="H47:L47"/>
    <mergeCell ref="A42:F42"/>
    <mergeCell ref="H42:L42"/>
    <mergeCell ref="A43:F43"/>
    <mergeCell ref="H43:L43"/>
    <mergeCell ref="A44:F44"/>
    <mergeCell ref="H44:L44"/>
    <mergeCell ref="A51:F51"/>
    <mergeCell ref="H51:L51"/>
    <mergeCell ref="A52:F52"/>
    <mergeCell ref="H52:L52"/>
    <mergeCell ref="H53:J53"/>
    <mergeCell ref="K53:L53"/>
    <mergeCell ref="A48:F48"/>
    <mergeCell ref="H48:L48"/>
    <mergeCell ref="A49:F49"/>
    <mergeCell ref="H49:L49"/>
    <mergeCell ref="A50:F50"/>
    <mergeCell ref="H50:L50"/>
    <mergeCell ref="A57:F57"/>
    <mergeCell ref="H57:I57"/>
    <mergeCell ref="A58:F58"/>
    <mergeCell ref="H58:I58"/>
    <mergeCell ref="A59:F59"/>
    <mergeCell ref="H59:I59"/>
    <mergeCell ref="A54:F54"/>
    <mergeCell ref="H54:I54"/>
    <mergeCell ref="A55:F55"/>
    <mergeCell ref="H55:I55"/>
    <mergeCell ref="A56:F56"/>
    <mergeCell ref="H56:I56"/>
    <mergeCell ref="A63:F63"/>
    <mergeCell ref="H63:I63"/>
    <mergeCell ref="A64:F64"/>
    <mergeCell ref="H64:I64"/>
    <mergeCell ref="B68:C68"/>
    <mergeCell ref="D68:E68"/>
    <mergeCell ref="F68:G68"/>
    <mergeCell ref="H68:I68"/>
    <mergeCell ref="A60:F60"/>
    <mergeCell ref="H60:I60"/>
    <mergeCell ref="A61:F61"/>
    <mergeCell ref="H61:I61"/>
    <mergeCell ref="A62:F62"/>
    <mergeCell ref="H62:I62"/>
    <mergeCell ref="A74:B74"/>
    <mergeCell ref="D74:F74"/>
    <mergeCell ref="H74:J74"/>
    <mergeCell ref="K74:L74"/>
    <mergeCell ref="A75:B75"/>
    <mergeCell ref="D75:F75"/>
    <mergeCell ref="H75:J75"/>
    <mergeCell ref="J68:K68"/>
    <mergeCell ref="B69:C70"/>
    <mergeCell ref="D69:E70"/>
    <mergeCell ref="F69:G70"/>
    <mergeCell ref="H69:I70"/>
    <mergeCell ref="J69:K70"/>
    <mergeCell ref="A87:A88"/>
    <mergeCell ref="B87:F88"/>
    <mergeCell ref="G87:I88"/>
    <mergeCell ref="J87:K87"/>
    <mergeCell ref="L87:L88"/>
    <mergeCell ref="B81:H81"/>
    <mergeCell ref="K81:L81"/>
    <mergeCell ref="B82:H82"/>
    <mergeCell ref="K82:L82"/>
    <mergeCell ref="B83:H83"/>
    <mergeCell ref="K83:L83"/>
    <mergeCell ref="B89:F89"/>
    <mergeCell ref="G89:I89"/>
    <mergeCell ref="B90:F90"/>
    <mergeCell ref="G90:I90"/>
    <mergeCell ref="B91:F91"/>
    <mergeCell ref="G91:I91"/>
    <mergeCell ref="B84:H84"/>
    <mergeCell ref="K84:L84"/>
    <mergeCell ref="K86:L86"/>
    <mergeCell ref="B95:F95"/>
    <mergeCell ref="G95:I95"/>
    <mergeCell ref="B96:F96"/>
    <mergeCell ref="G96:I96"/>
    <mergeCell ref="B97:F97"/>
    <mergeCell ref="G97:I97"/>
    <mergeCell ref="B92:F92"/>
    <mergeCell ref="G92:I92"/>
    <mergeCell ref="B93:F93"/>
    <mergeCell ref="G93:I93"/>
    <mergeCell ref="B94:F94"/>
    <mergeCell ref="G94:I94"/>
    <mergeCell ref="B101:F101"/>
    <mergeCell ref="G101:I101"/>
    <mergeCell ref="B102:F102"/>
    <mergeCell ref="G102:I102"/>
    <mergeCell ref="B103:F103"/>
    <mergeCell ref="G103:I103"/>
    <mergeCell ref="B98:F98"/>
    <mergeCell ref="G98:I98"/>
    <mergeCell ref="B99:F99"/>
    <mergeCell ref="G99:I99"/>
    <mergeCell ref="B100:F100"/>
    <mergeCell ref="G100:I100"/>
    <mergeCell ref="B107:F107"/>
    <mergeCell ref="G107:I107"/>
    <mergeCell ref="B108:F108"/>
    <mergeCell ref="G108:I108"/>
    <mergeCell ref="B109:F109"/>
    <mergeCell ref="B111:F111"/>
    <mergeCell ref="G111:H111"/>
    <mergeCell ref="B104:F104"/>
    <mergeCell ref="G104:I104"/>
    <mergeCell ref="B105:F105"/>
    <mergeCell ref="G105:I105"/>
    <mergeCell ref="B106:F106"/>
    <mergeCell ref="G106:I106"/>
    <mergeCell ref="B115:F115"/>
    <mergeCell ref="G115:H115"/>
    <mergeCell ref="B116:F116"/>
    <mergeCell ref="G116:I116"/>
    <mergeCell ref="A118:F118"/>
    <mergeCell ref="H118:L118"/>
    <mergeCell ref="B112:F112"/>
    <mergeCell ref="G112:H112"/>
    <mergeCell ref="B113:F113"/>
    <mergeCell ref="G113:H113"/>
    <mergeCell ref="B114:F114"/>
    <mergeCell ref="G114:H114"/>
    <mergeCell ref="A122:F122"/>
    <mergeCell ref="H122:L122"/>
    <mergeCell ref="A123:F123"/>
    <mergeCell ref="H123:L123"/>
    <mergeCell ref="A124:F124"/>
    <mergeCell ref="H124:L124"/>
    <mergeCell ref="A119:F119"/>
    <mergeCell ref="H119:L119"/>
    <mergeCell ref="A120:F120"/>
    <mergeCell ref="H120:L120"/>
    <mergeCell ref="A121:F121"/>
    <mergeCell ref="H121:L121"/>
    <mergeCell ref="A128:F128"/>
    <mergeCell ref="H128:L128"/>
    <mergeCell ref="H129:J129"/>
    <mergeCell ref="K129:L129"/>
    <mergeCell ref="A130:F130"/>
    <mergeCell ref="H130:I130"/>
    <mergeCell ref="A125:F125"/>
    <mergeCell ref="H125:L125"/>
    <mergeCell ref="A126:F126"/>
    <mergeCell ref="H126:L126"/>
    <mergeCell ref="A127:F127"/>
    <mergeCell ref="H127:L127"/>
    <mergeCell ref="A134:F134"/>
    <mergeCell ref="H134:I134"/>
    <mergeCell ref="A135:F135"/>
    <mergeCell ref="H135:I135"/>
    <mergeCell ref="A136:F136"/>
    <mergeCell ref="H136:I136"/>
    <mergeCell ref="A131:F131"/>
    <mergeCell ref="H131:I131"/>
    <mergeCell ref="A132:F132"/>
    <mergeCell ref="H132:I132"/>
    <mergeCell ref="A133:F133"/>
    <mergeCell ref="H133:I133"/>
    <mergeCell ref="A140:F140"/>
    <mergeCell ref="H140:I140"/>
    <mergeCell ref="B144:C144"/>
    <mergeCell ref="D144:E144"/>
    <mergeCell ref="F144:G144"/>
    <mergeCell ref="H144:I144"/>
    <mergeCell ref="A137:F137"/>
    <mergeCell ref="H137:I137"/>
    <mergeCell ref="A138:F138"/>
    <mergeCell ref="H138:I138"/>
    <mergeCell ref="A139:F139"/>
    <mergeCell ref="H139:I139"/>
    <mergeCell ref="A150:B150"/>
    <mergeCell ref="D150:F150"/>
    <mergeCell ref="H150:J150"/>
    <mergeCell ref="K150:L150"/>
    <mergeCell ref="A151:B151"/>
    <mergeCell ref="D151:F151"/>
    <mergeCell ref="H151:J151"/>
    <mergeCell ref="J144:K144"/>
    <mergeCell ref="B145:C146"/>
    <mergeCell ref="D145:E146"/>
    <mergeCell ref="F145:G146"/>
    <mergeCell ref="H145:I146"/>
    <mergeCell ref="J145:K146"/>
  </mergeCells>
  <printOptions horizontalCentered="1"/>
  <pageMargins left="0.31496062992126" right="0.31496062992126" top="0.35433070866141703" bottom="0.35433070866141703" header="0.31496062992126" footer="0.31496062992126"/>
  <pageSetup paperSize="5" scale="59" orientation="portrait" r:id="rId1"/>
  <rowBreaks count="1" manualBreakCount="1">
    <brk id="75" max="1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1A37-E2DF-46E6-9214-5027AB5D3D63}">
  <sheetPr>
    <tabColor rgb="FFFFC000"/>
    <pageSetUpPr fitToPage="1"/>
  </sheetPr>
  <dimension ref="A1:O632"/>
  <sheetViews>
    <sheetView view="pageBreakPreview" zoomScale="96" zoomScaleNormal="55" zoomScaleSheetLayoutView="96" zoomScalePageLayoutView="25" workbookViewId="0">
      <selection activeCell="P20" sqref="P20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4.664062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8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723" t="s">
        <v>308</v>
      </c>
      <c r="C4" s="723"/>
      <c r="D4" s="723"/>
      <c r="E4" s="723"/>
      <c r="F4" s="723"/>
      <c r="G4" s="723"/>
      <c r="H4" s="723"/>
      <c r="J4" s="22"/>
      <c r="K4" s="22"/>
      <c r="L4" s="555"/>
      <c r="M4" s="555"/>
    </row>
    <row r="5" spans="1:13" s="16" customFormat="1" ht="16.5" customHeight="1">
      <c r="A5" s="69"/>
      <c r="B5" s="724"/>
      <c r="C5" s="724"/>
      <c r="D5" s="724"/>
      <c r="E5" s="724"/>
      <c r="F5" s="724"/>
      <c r="G5" s="724"/>
      <c r="H5" s="724"/>
      <c r="I5" s="21" t="s">
        <v>5</v>
      </c>
      <c r="J5" s="22"/>
      <c r="K5" s="22"/>
      <c r="L5" s="557" t="s">
        <v>295</v>
      </c>
      <c r="M5" s="557"/>
    </row>
    <row r="6" spans="1:13" s="16" customFormat="1" ht="16.5" customHeight="1">
      <c r="A6" s="22" t="s">
        <v>10</v>
      </c>
      <c r="B6" s="556" t="s">
        <v>309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380"/>
      <c r="M7" s="380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3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32"/>
    </row>
    <row r="11" spans="1:13" s="2" customFormat="1" ht="16.5" customHeight="1">
      <c r="A11" s="402" t="s">
        <v>274</v>
      </c>
      <c r="B11" s="424" t="s">
        <v>103</v>
      </c>
      <c r="C11" s="425"/>
      <c r="D11" s="425"/>
      <c r="E11" s="425"/>
      <c r="F11" s="426"/>
      <c r="G11" s="733"/>
      <c r="H11" s="740"/>
      <c r="I11" s="734"/>
      <c r="J11" s="388"/>
      <c r="K11" s="389"/>
      <c r="L11" s="20"/>
      <c r="M11" s="507"/>
    </row>
    <row r="12" spans="1:13" s="2" customFormat="1" ht="16.8" customHeight="1">
      <c r="A12" s="439" t="s">
        <v>275</v>
      </c>
      <c r="B12" s="741" t="s">
        <v>262</v>
      </c>
      <c r="C12" s="742"/>
      <c r="D12" s="742"/>
      <c r="E12" s="742"/>
      <c r="F12" s="743"/>
      <c r="G12" s="733"/>
      <c r="H12" s="740"/>
      <c r="I12" s="734"/>
      <c r="J12" s="388"/>
      <c r="K12" s="389"/>
      <c r="L12" s="20"/>
      <c r="M12" s="508" t="s">
        <v>305</v>
      </c>
    </row>
    <row r="13" spans="1:13" s="326" customFormat="1" ht="16.5" customHeight="1">
      <c r="A13" s="395" t="s">
        <v>107</v>
      </c>
      <c r="B13" s="429" t="s">
        <v>310</v>
      </c>
      <c r="C13" s="430"/>
      <c r="D13" s="430"/>
      <c r="E13" s="430"/>
      <c r="F13" s="428"/>
      <c r="G13" s="735"/>
      <c r="H13" s="735"/>
      <c r="I13" s="735"/>
      <c r="J13" s="738"/>
      <c r="K13" s="739"/>
      <c r="L13" s="358"/>
      <c r="M13" s="509" t="s">
        <v>304</v>
      </c>
    </row>
    <row r="14" spans="1:13" s="18" customFormat="1" ht="16.5" customHeight="1">
      <c r="A14" s="395" t="s">
        <v>111</v>
      </c>
      <c r="B14" s="429" t="s">
        <v>112</v>
      </c>
      <c r="C14" s="430"/>
      <c r="D14" s="430"/>
      <c r="E14" s="430"/>
      <c r="F14" s="394"/>
      <c r="G14" s="735"/>
      <c r="H14" s="735"/>
      <c r="I14" s="735"/>
      <c r="J14" s="736"/>
      <c r="K14" s="737"/>
      <c r="L14" s="390"/>
      <c r="M14" s="509" t="s">
        <v>304</v>
      </c>
    </row>
    <row r="15" spans="1:13" s="326" customFormat="1" ht="16.5" customHeight="1">
      <c r="A15" s="396" t="s">
        <v>276</v>
      </c>
      <c r="B15" s="424" t="s">
        <v>313</v>
      </c>
      <c r="C15" s="430"/>
      <c r="D15" s="430"/>
      <c r="E15" s="430"/>
      <c r="F15" s="394"/>
      <c r="G15" s="735"/>
      <c r="H15" s="735"/>
      <c r="I15" s="735"/>
      <c r="J15" s="736"/>
      <c r="K15" s="737"/>
      <c r="L15" s="390"/>
      <c r="M15" s="509"/>
    </row>
    <row r="16" spans="1:13" s="18" customFormat="1" ht="16.2" customHeight="1">
      <c r="A16" s="395">
        <v>802</v>
      </c>
      <c r="B16" s="429" t="s">
        <v>314</v>
      </c>
      <c r="C16" s="430"/>
      <c r="D16" s="430"/>
      <c r="E16" s="430"/>
      <c r="F16" s="394"/>
      <c r="G16" s="735"/>
      <c r="H16" s="735"/>
      <c r="I16" s="735"/>
      <c r="J16" s="736"/>
      <c r="K16" s="737"/>
      <c r="L16" s="390"/>
      <c r="M16" s="509" t="s">
        <v>265</v>
      </c>
    </row>
    <row r="17" spans="1:13" s="326" customFormat="1" ht="16.5" customHeight="1">
      <c r="A17" s="395" t="s">
        <v>311</v>
      </c>
      <c r="B17" s="744" t="s">
        <v>315</v>
      </c>
      <c r="C17" s="745"/>
      <c r="D17" s="745"/>
      <c r="E17" s="745"/>
      <c r="F17" s="746"/>
      <c r="G17" s="735"/>
      <c r="H17" s="735"/>
      <c r="I17" s="735"/>
      <c r="J17" s="738"/>
      <c r="K17" s="739"/>
      <c r="L17" s="357"/>
      <c r="M17" s="509" t="s">
        <v>265</v>
      </c>
    </row>
    <row r="18" spans="1:13" s="18" customFormat="1" ht="16.5" customHeight="1">
      <c r="A18" s="431" t="s">
        <v>312</v>
      </c>
      <c r="B18" s="775" t="s">
        <v>316</v>
      </c>
      <c r="C18" s="776"/>
      <c r="D18" s="776"/>
      <c r="E18" s="776"/>
      <c r="F18" s="777"/>
      <c r="G18" s="735"/>
      <c r="H18" s="735"/>
      <c r="I18" s="735"/>
      <c r="J18" s="747"/>
      <c r="K18" s="748"/>
      <c r="L18" s="390"/>
      <c r="M18" s="509" t="s">
        <v>265</v>
      </c>
    </row>
    <row r="19" spans="1:13" s="326" customFormat="1" ht="16.5" customHeight="1">
      <c r="A19" s="431">
        <v>900</v>
      </c>
      <c r="B19" s="432" t="s">
        <v>317</v>
      </c>
      <c r="C19" s="433"/>
      <c r="D19" s="434"/>
      <c r="E19" s="434"/>
      <c r="F19" s="433"/>
      <c r="G19" s="735"/>
      <c r="H19" s="735"/>
      <c r="I19" s="735"/>
      <c r="J19" s="747"/>
      <c r="K19" s="748"/>
      <c r="L19" s="390"/>
      <c r="M19" s="509" t="s">
        <v>265</v>
      </c>
    </row>
    <row r="20" spans="1:13" s="326" customFormat="1" ht="16.5" customHeight="1">
      <c r="A20" s="395">
        <v>902</v>
      </c>
      <c r="B20" s="432" t="s">
        <v>318</v>
      </c>
      <c r="C20" s="394"/>
      <c r="D20" s="434"/>
      <c r="E20" s="434"/>
      <c r="F20" s="433"/>
      <c r="G20" s="735"/>
      <c r="H20" s="735"/>
      <c r="I20" s="735"/>
      <c r="J20" s="747"/>
      <c r="K20" s="748"/>
      <c r="L20" s="390"/>
      <c r="M20" s="509" t="s">
        <v>330</v>
      </c>
    </row>
    <row r="21" spans="1:13" s="18" customFormat="1" ht="16.5" customHeight="1">
      <c r="A21" s="395">
        <v>903</v>
      </c>
      <c r="B21" s="432" t="s">
        <v>319</v>
      </c>
      <c r="C21" s="394"/>
      <c r="D21" s="434"/>
      <c r="E21" s="434"/>
      <c r="F21" s="433"/>
      <c r="G21" s="735"/>
      <c r="H21" s="735"/>
      <c r="I21" s="735"/>
      <c r="J21" s="747"/>
      <c r="K21" s="748"/>
      <c r="L21" s="390"/>
      <c r="M21" s="509" t="s">
        <v>331</v>
      </c>
    </row>
    <row r="22" spans="1:13" s="326" customFormat="1" ht="16.5" customHeight="1">
      <c r="A22" s="395">
        <v>1046</v>
      </c>
      <c r="B22" s="775" t="s">
        <v>320</v>
      </c>
      <c r="C22" s="776"/>
      <c r="D22" s="776"/>
      <c r="E22" s="776"/>
      <c r="F22" s="777"/>
      <c r="G22" s="735"/>
      <c r="H22" s="735"/>
      <c r="I22" s="735"/>
      <c r="J22" s="747"/>
      <c r="K22" s="748"/>
      <c r="L22" s="390"/>
      <c r="M22" s="509" t="s">
        <v>331</v>
      </c>
    </row>
    <row r="23" spans="1:13" s="18" customFormat="1" ht="16.5" customHeight="1">
      <c r="A23" s="395">
        <v>1027</v>
      </c>
      <c r="B23" s="432" t="s">
        <v>321</v>
      </c>
      <c r="C23" s="394"/>
      <c r="D23" s="434"/>
      <c r="E23" s="434"/>
      <c r="F23" s="433"/>
      <c r="G23" s="735"/>
      <c r="H23" s="735"/>
      <c r="I23" s="735"/>
      <c r="J23" s="747"/>
      <c r="K23" s="748"/>
      <c r="L23" s="390"/>
      <c r="M23" s="509" t="s">
        <v>331</v>
      </c>
    </row>
    <row r="24" spans="1:13" s="326" customFormat="1" ht="16.5" customHeight="1">
      <c r="A24" s="395">
        <v>1032</v>
      </c>
      <c r="B24" s="775" t="s">
        <v>322</v>
      </c>
      <c r="C24" s="776"/>
      <c r="D24" s="776"/>
      <c r="E24" s="776"/>
      <c r="F24" s="777"/>
      <c r="G24" s="735"/>
      <c r="H24" s="735"/>
      <c r="I24" s="735"/>
      <c r="J24" s="747"/>
      <c r="K24" s="748"/>
      <c r="L24" s="333"/>
      <c r="M24" s="509" t="s">
        <v>331</v>
      </c>
    </row>
    <row r="25" spans="1:13" s="18" customFormat="1" ht="16.5" customHeight="1">
      <c r="A25" s="395">
        <v>1047</v>
      </c>
      <c r="B25" s="775" t="s">
        <v>323</v>
      </c>
      <c r="C25" s="776"/>
      <c r="D25" s="776"/>
      <c r="E25" s="776"/>
      <c r="F25" s="777"/>
      <c r="G25" s="735"/>
      <c r="H25" s="735"/>
      <c r="I25" s="735"/>
      <c r="J25" s="747"/>
      <c r="K25" s="748"/>
      <c r="L25" s="333"/>
      <c r="M25" s="509" t="s">
        <v>330</v>
      </c>
    </row>
    <row r="26" spans="1:13" s="326" customFormat="1" ht="16.5" customHeight="1">
      <c r="A26" s="395">
        <v>1014</v>
      </c>
      <c r="B26" s="432" t="s">
        <v>324</v>
      </c>
      <c r="C26" s="394"/>
      <c r="D26" s="434"/>
      <c r="E26" s="434"/>
      <c r="F26" s="433"/>
      <c r="G26" s="735"/>
      <c r="H26" s="735"/>
      <c r="I26" s="735"/>
      <c r="J26" s="747"/>
      <c r="K26" s="748"/>
      <c r="L26" s="333"/>
      <c r="M26" s="509" t="s">
        <v>331</v>
      </c>
    </row>
    <row r="27" spans="1:13" s="18" customFormat="1" ht="16.5" customHeight="1">
      <c r="A27" s="395">
        <v>1100</v>
      </c>
      <c r="B27" s="432" t="s">
        <v>325</v>
      </c>
      <c r="C27" s="394"/>
      <c r="D27" s="434"/>
      <c r="E27" s="434"/>
      <c r="F27" s="433"/>
      <c r="G27" s="735"/>
      <c r="H27" s="735"/>
      <c r="I27" s="735"/>
      <c r="J27" s="747"/>
      <c r="K27" s="748"/>
      <c r="L27" s="333"/>
      <c r="M27" s="509" t="s">
        <v>332</v>
      </c>
    </row>
    <row r="28" spans="1:13" s="326" customFormat="1" ht="18.600000000000001" customHeight="1">
      <c r="A28" s="395">
        <v>1101</v>
      </c>
      <c r="B28" s="749" t="s">
        <v>326</v>
      </c>
      <c r="C28" s="750"/>
      <c r="D28" s="750"/>
      <c r="E28" s="750"/>
      <c r="F28" s="751"/>
      <c r="G28" s="735"/>
      <c r="H28" s="735"/>
      <c r="I28" s="735"/>
      <c r="J28" s="747"/>
      <c r="K28" s="748"/>
      <c r="L28" s="333"/>
      <c r="M28" s="509" t="s">
        <v>332</v>
      </c>
    </row>
    <row r="29" spans="1:13" s="18" customFormat="1" ht="16.5" customHeight="1">
      <c r="A29" s="707">
        <v>1102</v>
      </c>
      <c r="B29" s="725" t="s">
        <v>327</v>
      </c>
      <c r="C29" s="726"/>
      <c r="D29" s="726"/>
      <c r="E29" s="726"/>
      <c r="F29" s="727"/>
      <c r="G29" s="709"/>
      <c r="H29" s="710"/>
      <c r="I29" s="711"/>
      <c r="J29" s="715"/>
      <c r="K29" s="716"/>
      <c r="L29" s="719"/>
      <c r="M29" s="721" t="s">
        <v>333</v>
      </c>
    </row>
    <row r="30" spans="1:13" s="18" customFormat="1" ht="16.5" customHeight="1">
      <c r="A30" s="708"/>
      <c r="B30" s="728"/>
      <c r="C30" s="729"/>
      <c r="D30" s="729"/>
      <c r="E30" s="729"/>
      <c r="F30" s="730"/>
      <c r="G30" s="712"/>
      <c r="H30" s="713"/>
      <c r="I30" s="714"/>
      <c r="J30" s="717"/>
      <c r="K30" s="718"/>
      <c r="L30" s="720"/>
      <c r="M30" s="722"/>
    </row>
    <row r="31" spans="1:13" s="326" customFormat="1" ht="16.5" customHeight="1">
      <c r="A31" s="395">
        <v>1103</v>
      </c>
      <c r="B31" s="432" t="s">
        <v>328</v>
      </c>
      <c r="C31" s="394"/>
      <c r="D31" s="434"/>
      <c r="E31" s="434"/>
      <c r="F31" s="433"/>
      <c r="G31" s="735"/>
      <c r="H31" s="735"/>
      <c r="I31" s="735"/>
      <c r="J31" s="747"/>
      <c r="K31" s="748"/>
      <c r="L31" s="333"/>
      <c r="M31" s="509" t="s">
        <v>333</v>
      </c>
    </row>
    <row r="32" spans="1:13" s="326" customFormat="1" ht="16.5" customHeight="1">
      <c r="A32" s="395">
        <v>1109</v>
      </c>
      <c r="B32" s="432" t="s">
        <v>329</v>
      </c>
      <c r="C32" s="394"/>
      <c r="D32" s="434"/>
      <c r="E32" s="434"/>
      <c r="F32" s="433"/>
      <c r="G32" s="752"/>
      <c r="H32" s="753"/>
      <c r="I32" s="754"/>
      <c r="J32" s="747"/>
      <c r="K32" s="748"/>
      <c r="L32" s="333"/>
      <c r="M32" s="509" t="s">
        <v>333</v>
      </c>
    </row>
    <row r="33" spans="1:13" s="326" customFormat="1" ht="16.5" customHeight="1">
      <c r="A33" s="395"/>
      <c r="B33" s="778"/>
      <c r="C33" s="779"/>
      <c r="D33" s="779"/>
      <c r="E33" s="779"/>
      <c r="F33" s="780"/>
      <c r="G33" s="752"/>
      <c r="H33" s="753"/>
      <c r="I33" s="754"/>
      <c r="J33" s="747"/>
      <c r="K33" s="748"/>
      <c r="L33" s="333"/>
      <c r="M33" s="509"/>
    </row>
    <row r="34" spans="1:13" s="326" customFormat="1" ht="16.5" customHeight="1">
      <c r="A34" s="395"/>
      <c r="B34" s="778"/>
      <c r="C34" s="779"/>
      <c r="D34" s="779"/>
      <c r="E34" s="779"/>
      <c r="F34" s="780"/>
      <c r="G34" s="752"/>
      <c r="H34" s="753"/>
      <c r="I34" s="754"/>
      <c r="J34" s="747"/>
      <c r="K34" s="748"/>
      <c r="L34" s="333"/>
      <c r="M34" s="509"/>
    </row>
    <row r="35" spans="1:13" s="326" customFormat="1" ht="16.5" customHeight="1">
      <c r="A35" s="395"/>
      <c r="B35" s="772"/>
      <c r="C35" s="773"/>
      <c r="D35" s="773"/>
      <c r="E35" s="773"/>
      <c r="F35" s="774"/>
      <c r="G35" s="385"/>
      <c r="H35" s="386"/>
      <c r="I35" s="387"/>
      <c r="J35" s="390"/>
      <c r="K35" s="391"/>
      <c r="L35" s="333"/>
      <c r="M35" s="509"/>
    </row>
    <row r="36" spans="1:13" s="326" customFormat="1" ht="16.5" customHeight="1">
      <c r="A36" s="395"/>
      <c r="B36" s="772"/>
      <c r="C36" s="773"/>
      <c r="D36" s="773"/>
      <c r="E36" s="773"/>
      <c r="F36" s="774"/>
      <c r="G36" s="752"/>
      <c r="H36" s="753"/>
      <c r="I36" s="754"/>
      <c r="J36" s="747"/>
      <c r="K36" s="748"/>
      <c r="L36" s="333"/>
      <c r="M36" s="509"/>
    </row>
    <row r="37" spans="1:13" s="326" customFormat="1" ht="16.5" customHeight="1">
      <c r="A37" s="395"/>
      <c r="B37" s="772"/>
      <c r="C37" s="773"/>
      <c r="D37" s="773"/>
      <c r="E37" s="773"/>
      <c r="F37" s="774"/>
      <c r="G37" s="385"/>
      <c r="H37" s="386"/>
      <c r="I37" s="387"/>
      <c r="J37" s="390"/>
      <c r="K37" s="391"/>
      <c r="L37" s="333"/>
      <c r="M37" s="509"/>
    </row>
    <row r="38" spans="1:13" s="326" customFormat="1" ht="16.5" customHeight="1">
      <c r="A38" s="395"/>
      <c r="B38" s="772"/>
      <c r="C38" s="773"/>
      <c r="D38" s="773"/>
      <c r="E38" s="773"/>
      <c r="F38" s="774"/>
      <c r="G38" s="385"/>
      <c r="H38" s="386"/>
      <c r="I38" s="387"/>
      <c r="J38" s="390"/>
      <c r="K38" s="391"/>
      <c r="L38" s="333"/>
      <c r="M38" s="509"/>
    </row>
    <row r="39" spans="1:13" s="326" customFormat="1" ht="16.5" customHeight="1">
      <c r="A39" s="395"/>
      <c r="B39" s="772"/>
      <c r="C39" s="773"/>
      <c r="D39" s="773"/>
      <c r="E39" s="773"/>
      <c r="F39" s="774"/>
      <c r="G39" s="385"/>
      <c r="H39" s="386"/>
      <c r="I39" s="387"/>
      <c r="J39" s="390"/>
      <c r="K39" s="391"/>
      <c r="L39" s="333"/>
      <c r="M39" s="509"/>
    </row>
    <row r="40" spans="1:13" s="326" customFormat="1" ht="16.5" customHeight="1">
      <c r="A40" s="395"/>
      <c r="B40" s="772"/>
      <c r="C40" s="773"/>
      <c r="D40" s="773"/>
      <c r="E40" s="773"/>
      <c r="F40" s="774"/>
      <c r="G40" s="385"/>
      <c r="H40" s="386"/>
      <c r="I40" s="387"/>
      <c r="J40" s="390"/>
      <c r="K40" s="391"/>
      <c r="L40" s="333"/>
      <c r="M40" s="509"/>
    </row>
    <row r="41" spans="1:13" s="326" customFormat="1" ht="16.5" customHeight="1">
      <c r="A41" s="332"/>
      <c r="B41" s="772"/>
      <c r="C41" s="773"/>
      <c r="D41" s="773"/>
      <c r="E41" s="773"/>
      <c r="F41" s="774"/>
      <c r="G41" s="385"/>
      <c r="H41" s="386"/>
      <c r="I41" s="387"/>
      <c r="J41" s="747"/>
      <c r="K41" s="748"/>
      <c r="L41" s="333"/>
      <c r="M41" s="509"/>
    </row>
    <row r="42" spans="1:13" s="326" customFormat="1" ht="16.5" customHeight="1">
      <c r="A42" s="395"/>
      <c r="B42" s="772"/>
      <c r="C42" s="773"/>
      <c r="D42" s="773"/>
      <c r="E42" s="773"/>
      <c r="F42" s="774"/>
      <c r="G42" s="385"/>
      <c r="H42" s="386"/>
      <c r="I42" s="387"/>
      <c r="J42" s="747"/>
      <c r="K42" s="748"/>
      <c r="L42" s="333"/>
      <c r="M42" s="509"/>
    </row>
    <row r="43" spans="1:13" s="18" customFormat="1" ht="16.5" customHeight="1" thickBot="1">
      <c r="A43" s="346"/>
      <c r="B43" s="772"/>
      <c r="C43" s="773"/>
      <c r="D43" s="773"/>
      <c r="E43" s="773"/>
      <c r="F43" s="774"/>
      <c r="G43" s="757"/>
      <c r="H43" s="757"/>
      <c r="I43" s="757"/>
      <c r="J43" s="758"/>
      <c r="K43" s="759"/>
      <c r="L43" s="350"/>
      <c r="M43" s="510"/>
    </row>
    <row r="44" spans="1:13" s="18" customFormat="1" ht="16.5" customHeight="1">
      <c r="A44" s="377"/>
      <c r="B44" s="566"/>
      <c r="C44" s="566"/>
      <c r="D44" s="566"/>
      <c r="E44" s="566"/>
      <c r="F44" s="566"/>
      <c r="G44" s="377"/>
      <c r="H44" s="41"/>
      <c r="I44" s="41"/>
      <c r="J44" s="42"/>
      <c r="K44" s="42"/>
      <c r="L44" s="43"/>
      <c r="M44" s="3"/>
    </row>
    <row r="45" spans="1:13" s="18" customFormat="1" ht="16.5" customHeight="1">
      <c r="A45" s="26" t="s">
        <v>23</v>
      </c>
      <c r="B45" s="375"/>
      <c r="C45" s="375"/>
      <c r="D45" s="375"/>
      <c r="E45" s="375"/>
      <c r="F45" s="17"/>
      <c r="G45" s="17"/>
      <c r="H45" s="17"/>
      <c r="I45" s="17"/>
      <c r="J45" s="17"/>
      <c r="K45" s="17"/>
      <c r="L45" s="3"/>
      <c r="M45" s="3"/>
    </row>
    <row r="46" spans="1:13" s="25" customFormat="1" ht="16.5" customHeight="1">
      <c r="A46" s="19" t="s">
        <v>13</v>
      </c>
      <c r="B46" s="567" t="s">
        <v>14</v>
      </c>
      <c r="C46" s="567"/>
      <c r="D46" s="567"/>
      <c r="E46" s="567"/>
      <c r="F46" s="567"/>
      <c r="G46" s="568" t="s">
        <v>24</v>
      </c>
      <c r="H46" s="568"/>
      <c r="I46" s="378" t="s">
        <v>17</v>
      </c>
      <c r="J46" s="733" t="s">
        <v>25</v>
      </c>
      <c r="K46" s="734"/>
      <c r="L46" s="381" t="s">
        <v>26</v>
      </c>
      <c r="M46" s="381" t="s">
        <v>27</v>
      </c>
    </row>
    <row r="47" spans="1:13" s="18" customFormat="1" ht="16.5" customHeight="1">
      <c r="A47" s="317"/>
      <c r="B47" s="563"/>
      <c r="C47" s="563"/>
      <c r="D47" s="563"/>
      <c r="E47" s="563"/>
      <c r="F47" s="563"/>
      <c r="G47" s="564"/>
      <c r="H47" s="564"/>
      <c r="I47" s="376"/>
      <c r="J47" s="755"/>
      <c r="K47" s="756"/>
      <c r="L47" s="371"/>
      <c r="M47" s="371"/>
    </row>
    <row r="48" spans="1:13" s="52" customFormat="1" ht="16.5" customHeight="1">
      <c r="A48" s="379"/>
      <c r="B48" s="563"/>
      <c r="C48" s="563"/>
      <c r="D48" s="563"/>
      <c r="E48" s="563"/>
      <c r="F48" s="563"/>
      <c r="G48" s="564"/>
      <c r="H48" s="564"/>
      <c r="I48" s="376"/>
      <c r="J48" s="755"/>
      <c r="K48" s="756"/>
      <c r="L48" s="371"/>
      <c r="M48" s="371"/>
    </row>
    <row r="49" spans="1:13" s="52" customFormat="1" ht="16.5" customHeight="1">
      <c r="A49" s="379"/>
      <c r="B49" s="563"/>
      <c r="C49" s="563"/>
      <c r="D49" s="563"/>
      <c r="E49" s="563"/>
      <c r="F49" s="563"/>
      <c r="G49" s="564"/>
      <c r="H49" s="564"/>
      <c r="I49" s="376"/>
      <c r="J49" s="755"/>
      <c r="K49" s="756"/>
      <c r="L49" s="371"/>
      <c r="M49" s="371"/>
    </row>
    <row r="50" spans="1:13" s="52" customFormat="1" ht="16.5" customHeight="1">
      <c r="A50" s="379"/>
      <c r="B50" s="563"/>
      <c r="C50" s="563"/>
      <c r="D50" s="563"/>
      <c r="E50" s="563"/>
      <c r="F50" s="563"/>
      <c r="G50" s="564"/>
      <c r="H50" s="564"/>
      <c r="I50" s="376"/>
      <c r="J50" s="755"/>
      <c r="K50" s="756"/>
      <c r="L50" s="371"/>
      <c r="M50" s="371"/>
    </row>
    <row r="51" spans="1:13" s="52" customFormat="1" ht="16.5" customHeight="1">
      <c r="A51" s="32"/>
      <c r="B51" s="565"/>
      <c r="C51" s="565"/>
      <c r="D51" s="565"/>
      <c r="E51" s="565"/>
      <c r="F51" s="565"/>
      <c r="G51" s="565"/>
      <c r="H51" s="565"/>
      <c r="I51" s="565"/>
      <c r="J51" s="17"/>
      <c r="K51" s="17"/>
      <c r="L51" s="3"/>
      <c r="M51" s="3"/>
    </row>
    <row r="52" spans="1:13" s="51" customFormat="1" ht="16.5" customHeight="1">
      <c r="A52" s="34" t="s">
        <v>28</v>
      </c>
      <c r="B52" s="34"/>
      <c r="C52" s="34"/>
      <c r="D52" s="34"/>
      <c r="E52" s="34"/>
      <c r="F52" s="17"/>
      <c r="G52" s="38"/>
      <c r="H52" s="36" t="s">
        <v>29</v>
      </c>
      <c r="I52" s="34"/>
      <c r="J52" s="34"/>
      <c r="K52" s="34"/>
      <c r="L52" s="34"/>
      <c r="M52" s="34"/>
    </row>
    <row r="53" spans="1:13" s="51" customFormat="1" ht="16.5" customHeight="1">
      <c r="A53" s="569"/>
      <c r="B53" s="569"/>
      <c r="C53" s="569"/>
      <c r="D53" s="569"/>
      <c r="E53" s="569"/>
      <c r="F53" s="569"/>
      <c r="G53" s="373"/>
      <c r="H53" s="569"/>
      <c r="I53" s="569"/>
      <c r="J53" s="569"/>
      <c r="K53" s="569"/>
      <c r="L53" s="569"/>
      <c r="M53" s="569"/>
    </row>
    <row r="54" spans="1:13" s="51" customFormat="1" ht="16.5" customHeight="1">
      <c r="A54" s="571"/>
      <c r="B54" s="571"/>
      <c r="C54" s="571"/>
      <c r="D54" s="571"/>
      <c r="E54" s="571"/>
      <c r="F54" s="571"/>
      <c r="G54" s="373"/>
      <c r="H54" s="571"/>
      <c r="I54" s="571"/>
      <c r="J54" s="571"/>
      <c r="K54" s="571"/>
      <c r="L54" s="571"/>
      <c r="M54" s="571"/>
    </row>
    <row r="55" spans="1:13" s="51" customFormat="1" ht="16.5" customHeight="1">
      <c r="A55" s="571"/>
      <c r="B55" s="571"/>
      <c r="C55" s="571"/>
      <c r="D55" s="571"/>
      <c r="E55" s="571"/>
      <c r="F55" s="571"/>
      <c r="G55" s="57"/>
      <c r="H55" s="569"/>
      <c r="I55" s="569"/>
      <c r="J55" s="569"/>
      <c r="K55" s="569"/>
      <c r="L55" s="569"/>
      <c r="M55" s="569"/>
    </row>
    <row r="56" spans="1:13" s="51" customFormat="1" ht="16.5" customHeight="1">
      <c r="A56" s="569"/>
      <c r="B56" s="569"/>
      <c r="C56" s="569"/>
      <c r="D56" s="569"/>
      <c r="E56" s="569"/>
      <c r="F56" s="569"/>
      <c r="G56" s="57"/>
      <c r="H56" s="569"/>
      <c r="I56" s="569"/>
      <c r="J56" s="569"/>
      <c r="K56" s="569"/>
      <c r="L56" s="569"/>
      <c r="M56" s="569"/>
    </row>
    <row r="57" spans="1:13" s="51" customFormat="1" ht="16.5" customHeight="1">
      <c r="A57" s="570"/>
      <c r="B57" s="570"/>
      <c r="C57" s="570"/>
      <c r="D57" s="570"/>
      <c r="E57" s="570"/>
      <c r="F57" s="570"/>
      <c r="G57" s="39"/>
      <c r="H57" s="569"/>
      <c r="I57" s="569"/>
      <c r="J57" s="569"/>
      <c r="K57" s="569"/>
      <c r="L57" s="569"/>
      <c r="M57" s="569"/>
    </row>
    <row r="58" spans="1:13" s="3" customFormat="1" ht="16.5" customHeight="1">
      <c r="A58" s="571"/>
      <c r="B58" s="571"/>
      <c r="C58" s="571"/>
      <c r="D58" s="571"/>
      <c r="E58" s="571"/>
      <c r="F58" s="571"/>
      <c r="G58" s="373"/>
      <c r="H58" s="569"/>
      <c r="I58" s="569"/>
      <c r="J58" s="569"/>
      <c r="K58" s="569"/>
      <c r="L58" s="569"/>
      <c r="M58" s="569"/>
    </row>
    <row r="59" spans="1:13" s="3" customFormat="1" ht="16.5" customHeight="1">
      <c r="A59" s="571"/>
      <c r="B59" s="571"/>
      <c r="C59" s="571"/>
      <c r="D59" s="571"/>
      <c r="E59" s="571"/>
      <c r="F59" s="571"/>
      <c r="G59" s="57"/>
      <c r="H59" s="569"/>
      <c r="I59" s="569"/>
      <c r="J59" s="569"/>
      <c r="K59" s="569"/>
      <c r="L59" s="569"/>
      <c r="M59" s="569"/>
    </row>
    <row r="60" spans="1:13" s="3" customFormat="1" ht="16.5" customHeight="1">
      <c r="A60" s="571"/>
      <c r="B60" s="571"/>
      <c r="C60" s="571"/>
      <c r="D60" s="571"/>
      <c r="E60" s="571"/>
      <c r="F60" s="571"/>
      <c r="G60" s="373"/>
      <c r="H60" s="569"/>
      <c r="I60" s="569"/>
      <c r="J60" s="569"/>
      <c r="K60" s="569"/>
      <c r="L60" s="569"/>
      <c r="M60" s="569"/>
    </row>
    <row r="61" spans="1:13" s="3" customFormat="1" ht="16.5" customHeight="1">
      <c r="A61" s="571"/>
      <c r="B61" s="571"/>
      <c r="C61" s="571"/>
      <c r="D61" s="571"/>
      <c r="E61" s="571"/>
      <c r="F61" s="571"/>
      <c r="G61" s="373"/>
      <c r="H61" s="569"/>
      <c r="I61" s="569"/>
      <c r="J61" s="569"/>
      <c r="K61" s="569"/>
      <c r="L61" s="569"/>
      <c r="M61" s="569"/>
    </row>
    <row r="62" spans="1:13" s="3" customFormat="1" ht="16.5" customHeight="1">
      <c r="A62" s="571"/>
      <c r="B62" s="571"/>
      <c r="C62" s="571"/>
      <c r="D62" s="571"/>
      <c r="E62" s="571"/>
      <c r="F62" s="571"/>
      <c r="G62" s="57"/>
      <c r="H62" s="569"/>
      <c r="I62" s="569"/>
      <c r="J62" s="569"/>
      <c r="K62" s="569"/>
      <c r="L62" s="569"/>
      <c r="M62" s="569"/>
    </row>
    <row r="63" spans="1:13" s="3" customFormat="1" ht="16.5" customHeight="1">
      <c r="A63" s="572"/>
      <c r="B63" s="572"/>
      <c r="C63" s="572"/>
      <c r="D63" s="572"/>
      <c r="E63" s="572"/>
      <c r="F63" s="572"/>
      <c r="G63" s="57"/>
      <c r="H63" s="572"/>
      <c r="I63" s="572"/>
      <c r="J63" s="572"/>
      <c r="K63" s="572"/>
      <c r="L63" s="572"/>
      <c r="M63" s="572"/>
    </row>
    <row r="64" spans="1:13" s="3" customFormat="1" ht="16.5" customHeight="1">
      <c r="A64" s="70" t="s">
        <v>34</v>
      </c>
      <c r="B64" s="5"/>
      <c r="C64" s="4"/>
      <c r="H64" s="760" t="s">
        <v>35</v>
      </c>
      <c r="I64" s="761"/>
      <c r="J64" s="761"/>
      <c r="K64" s="762"/>
      <c r="L64" s="573" t="s">
        <v>36</v>
      </c>
      <c r="M64" s="573"/>
    </row>
    <row r="65" spans="1:13" s="3" customFormat="1" ht="16.5" customHeight="1">
      <c r="A65" s="576"/>
      <c r="B65" s="576"/>
      <c r="C65" s="576"/>
      <c r="D65" s="576"/>
      <c r="E65" s="576"/>
      <c r="F65" s="576"/>
      <c r="G65" s="71"/>
      <c r="H65" s="577" t="s">
        <v>14</v>
      </c>
      <c r="I65" s="577"/>
      <c r="J65" s="763" t="s">
        <v>24</v>
      </c>
      <c r="K65" s="764"/>
      <c r="L65" s="372" t="s">
        <v>14</v>
      </c>
      <c r="M65" s="372" t="s">
        <v>24</v>
      </c>
    </row>
    <row r="66" spans="1:13" s="3" customFormat="1" ht="16.5" customHeight="1">
      <c r="A66" s="576"/>
      <c r="B66" s="576"/>
      <c r="C66" s="576"/>
      <c r="D66" s="576"/>
      <c r="E66" s="576"/>
      <c r="F66" s="576"/>
      <c r="G66" s="72"/>
      <c r="H66" s="575"/>
      <c r="I66" s="575"/>
      <c r="J66" s="765"/>
      <c r="K66" s="766"/>
      <c r="L66" s="76"/>
      <c r="M66" s="371"/>
    </row>
    <row r="67" spans="1:13" s="3" customFormat="1" ht="16.5" customHeight="1">
      <c r="A67" s="370"/>
      <c r="B67" s="370"/>
      <c r="C67" s="370"/>
      <c r="D67" s="370"/>
      <c r="E67" s="370"/>
      <c r="F67" s="370"/>
      <c r="G67" s="72"/>
      <c r="H67" s="575"/>
      <c r="I67" s="575"/>
      <c r="J67" s="765"/>
      <c r="K67" s="766"/>
      <c r="L67" s="76"/>
      <c r="M67" s="371"/>
    </row>
    <row r="68" spans="1:13" s="3" customFormat="1" ht="16.5" customHeight="1">
      <c r="A68" s="574"/>
      <c r="B68" s="574"/>
      <c r="C68" s="574"/>
      <c r="D68" s="574"/>
      <c r="E68" s="574"/>
      <c r="F68" s="574"/>
      <c r="G68" s="72"/>
      <c r="H68" s="575"/>
      <c r="I68" s="575"/>
      <c r="J68" s="765"/>
      <c r="K68" s="766"/>
      <c r="L68" s="76"/>
      <c r="M68" s="371"/>
    </row>
    <row r="69" spans="1:13" s="3" customFormat="1" ht="16.5" customHeight="1">
      <c r="A69" s="767"/>
      <c r="B69" s="767"/>
      <c r="C69" s="767"/>
      <c r="D69" s="767"/>
      <c r="E69" s="767"/>
      <c r="F69" s="767"/>
      <c r="G69" s="72"/>
      <c r="H69" s="765"/>
      <c r="I69" s="766"/>
      <c r="J69" s="765"/>
      <c r="K69" s="766"/>
      <c r="L69" s="76"/>
      <c r="M69" s="371"/>
    </row>
    <row r="70" spans="1:13" s="3" customFormat="1" ht="16.5" customHeight="1">
      <c r="A70" s="767"/>
      <c r="B70" s="767"/>
      <c r="C70" s="767"/>
      <c r="D70" s="767"/>
      <c r="E70" s="767"/>
      <c r="F70" s="767"/>
      <c r="G70" s="72"/>
      <c r="H70" s="765"/>
      <c r="I70" s="766"/>
      <c r="J70" s="765"/>
      <c r="K70" s="766"/>
      <c r="L70" s="77"/>
      <c r="M70" s="371"/>
    </row>
    <row r="71" spans="1:13" s="3" customFormat="1" ht="70.8" customHeight="1">
      <c r="A71" s="767"/>
      <c r="B71" s="767"/>
      <c r="C71" s="767"/>
      <c r="D71" s="767"/>
      <c r="E71" s="767"/>
      <c r="F71" s="767"/>
      <c r="G71" s="72"/>
      <c r="H71" s="765"/>
      <c r="I71" s="766"/>
      <c r="J71" s="765"/>
      <c r="K71" s="766"/>
      <c r="M71" s="73"/>
    </row>
    <row r="72" spans="1:13" s="3" customFormat="1" ht="16.5" customHeight="1">
      <c r="A72" s="574"/>
      <c r="B72" s="574"/>
      <c r="C72" s="574"/>
      <c r="D72" s="574"/>
      <c r="E72" s="574"/>
      <c r="F72" s="574"/>
      <c r="G72" s="72"/>
      <c r="H72" s="575"/>
      <c r="I72" s="575"/>
      <c r="J72" s="765"/>
      <c r="K72" s="766"/>
      <c r="L72" s="77"/>
      <c r="M72" s="73"/>
    </row>
    <row r="73" spans="1:13" s="3" customFormat="1" ht="16.5" customHeight="1">
      <c r="A73" s="574"/>
      <c r="B73" s="574"/>
      <c r="C73" s="574"/>
      <c r="D73" s="574"/>
      <c r="E73" s="574"/>
      <c r="F73" s="574"/>
      <c r="G73" s="72"/>
      <c r="H73" s="575"/>
      <c r="I73" s="575"/>
      <c r="J73" s="765"/>
      <c r="K73" s="766"/>
      <c r="L73" s="77"/>
      <c r="M73" s="73"/>
    </row>
    <row r="74" spans="1:13" s="3" customFormat="1" ht="16.5" customHeight="1">
      <c r="A74" s="574"/>
      <c r="B74" s="574"/>
      <c r="C74" s="574"/>
      <c r="D74" s="574"/>
      <c r="E74" s="574"/>
      <c r="F74" s="574"/>
      <c r="G74" s="72"/>
      <c r="H74" s="575"/>
      <c r="I74" s="575"/>
      <c r="J74" s="765"/>
      <c r="K74" s="766"/>
      <c r="L74" s="77"/>
      <c r="M74" s="73"/>
    </row>
    <row r="75" spans="1:13" s="3" customFormat="1" ht="16.5" customHeight="1">
      <c r="A75" s="574"/>
      <c r="B75" s="574"/>
      <c r="C75" s="574"/>
      <c r="D75" s="574"/>
      <c r="E75" s="574"/>
      <c r="F75" s="574"/>
      <c r="G75" s="72"/>
      <c r="H75" s="575"/>
      <c r="I75" s="575"/>
      <c r="J75" s="765"/>
      <c r="K75" s="766"/>
      <c r="L75" s="77"/>
      <c r="M75" s="73"/>
    </row>
    <row r="76" spans="1:13" s="3" customFormat="1" ht="16.5" customHeight="1">
      <c r="A76" s="45"/>
      <c r="B76" s="46"/>
      <c r="C76" s="46"/>
      <c r="D76" s="46"/>
      <c r="E76" s="44"/>
      <c r="F76" s="46"/>
      <c r="G76" s="46"/>
      <c r="H76" s="46"/>
      <c r="I76" s="46"/>
      <c r="J76" s="46"/>
      <c r="K76" s="46"/>
      <c r="L76" s="47"/>
      <c r="M76" s="46"/>
    </row>
    <row r="77" spans="1:13" s="3" customFormat="1" ht="16.5" customHeight="1">
      <c r="A77" s="45" t="s">
        <v>45</v>
      </c>
      <c r="B77" s="46"/>
      <c r="C77" s="46"/>
      <c r="D77" s="46"/>
      <c r="E77" s="44"/>
      <c r="F77" s="46"/>
      <c r="G77" s="46"/>
      <c r="H77" s="46"/>
      <c r="I77" s="46"/>
      <c r="J77" s="46"/>
      <c r="K77" s="46"/>
      <c r="L77" s="47"/>
      <c r="M77" s="46"/>
    </row>
    <row r="78" spans="1:13" s="3" customFormat="1" ht="16.5" customHeight="1">
      <c r="A78" s="45"/>
      <c r="B78" s="46"/>
      <c r="C78" s="46"/>
      <c r="D78" s="46"/>
      <c r="E78" s="44"/>
      <c r="F78" s="46"/>
      <c r="G78" s="46"/>
      <c r="H78" s="46"/>
      <c r="I78" s="48"/>
      <c r="J78" s="48"/>
      <c r="K78" s="48"/>
      <c r="L78" s="47"/>
      <c r="M78" s="46"/>
    </row>
    <row r="79" spans="1:13" s="3" customFormat="1" ht="31.5" customHeight="1">
      <c r="A79" s="46" t="s">
        <v>46</v>
      </c>
      <c r="B79" s="578" t="s">
        <v>47</v>
      </c>
      <c r="C79" s="579"/>
      <c r="D79" s="578" t="s">
        <v>48</v>
      </c>
      <c r="E79" s="579"/>
      <c r="F79" s="578" t="s">
        <v>49</v>
      </c>
      <c r="G79" s="579"/>
      <c r="H79" s="578" t="s">
        <v>50</v>
      </c>
      <c r="I79" s="579"/>
      <c r="J79" s="578" t="s">
        <v>51</v>
      </c>
      <c r="K79" s="769"/>
      <c r="L79" s="579"/>
      <c r="M79" s="49"/>
    </row>
    <row r="80" spans="1:13" s="3" customFormat="1" ht="16.5" customHeight="1">
      <c r="A80" s="50"/>
      <c r="B80" s="583"/>
      <c r="C80" s="584"/>
      <c r="D80" s="587"/>
      <c r="E80" s="588"/>
      <c r="F80" s="665"/>
      <c r="G80" s="666"/>
      <c r="H80" s="665"/>
      <c r="I80" s="666"/>
      <c r="J80" s="587"/>
      <c r="K80" s="770"/>
      <c r="L80" s="588"/>
      <c r="M80" s="49"/>
    </row>
    <row r="81" spans="1:15" s="22" customFormat="1" ht="16.5" customHeight="1">
      <c r="A81" s="50"/>
      <c r="B81" s="585"/>
      <c r="C81" s="586"/>
      <c r="D81" s="589"/>
      <c r="E81" s="590"/>
      <c r="F81" s="667"/>
      <c r="G81" s="668"/>
      <c r="H81" s="667"/>
      <c r="I81" s="668"/>
      <c r="J81" s="589"/>
      <c r="K81" s="771"/>
      <c r="L81" s="590"/>
      <c r="M81" s="49"/>
    </row>
    <row r="82" spans="1:15" s="22" customFormat="1" ht="16.5" customHeight="1">
      <c r="A82" s="35"/>
      <c r="B82" s="27"/>
      <c r="C82" s="27"/>
      <c r="D82" s="27"/>
      <c r="E82" s="35"/>
      <c r="F82" s="58"/>
      <c r="G82" s="58"/>
      <c r="H82" s="58"/>
      <c r="I82" s="58"/>
      <c r="J82" s="68"/>
      <c r="K82" s="68"/>
      <c r="L82" s="68"/>
      <c r="M82" s="3"/>
    </row>
    <row r="83" spans="1:15" s="22" customFormat="1" ht="16.5" customHeight="1">
      <c r="A83" s="35" t="s">
        <v>53</v>
      </c>
      <c r="B83" s="27"/>
      <c r="C83" s="27"/>
      <c r="D83" s="35" t="s">
        <v>54</v>
      </c>
      <c r="F83" s="58"/>
      <c r="H83" s="35" t="s">
        <v>250</v>
      </c>
      <c r="I83" s="58"/>
      <c r="L83" s="68" t="s">
        <v>266</v>
      </c>
      <c r="M83" s="3"/>
    </row>
    <row r="84" spans="1:15" s="22" customFormat="1" ht="16.5" customHeight="1">
      <c r="A84" s="29"/>
      <c r="B84" s="29"/>
      <c r="C84" s="29"/>
      <c r="D84" s="29"/>
      <c r="E84" s="29"/>
      <c r="F84" s="29"/>
      <c r="H84" s="29"/>
      <c r="I84" s="29"/>
      <c r="J84" s="3"/>
      <c r="K84" s="3"/>
      <c r="L84" s="3"/>
      <c r="M84" s="3"/>
    </row>
    <row r="85" spans="1:15" s="22" customFormat="1" ht="16.5" customHeight="1">
      <c r="A85" s="673" t="s">
        <v>371</v>
      </c>
      <c r="B85" s="673"/>
      <c r="C85" s="318"/>
      <c r="D85" s="674" t="s">
        <v>296</v>
      </c>
      <c r="E85" s="674"/>
      <c r="F85" s="674"/>
      <c r="H85" s="675" t="s">
        <v>247</v>
      </c>
      <c r="I85" s="675"/>
      <c r="J85" s="675"/>
      <c r="K85" s="383"/>
      <c r="L85" s="768"/>
      <c r="M85" s="768"/>
      <c r="O85" s="218"/>
    </row>
    <row r="86" spans="1:15" s="3" customFormat="1" ht="16.5" customHeight="1">
      <c r="A86" s="663" t="s">
        <v>59</v>
      </c>
      <c r="B86" s="663"/>
      <c r="C86" s="319"/>
      <c r="D86" s="664" t="s">
        <v>60</v>
      </c>
      <c r="E86" s="664"/>
      <c r="F86" s="664"/>
      <c r="H86" s="663" t="s">
        <v>252</v>
      </c>
      <c r="I86" s="663"/>
      <c r="J86" s="663"/>
      <c r="K86" s="383"/>
      <c r="L86" s="582" t="s">
        <v>253</v>
      </c>
      <c r="M86" s="582"/>
    </row>
    <row r="87" spans="1:15" s="3" customFormat="1" ht="16.5" customHeight="1">
      <c r="A87" s="383"/>
      <c r="B87" s="383"/>
      <c r="C87" s="319"/>
      <c r="D87" s="384"/>
      <c r="E87" s="384"/>
      <c r="F87" s="384"/>
      <c r="H87" s="383"/>
      <c r="I87" s="383"/>
      <c r="J87" s="383"/>
      <c r="K87" s="383"/>
      <c r="L87" s="320"/>
      <c r="M87" s="320"/>
    </row>
    <row r="88" spans="1:15" s="3" customFormat="1" ht="16.5" customHeight="1">
      <c r="A88" s="37"/>
      <c r="B88" s="27"/>
      <c r="C88" s="27"/>
      <c r="D88" s="27"/>
      <c r="E88" s="27"/>
      <c r="F88" s="29"/>
      <c r="G88" s="29"/>
      <c r="H88" s="29"/>
      <c r="I88" s="29"/>
      <c r="J88" s="29"/>
      <c r="K88" s="29"/>
    </row>
    <row r="89" spans="1:15" s="3" customFormat="1" ht="16.5" customHeight="1">
      <c r="A89" s="37"/>
      <c r="B89" s="27"/>
      <c r="C89" s="27"/>
      <c r="D89" s="27"/>
      <c r="E89" s="27"/>
      <c r="F89" s="29"/>
      <c r="G89" s="29"/>
      <c r="H89" s="29"/>
      <c r="I89" s="29"/>
      <c r="J89" s="29"/>
      <c r="K89" s="29"/>
    </row>
    <row r="90" spans="1:15" s="3" customFormat="1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5" s="3" customFormat="1" ht="16.5" customHeight="1">
      <c r="A91" s="40"/>
      <c r="B91" s="40"/>
      <c r="C91" s="40"/>
      <c r="D91" s="40"/>
      <c r="E91" s="40"/>
      <c r="F91" s="1"/>
      <c r="G91" s="1"/>
      <c r="H91" s="1"/>
      <c r="I91" s="1"/>
      <c r="J91" s="1"/>
      <c r="K91" s="1"/>
      <c r="L91" s="1"/>
      <c r="M91" s="1"/>
    </row>
    <row r="92" spans="1:15" s="3" customFormat="1" ht="16.5" customHeight="1">
      <c r="A92" s="21" t="s">
        <v>0</v>
      </c>
      <c r="B92" s="554"/>
      <c r="C92" s="554"/>
      <c r="D92" s="554"/>
      <c r="E92" s="554"/>
      <c r="F92" s="554"/>
      <c r="G92" s="554"/>
      <c r="H92" s="554"/>
      <c r="I92" s="16"/>
      <c r="J92" s="22"/>
      <c r="K92" s="22"/>
      <c r="L92" s="555"/>
      <c r="M92" s="555"/>
    </row>
    <row r="93" spans="1:15" s="3" customFormat="1" ht="15" customHeight="1">
      <c r="A93" s="21" t="s">
        <v>2</v>
      </c>
      <c r="B93" s="556" t="s">
        <v>269</v>
      </c>
      <c r="C93" s="556"/>
      <c r="D93" s="556"/>
      <c r="E93" s="556"/>
      <c r="F93" s="556"/>
      <c r="G93" s="556"/>
      <c r="H93" s="556"/>
      <c r="I93" s="16"/>
      <c r="J93" s="22"/>
      <c r="K93" s="22"/>
      <c r="L93" s="555"/>
      <c r="M93" s="555"/>
    </row>
    <row r="94" spans="1:15" s="3" customFormat="1" ht="15" customHeight="1">
      <c r="A94" s="69"/>
      <c r="B94" s="554" t="s">
        <v>270</v>
      </c>
      <c r="C94" s="554"/>
      <c r="D94" s="554"/>
      <c r="E94" s="554"/>
      <c r="F94" s="554"/>
      <c r="G94" s="554"/>
      <c r="H94" s="554"/>
      <c r="I94" s="21" t="s">
        <v>5</v>
      </c>
      <c r="J94" s="22"/>
      <c r="K94" s="22"/>
      <c r="L94" s="557" t="s">
        <v>271</v>
      </c>
      <c r="M94" s="557"/>
    </row>
    <row r="95" spans="1:15" s="3" customFormat="1" ht="15" customHeight="1">
      <c r="A95" s="22" t="s">
        <v>10</v>
      </c>
      <c r="B95" s="556" t="s">
        <v>272</v>
      </c>
      <c r="C95" s="556"/>
      <c r="D95" s="556"/>
      <c r="E95" s="556"/>
      <c r="F95" s="556"/>
      <c r="G95" s="556"/>
      <c r="H95" s="556"/>
      <c r="I95" s="21" t="s">
        <v>8</v>
      </c>
      <c r="J95" s="21"/>
      <c r="K95" s="21"/>
      <c r="L95" s="669" t="s">
        <v>273</v>
      </c>
      <c r="M95" s="669"/>
    </row>
    <row r="96" spans="1:15" s="3" customFormat="1" ht="15" customHeight="1">
      <c r="A96" s="22"/>
      <c r="B96" s="16"/>
      <c r="C96" s="16"/>
      <c r="D96" s="16"/>
      <c r="E96" s="16"/>
      <c r="F96" s="16"/>
      <c r="G96" s="16"/>
      <c r="H96" s="16"/>
      <c r="I96" s="16"/>
      <c r="J96" s="59"/>
      <c r="K96" s="59"/>
      <c r="L96" s="380"/>
      <c r="M96" s="380"/>
    </row>
    <row r="97" spans="1:13" s="3" customFormat="1" ht="15" customHeight="1">
      <c r="A97" s="24" t="s">
        <v>12</v>
      </c>
      <c r="L97" s="555"/>
      <c r="M97" s="555"/>
    </row>
    <row r="98" spans="1:13" s="3" customFormat="1" ht="17.399999999999999">
      <c r="A98" s="552" t="s">
        <v>13</v>
      </c>
      <c r="B98" s="552" t="s">
        <v>14</v>
      </c>
      <c r="C98" s="552"/>
      <c r="D98" s="552"/>
      <c r="E98" s="552"/>
      <c r="F98" s="552"/>
      <c r="G98" s="552" t="s">
        <v>15</v>
      </c>
      <c r="H98" s="552"/>
      <c r="I98" s="552"/>
      <c r="J98" s="553" t="s">
        <v>16</v>
      </c>
      <c r="K98" s="553"/>
      <c r="L98" s="553"/>
      <c r="M98" s="552" t="s">
        <v>17</v>
      </c>
    </row>
    <row r="99" spans="1:13" s="3" customFormat="1" ht="21.9" customHeight="1">
      <c r="A99" s="552"/>
      <c r="B99" s="552"/>
      <c r="C99" s="552"/>
      <c r="D99" s="552"/>
      <c r="E99" s="552"/>
      <c r="F99" s="552"/>
      <c r="G99" s="552"/>
      <c r="H99" s="552"/>
      <c r="I99" s="552"/>
      <c r="J99" s="381" t="s">
        <v>18</v>
      </c>
      <c r="K99" s="381"/>
      <c r="L99" s="20" t="s">
        <v>19</v>
      </c>
      <c r="M99" s="552"/>
    </row>
    <row r="100" spans="1:13" s="3" customFormat="1" ht="21.9" customHeight="1">
      <c r="A100" s="379"/>
      <c r="B100" s="558"/>
      <c r="C100" s="558"/>
      <c r="D100" s="558"/>
      <c r="E100" s="558"/>
      <c r="F100" s="558"/>
      <c r="G100" s="559"/>
      <c r="H100" s="559"/>
      <c r="I100" s="559"/>
      <c r="J100" s="216"/>
      <c r="K100" s="216"/>
      <c r="L100" s="53"/>
      <c r="M100" s="371"/>
    </row>
    <row r="101" spans="1:13" s="3" customFormat="1" ht="21.9" customHeight="1">
      <c r="A101" s="215"/>
      <c r="B101" s="558"/>
      <c r="C101" s="558"/>
      <c r="D101" s="558"/>
      <c r="E101" s="558"/>
      <c r="F101" s="558"/>
      <c r="G101" s="559"/>
      <c r="H101" s="559"/>
      <c r="I101" s="559"/>
      <c r="J101" s="216"/>
      <c r="K101" s="216"/>
      <c r="L101" s="53"/>
      <c r="M101" s="371"/>
    </row>
    <row r="102" spans="1:13" s="3" customFormat="1" ht="21.9" customHeight="1">
      <c r="A102" s="215"/>
      <c r="B102" s="558"/>
      <c r="C102" s="558"/>
      <c r="D102" s="558"/>
      <c r="E102" s="558"/>
      <c r="F102" s="558"/>
      <c r="G102" s="559"/>
      <c r="H102" s="559"/>
      <c r="I102" s="559"/>
      <c r="J102" s="216"/>
      <c r="K102" s="216"/>
      <c r="L102" s="53"/>
      <c r="M102" s="371"/>
    </row>
    <row r="103" spans="1:13" s="3" customFormat="1" ht="21.9" customHeight="1">
      <c r="A103" s="215"/>
      <c r="B103" s="558"/>
      <c r="C103" s="558"/>
      <c r="D103" s="558"/>
      <c r="E103" s="558"/>
      <c r="F103" s="558"/>
      <c r="G103" s="559"/>
      <c r="H103" s="559"/>
      <c r="I103" s="559"/>
      <c r="J103" s="216"/>
      <c r="K103" s="216"/>
      <c r="L103" s="53"/>
      <c r="M103" s="371"/>
    </row>
    <row r="104" spans="1:13" s="3" customFormat="1" ht="21.9" customHeight="1">
      <c r="A104" s="215"/>
      <c r="B104" s="558"/>
      <c r="C104" s="558"/>
      <c r="D104" s="558"/>
      <c r="E104" s="558"/>
      <c r="F104" s="558"/>
      <c r="G104" s="559"/>
      <c r="H104" s="559"/>
      <c r="I104" s="559"/>
      <c r="J104" s="53"/>
      <c r="K104" s="53"/>
      <c r="L104" s="53"/>
      <c r="M104" s="371"/>
    </row>
    <row r="105" spans="1:13" s="3" customFormat="1" ht="21.9" customHeight="1">
      <c r="A105" s="54"/>
      <c r="B105" s="558"/>
      <c r="C105" s="558"/>
      <c r="D105" s="558"/>
      <c r="E105" s="558"/>
      <c r="F105" s="558"/>
      <c r="G105" s="559"/>
      <c r="H105" s="559"/>
      <c r="I105" s="559"/>
      <c r="J105" s="53"/>
      <c r="K105" s="53"/>
      <c r="L105" s="53"/>
      <c r="M105" s="371"/>
    </row>
    <row r="106" spans="1:13" s="3" customFormat="1" ht="21.9" customHeight="1">
      <c r="A106" s="54"/>
      <c r="B106" s="562"/>
      <c r="C106" s="562"/>
      <c r="D106" s="562"/>
      <c r="E106" s="562"/>
      <c r="F106" s="562"/>
      <c r="G106" s="559"/>
      <c r="H106" s="559"/>
      <c r="I106" s="559"/>
      <c r="J106" s="53"/>
      <c r="K106" s="53"/>
      <c r="L106" s="53"/>
      <c r="M106" s="371"/>
    </row>
    <row r="107" spans="1:13" s="3" customFormat="1" ht="21.9" customHeight="1">
      <c r="A107" s="54"/>
      <c r="B107" s="562"/>
      <c r="C107" s="562"/>
      <c r="D107" s="562"/>
      <c r="E107" s="562"/>
      <c r="F107" s="562"/>
      <c r="G107" s="559"/>
      <c r="H107" s="559"/>
      <c r="I107" s="559"/>
      <c r="J107" s="53"/>
      <c r="K107" s="53"/>
      <c r="L107" s="53"/>
      <c r="M107" s="371"/>
    </row>
    <row r="108" spans="1:13" s="3" customFormat="1" ht="21.9" customHeight="1">
      <c r="A108" s="61"/>
      <c r="B108" s="562"/>
      <c r="C108" s="562"/>
      <c r="D108" s="562"/>
      <c r="E108" s="562"/>
      <c r="F108" s="562"/>
      <c r="G108" s="559"/>
      <c r="H108" s="559"/>
      <c r="I108" s="559"/>
      <c r="J108" s="53"/>
      <c r="K108" s="53"/>
      <c r="L108" s="53"/>
      <c r="M108" s="371"/>
    </row>
    <row r="109" spans="1:13" s="3" customFormat="1" ht="21.9" customHeight="1">
      <c r="A109" s="61"/>
      <c r="B109" s="562"/>
      <c r="C109" s="562"/>
      <c r="D109" s="562"/>
      <c r="E109" s="562"/>
      <c r="F109" s="562"/>
      <c r="G109" s="559"/>
      <c r="H109" s="559"/>
      <c r="I109" s="559"/>
      <c r="J109" s="53"/>
      <c r="K109" s="53"/>
      <c r="L109" s="53"/>
      <c r="M109" s="371"/>
    </row>
    <row r="110" spans="1:13" s="3" customFormat="1" ht="21.9" customHeight="1">
      <c r="A110" s="61"/>
      <c r="B110" s="562"/>
      <c r="C110" s="562"/>
      <c r="D110" s="562"/>
      <c r="E110" s="562"/>
      <c r="F110" s="562"/>
      <c r="G110" s="559"/>
      <c r="H110" s="559"/>
      <c r="I110" s="559"/>
      <c r="J110" s="53"/>
      <c r="K110" s="53"/>
      <c r="L110" s="53"/>
      <c r="M110" s="371"/>
    </row>
    <row r="111" spans="1:13" s="3" customFormat="1" ht="21.9" customHeight="1">
      <c r="A111" s="61"/>
      <c r="B111" s="562"/>
      <c r="C111" s="562"/>
      <c r="D111" s="562"/>
      <c r="E111" s="562"/>
      <c r="F111" s="562"/>
      <c r="G111" s="559"/>
      <c r="H111" s="559"/>
      <c r="I111" s="559"/>
      <c r="J111" s="53"/>
      <c r="K111" s="53"/>
      <c r="L111" s="53"/>
      <c r="M111" s="371"/>
    </row>
    <row r="112" spans="1:13" s="3" customFormat="1" ht="21.9" customHeight="1">
      <c r="A112" s="61"/>
      <c r="B112" s="562"/>
      <c r="C112" s="562"/>
      <c r="D112" s="562"/>
      <c r="E112" s="562"/>
      <c r="F112" s="562"/>
      <c r="G112" s="559"/>
      <c r="H112" s="559"/>
      <c r="I112" s="559"/>
      <c r="J112" s="53"/>
      <c r="K112" s="53"/>
      <c r="L112" s="53"/>
      <c r="M112" s="371"/>
    </row>
    <row r="113" spans="1:13" s="3" customFormat="1" ht="21.9" customHeight="1">
      <c r="A113" s="61"/>
      <c r="B113" s="562"/>
      <c r="C113" s="562"/>
      <c r="D113" s="562"/>
      <c r="E113" s="562"/>
      <c r="F113" s="562"/>
      <c r="G113" s="559"/>
      <c r="H113" s="559"/>
      <c r="I113" s="559"/>
      <c r="J113" s="53"/>
      <c r="K113" s="53"/>
      <c r="L113" s="53"/>
      <c r="M113" s="371"/>
    </row>
    <row r="114" spans="1:13" s="3" customFormat="1" ht="21.9" customHeight="1">
      <c r="A114" s="61"/>
      <c r="B114" s="562"/>
      <c r="C114" s="562"/>
      <c r="D114" s="562"/>
      <c r="E114" s="562"/>
      <c r="F114" s="562"/>
      <c r="G114" s="559"/>
      <c r="H114" s="559"/>
      <c r="I114" s="559"/>
      <c r="J114" s="53"/>
      <c r="K114" s="53"/>
      <c r="L114" s="53"/>
      <c r="M114" s="371"/>
    </row>
    <row r="115" spans="1:13" s="3" customFormat="1" ht="21.9" customHeight="1">
      <c r="A115" s="61"/>
      <c r="B115" s="562"/>
      <c r="C115" s="562"/>
      <c r="D115" s="562"/>
      <c r="E115" s="562"/>
      <c r="F115" s="562"/>
      <c r="G115" s="559"/>
      <c r="H115" s="559"/>
      <c r="I115" s="559"/>
      <c r="J115" s="53"/>
      <c r="K115" s="53"/>
      <c r="L115" s="53"/>
      <c r="M115" s="371"/>
    </row>
    <row r="116" spans="1:13" s="3" customFormat="1" ht="21.9" customHeight="1">
      <c r="A116" s="61"/>
      <c r="B116" s="562"/>
      <c r="C116" s="562"/>
      <c r="D116" s="562"/>
      <c r="E116" s="562"/>
      <c r="F116" s="562"/>
      <c r="G116" s="559"/>
      <c r="H116" s="559"/>
      <c r="I116" s="559"/>
      <c r="J116" s="53"/>
      <c r="K116" s="53"/>
      <c r="L116" s="53"/>
      <c r="M116" s="371"/>
    </row>
    <row r="117" spans="1:13" s="3" customFormat="1" ht="21.9" customHeight="1">
      <c r="A117" s="61"/>
      <c r="B117" s="562"/>
      <c r="C117" s="562"/>
      <c r="D117" s="562"/>
      <c r="E117" s="562"/>
      <c r="F117" s="562"/>
      <c r="G117" s="559"/>
      <c r="H117" s="559"/>
      <c r="I117" s="559"/>
      <c r="J117" s="53"/>
      <c r="K117" s="53"/>
      <c r="L117" s="53"/>
      <c r="M117" s="371"/>
    </row>
    <row r="118" spans="1:13" s="3" customFormat="1" ht="21.9" customHeight="1">
      <c r="A118" s="61"/>
      <c r="B118" s="562"/>
      <c r="C118" s="562"/>
      <c r="D118" s="562"/>
      <c r="E118" s="562"/>
      <c r="F118" s="562"/>
      <c r="G118" s="559"/>
      <c r="H118" s="559"/>
      <c r="I118" s="559"/>
      <c r="J118" s="53"/>
      <c r="K118" s="53"/>
      <c r="L118" s="53"/>
      <c r="M118" s="371"/>
    </row>
    <row r="119" spans="1:13" s="3" customFormat="1" ht="21.9" customHeight="1">
      <c r="A119" s="61"/>
      <c r="B119" s="562"/>
      <c r="C119" s="562"/>
      <c r="D119" s="562"/>
      <c r="E119" s="562"/>
      <c r="F119" s="562"/>
      <c r="G119" s="559"/>
      <c r="H119" s="559"/>
      <c r="I119" s="559"/>
      <c r="J119" s="53"/>
      <c r="K119" s="53"/>
      <c r="L119" s="53"/>
      <c r="M119" s="371"/>
    </row>
    <row r="120" spans="1:13" s="3" customFormat="1" ht="21.9" customHeight="1">
      <c r="A120" s="377"/>
      <c r="B120" s="566"/>
      <c r="C120" s="566"/>
      <c r="D120" s="566"/>
      <c r="E120" s="566"/>
      <c r="F120" s="566"/>
      <c r="G120" s="377"/>
      <c r="H120" s="41"/>
      <c r="I120" s="41"/>
      <c r="J120" s="42"/>
      <c r="K120" s="42"/>
      <c r="L120" s="43"/>
    </row>
    <row r="121" spans="1:13" s="3" customFormat="1" ht="21.9" customHeight="1">
      <c r="A121" s="26" t="s">
        <v>23</v>
      </c>
      <c r="B121" s="375"/>
      <c r="C121" s="375"/>
      <c r="D121" s="375"/>
      <c r="E121" s="375"/>
      <c r="F121" s="17"/>
      <c r="G121" s="17"/>
      <c r="H121" s="17"/>
      <c r="I121" s="17"/>
      <c r="J121" s="17"/>
      <c r="K121" s="17"/>
    </row>
    <row r="122" spans="1:13" s="3" customFormat="1" ht="21.9" customHeight="1">
      <c r="A122" s="19" t="s">
        <v>13</v>
      </c>
      <c r="B122" s="567" t="s">
        <v>14</v>
      </c>
      <c r="C122" s="567"/>
      <c r="D122" s="567"/>
      <c r="E122" s="567"/>
      <c r="F122" s="567"/>
      <c r="G122" s="568" t="s">
        <v>24</v>
      </c>
      <c r="H122" s="568"/>
      <c r="I122" s="378" t="s">
        <v>17</v>
      </c>
      <c r="J122" s="381" t="s">
        <v>25</v>
      </c>
      <c r="K122" s="381"/>
      <c r="L122" s="381" t="s">
        <v>26</v>
      </c>
      <c r="M122" s="381" t="s">
        <v>27</v>
      </c>
    </row>
    <row r="123" spans="1:13" s="3" customFormat="1" ht="21.9" customHeight="1">
      <c r="A123" s="317"/>
      <c r="B123" s="563"/>
      <c r="C123" s="563"/>
      <c r="D123" s="563"/>
      <c r="E123" s="563"/>
      <c r="F123" s="563"/>
      <c r="G123" s="564"/>
      <c r="H123" s="564"/>
      <c r="I123" s="376"/>
      <c r="J123" s="376"/>
      <c r="K123" s="376"/>
      <c r="L123" s="371"/>
      <c r="M123" s="371"/>
    </row>
    <row r="124" spans="1:13" s="3" customFormat="1" ht="21.9" customHeight="1">
      <c r="A124" s="379"/>
      <c r="B124" s="563"/>
      <c r="C124" s="563"/>
      <c r="D124" s="563"/>
      <c r="E124" s="563"/>
      <c r="F124" s="563"/>
      <c r="G124" s="564"/>
      <c r="H124" s="564"/>
      <c r="I124" s="376"/>
      <c r="J124" s="376"/>
      <c r="K124" s="376"/>
      <c r="L124" s="371"/>
      <c r="M124" s="371"/>
    </row>
    <row r="125" spans="1:13" s="3" customFormat="1" ht="21.9" customHeight="1">
      <c r="A125" s="379"/>
      <c r="B125" s="563"/>
      <c r="C125" s="563"/>
      <c r="D125" s="563"/>
      <c r="E125" s="563"/>
      <c r="F125" s="563"/>
      <c r="G125" s="564"/>
      <c r="H125" s="564"/>
      <c r="I125" s="376"/>
      <c r="J125" s="376"/>
      <c r="K125" s="376"/>
      <c r="L125" s="371"/>
      <c r="M125" s="371"/>
    </row>
    <row r="126" spans="1:13" s="3" customFormat="1" ht="21.9" customHeight="1">
      <c r="A126" s="379"/>
      <c r="B126" s="563"/>
      <c r="C126" s="563"/>
      <c r="D126" s="563"/>
      <c r="E126" s="563"/>
      <c r="F126" s="563"/>
      <c r="G126" s="564"/>
      <c r="H126" s="564"/>
      <c r="I126" s="376"/>
      <c r="J126" s="376"/>
      <c r="K126" s="376"/>
      <c r="L126" s="371"/>
      <c r="M126" s="371"/>
    </row>
    <row r="127" spans="1:13" s="3" customFormat="1" ht="21.9" customHeight="1">
      <c r="A127" s="32"/>
      <c r="B127" s="565"/>
      <c r="C127" s="565"/>
      <c r="D127" s="565"/>
      <c r="E127" s="565"/>
      <c r="F127" s="565"/>
      <c r="G127" s="565"/>
      <c r="H127" s="565"/>
      <c r="I127" s="565"/>
      <c r="J127" s="17"/>
      <c r="K127" s="17"/>
    </row>
    <row r="128" spans="1:13" s="3" customFormat="1" ht="21.9" customHeight="1">
      <c r="A128" s="34" t="s">
        <v>28</v>
      </c>
      <c r="B128" s="34"/>
      <c r="C128" s="34"/>
      <c r="D128" s="34"/>
      <c r="E128" s="34"/>
      <c r="F128" s="17"/>
      <c r="G128" s="38"/>
      <c r="H128" s="36" t="s">
        <v>29</v>
      </c>
      <c r="I128" s="34"/>
      <c r="J128" s="34"/>
      <c r="K128" s="34"/>
      <c r="L128" s="34"/>
      <c r="M128" s="34"/>
    </row>
    <row r="129" spans="1:13" s="3" customFormat="1" ht="21.9" customHeight="1">
      <c r="A129" s="569"/>
      <c r="B129" s="569"/>
      <c r="C129" s="569"/>
      <c r="D129" s="569"/>
      <c r="E129" s="569"/>
      <c r="F129" s="569"/>
      <c r="G129" s="373"/>
      <c r="H129" s="569"/>
      <c r="I129" s="569"/>
      <c r="J129" s="569"/>
      <c r="K129" s="569"/>
      <c r="L129" s="569"/>
      <c r="M129" s="569"/>
    </row>
    <row r="130" spans="1:13" s="3" customFormat="1" ht="21.9" customHeight="1">
      <c r="A130" s="571"/>
      <c r="B130" s="571"/>
      <c r="C130" s="571"/>
      <c r="D130" s="571"/>
      <c r="E130" s="571"/>
      <c r="F130" s="571"/>
      <c r="G130" s="373"/>
      <c r="H130" s="569"/>
      <c r="I130" s="569"/>
      <c r="J130" s="569"/>
      <c r="K130" s="569"/>
      <c r="L130" s="569"/>
      <c r="M130" s="569"/>
    </row>
    <row r="131" spans="1:13" s="3" customFormat="1" ht="21.9" customHeight="1">
      <c r="A131" s="571"/>
      <c r="B131" s="571"/>
      <c r="C131" s="571"/>
      <c r="D131" s="571"/>
      <c r="E131" s="571"/>
      <c r="F131" s="571"/>
      <c r="G131" s="57"/>
      <c r="H131" s="569"/>
      <c r="I131" s="569"/>
      <c r="J131" s="569"/>
      <c r="K131" s="569"/>
      <c r="L131" s="569"/>
      <c r="M131" s="569"/>
    </row>
    <row r="132" spans="1:13" s="3" customFormat="1" ht="21.9" customHeight="1">
      <c r="A132" s="569"/>
      <c r="B132" s="569"/>
      <c r="C132" s="569"/>
      <c r="D132" s="569"/>
      <c r="E132" s="569"/>
      <c r="F132" s="569"/>
      <c r="G132" s="57"/>
      <c r="H132" s="569"/>
      <c r="I132" s="569"/>
      <c r="J132" s="569"/>
      <c r="K132" s="569"/>
      <c r="L132" s="569"/>
      <c r="M132" s="569"/>
    </row>
    <row r="133" spans="1:13" s="3" customFormat="1" ht="21.9" customHeight="1">
      <c r="A133" s="570"/>
      <c r="B133" s="570"/>
      <c r="C133" s="570"/>
      <c r="D133" s="570"/>
      <c r="E133" s="570"/>
      <c r="F133" s="570"/>
      <c r="G133" s="39"/>
      <c r="H133" s="569"/>
      <c r="I133" s="569"/>
      <c r="J133" s="569"/>
      <c r="K133" s="569"/>
      <c r="L133" s="569"/>
      <c r="M133" s="569"/>
    </row>
    <row r="134" spans="1:13" s="3" customFormat="1" ht="21.9" customHeight="1">
      <c r="A134" s="571"/>
      <c r="B134" s="571"/>
      <c r="C134" s="571"/>
      <c r="D134" s="571"/>
      <c r="E134" s="571"/>
      <c r="F134" s="571"/>
      <c r="G134" s="373"/>
      <c r="H134" s="569"/>
      <c r="I134" s="569"/>
      <c r="J134" s="569"/>
      <c r="K134" s="569"/>
      <c r="L134" s="569"/>
      <c r="M134" s="569"/>
    </row>
    <row r="135" spans="1:13" s="3" customFormat="1" ht="21.9" customHeight="1">
      <c r="A135" s="571"/>
      <c r="B135" s="571"/>
      <c r="C135" s="571"/>
      <c r="D135" s="571"/>
      <c r="E135" s="571"/>
      <c r="F135" s="571"/>
      <c r="G135" s="57"/>
      <c r="H135" s="569"/>
      <c r="I135" s="569"/>
      <c r="J135" s="569"/>
      <c r="K135" s="569"/>
      <c r="L135" s="569"/>
      <c r="M135" s="569"/>
    </row>
    <row r="136" spans="1:13" s="3" customFormat="1" ht="21.9" customHeight="1">
      <c r="A136" s="571"/>
      <c r="B136" s="571"/>
      <c r="C136" s="571"/>
      <c r="D136" s="571"/>
      <c r="E136" s="571"/>
      <c r="F136" s="571"/>
      <c r="G136" s="373"/>
      <c r="H136" s="569"/>
      <c r="I136" s="569"/>
      <c r="J136" s="569"/>
      <c r="K136" s="569"/>
      <c r="L136" s="569"/>
      <c r="M136" s="569"/>
    </row>
    <row r="137" spans="1:13" s="3" customFormat="1" ht="21.9" customHeight="1">
      <c r="A137" s="571"/>
      <c r="B137" s="571"/>
      <c r="C137" s="571"/>
      <c r="D137" s="571"/>
      <c r="E137" s="571"/>
      <c r="F137" s="571"/>
      <c r="G137" s="373"/>
      <c r="H137" s="569"/>
      <c r="I137" s="569"/>
      <c r="J137" s="569"/>
      <c r="K137" s="569"/>
      <c r="L137" s="569"/>
      <c r="M137" s="569"/>
    </row>
    <row r="138" spans="1:13" s="3" customFormat="1" ht="21.9" customHeight="1">
      <c r="A138" s="571"/>
      <c r="B138" s="571"/>
      <c r="C138" s="571"/>
      <c r="D138" s="571"/>
      <c r="E138" s="571"/>
      <c r="F138" s="571"/>
      <c r="G138" s="57"/>
      <c r="H138" s="569"/>
      <c r="I138" s="569"/>
      <c r="J138" s="569"/>
      <c r="K138" s="569"/>
      <c r="L138" s="569"/>
      <c r="M138" s="569"/>
    </row>
    <row r="139" spans="1:13" s="3" customFormat="1" ht="21.9" customHeight="1">
      <c r="A139" s="572"/>
      <c r="B139" s="572"/>
      <c r="C139" s="572"/>
      <c r="D139" s="572"/>
      <c r="E139" s="572"/>
      <c r="F139" s="572"/>
      <c r="G139" s="57"/>
      <c r="H139" s="572"/>
      <c r="I139" s="572"/>
      <c r="J139" s="572"/>
      <c r="K139" s="572"/>
      <c r="L139" s="572"/>
      <c r="M139" s="572"/>
    </row>
    <row r="140" spans="1:13" s="3" customFormat="1" ht="21.9" customHeight="1">
      <c r="A140" s="70" t="s">
        <v>34</v>
      </c>
      <c r="B140" s="5"/>
      <c r="C140" s="4"/>
      <c r="H140" s="573" t="s">
        <v>35</v>
      </c>
      <c r="I140" s="573"/>
      <c r="J140" s="573"/>
      <c r="K140" s="374"/>
      <c r="L140" s="573" t="s">
        <v>36</v>
      </c>
      <c r="M140" s="573"/>
    </row>
    <row r="141" spans="1:13" s="3" customFormat="1" ht="21.9" customHeight="1">
      <c r="A141" s="576"/>
      <c r="B141" s="576"/>
      <c r="C141" s="576"/>
      <c r="D141" s="576"/>
      <c r="E141" s="576"/>
      <c r="F141" s="576"/>
      <c r="G141" s="71"/>
      <c r="H141" s="577" t="s">
        <v>14</v>
      </c>
      <c r="I141" s="577"/>
      <c r="J141" s="372" t="s">
        <v>24</v>
      </c>
      <c r="K141" s="372"/>
      <c r="L141" s="372" t="s">
        <v>14</v>
      </c>
      <c r="M141" s="372" t="s">
        <v>24</v>
      </c>
    </row>
    <row r="142" spans="1:13" s="3" customFormat="1" ht="21.9" customHeight="1">
      <c r="A142" s="574"/>
      <c r="B142" s="574"/>
      <c r="C142" s="574"/>
      <c r="D142" s="574"/>
      <c r="E142" s="574"/>
      <c r="F142" s="574"/>
      <c r="G142" s="72"/>
      <c r="H142" s="575"/>
      <c r="I142" s="575"/>
      <c r="J142" s="371"/>
      <c r="K142" s="371"/>
      <c r="L142" s="76"/>
      <c r="M142" s="371"/>
    </row>
    <row r="143" spans="1:13" s="3" customFormat="1" ht="21.9" customHeight="1">
      <c r="A143" s="574"/>
      <c r="B143" s="574"/>
      <c r="C143" s="574"/>
      <c r="D143" s="574"/>
      <c r="E143" s="574"/>
      <c r="F143" s="574"/>
      <c r="G143" s="72"/>
      <c r="H143" s="575"/>
      <c r="I143" s="575"/>
      <c r="J143" s="371"/>
      <c r="K143" s="371"/>
      <c r="L143" s="76"/>
      <c r="M143" s="371"/>
    </row>
    <row r="144" spans="1:13" s="3" customFormat="1" ht="21.9" customHeight="1">
      <c r="A144" s="574"/>
      <c r="B144" s="574"/>
      <c r="C144" s="574"/>
      <c r="D144" s="574"/>
      <c r="E144" s="574"/>
      <c r="F144" s="574"/>
      <c r="G144" s="72"/>
      <c r="H144" s="575"/>
      <c r="I144" s="575"/>
      <c r="J144" s="371"/>
      <c r="K144" s="371"/>
      <c r="L144" s="76"/>
      <c r="M144" s="371"/>
    </row>
    <row r="145" spans="1:13" s="3" customFormat="1" ht="21.9" customHeight="1">
      <c r="A145" s="574"/>
      <c r="B145" s="574"/>
      <c r="C145" s="574"/>
      <c r="D145" s="574"/>
      <c r="E145" s="574"/>
      <c r="F145" s="574"/>
      <c r="G145" s="72"/>
      <c r="H145" s="575"/>
      <c r="I145" s="575"/>
      <c r="J145" s="371"/>
      <c r="K145" s="371"/>
      <c r="L145" s="76"/>
      <c r="M145" s="371"/>
    </row>
    <row r="146" spans="1:13" s="3" customFormat="1" ht="21.9" customHeight="1">
      <c r="A146" s="574"/>
      <c r="B146" s="574"/>
      <c r="C146" s="574"/>
      <c r="D146" s="574"/>
      <c r="E146" s="574"/>
      <c r="F146" s="574"/>
      <c r="G146" s="72"/>
      <c r="H146" s="575"/>
      <c r="I146" s="575"/>
      <c r="J146" s="371"/>
      <c r="K146" s="371"/>
      <c r="L146" s="77"/>
      <c r="M146" s="371"/>
    </row>
    <row r="147" spans="1:13" s="3" customFormat="1" ht="21.9" customHeight="1">
      <c r="A147" s="574"/>
      <c r="B147" s="574"/>
      <c r="C147" s="574"/>
      <c r="D147" s="574"/>
      <c r="E147" s="574"/>
      <c r="F147" s="574"/>
      <c r="G147" s="72"/>
      <c r="H147" s="575"/>
      <c r="I147" s="575"/>
      <c r="J147" s="73"/>
      <c r="K147" s="72"/>
      <c r="M147" s="73"/>
    </row>
    <row r="148" spans="1:13" s="3" customFormat="1" ht="21.9" customHeight="1">
      <c r="A148" s="574"/>
      <c r="B148" s="574"/>
      <c r="C148" s="574"/>
      <c r="D148" s="574"/>
      <c r="E148" s="574"/>
      <c r="F148" s="574"/>
      <c r="G148" s="72"/>
      <c r="H148" s="575"/>
      <c r="I148" s="575"/>
      <c r="J148" s="73"/>
      <c r="K148" s="73"/>
      <c r="L148" s="77"/>
      <c r="M148" s="73"/>
    </row>
    <row r="149" spans="1:13" s="3" customFormat="1" ht="21.9" customHeight="1">
      <c r="A149" s="574"/>
      <c r="B149" s="574"/>
      <c r="C149" s="574"/>
      <c r="D149" s="574"/>
      <c r="E149" s="574"/>
      <c r="F149" s="574"/>
      <c r="G149" s="72"/>
      <c r="H149" s="575"/>
      <c r="I149" s="575"/>
      <c r="J149" s="73"/>
      <c r="K149" s="73"/>
      <c r="L149" s="77"/>
      <c r="M149" s="73"/>
    </row>
    <row r="150" spans="1:13" s="3" customFormat="1" ht="21.9" customHeight="1">
      <c r="A150" s="574"/>
      <c r="B150" s="574"/>
      <c r="C150" s="574"/>
      <c r="D150" s="574"/>
      <c r="E150" s="574"/>
      <c r="F150" s="574"/>
      <c r="G150" s="72"/>
      <c r="H150" s="575"/>
      <c r="I150" s="575"/>
      <c r="J150" s="73"/>
      <c r="K150" s="73"/>
      <c r="L150" s="77"/>
      <c r="M150" s="73"/>
    </row>
    <row r="151" spans="1:13" s="3" customFormat="1" ht="21.9" customHeight="1">
      <c r="A151" s="574"/>
      <c r="B151" s="574"/>
      <c r="C151" s="574"/>
      <c r="D151" s="574"/>
      <c r="E151" s="574"/>
      <c r="F151" s="574"/>
      <c r="G151" s="72"/>
      <c r="H151" s="575"/>
      <c r="I151" s="575"/>
      <c r="J151" s="73"/>
      <c r="K151" s="73"/>
      <c r="L151" s="77"/>
      <c r="M151" s="73"/>
    </row>
    <row r="152" spans="1:13" s="3" customFormat="1" ht="21.9" customHeight="1">
      <c r="A152" s="45"/>
      <c r="B152" s="46"/>
      <c r="C152" s="46"/>
      <c r="D152" s="46"/>
      <c r="E152" s="44"/>
      <c r="F152" s="46"/>
      <c r="G152" s="46"/>
      <c r="H152" s="46"/>
      <c r="I152" s="46"/>
      <c r="J152" s="46"/>
      <c r="K152" s="46"/>
      <c r="L152" s="47"/>
      <c r="M152" s="46"/>
    </row>
    <row r="153" spans="1:13" s="3" customFormat="1" ht="21.9" customHeight="1">
      <c r="A153" s="45" t="s">
        <v>45</v>
      </c>
      <c r="B153" s="46"/>
      <c r="C153" s="46"/>
      <c r="D153" s="46"/>
      <c r="E153" s="44"/>
      <c r="F153" s="46"/>
      <c r="G153" s="46"/>
      <c r="H153" s="46"/>
      <c r="I153" s="46"/>
      <c r="J153" s="46"/>
      <c r="K153" s="46"/>
      <c r="L153" s="47"/>
      <c r="M153" s="46"/>
    </row>
    <row r="154" spans="1:13" s="3" customFormat="1" ht="21.9" customHeight="1">
      <c r="A154" s="45"/>
      <c r="B154" s="46"/>
      <c r="C154" s="46"/>
      <c r="D154" s="46"/>
      <c r="E154" s="44"/>
      <c r="F154" s="46"/>
      <c r="G154" s="46"/>
      <c r="H154" s="46"/>
      <c r="I154" s="48"/>
      <c r="J154" s="48"/>
      <c r="K154" s="48"/>
      <c r="L154" s="47"/>
      <c r="M154" s="46"/>
    </row>
    <row r="155" spans="1:13" s="3" customFormat="1" ht="21.9" customHeight="1">
      <c r="A155" s="46" t="s">
        <v>46</v>
      </c>
      <c r="B155" s="578" t="s">
        <v>47</v>
      </c>
      <c r="C155" s="579"/>
      <c r="D155" s="578" t="s">
        <v>48</v>
      </c>
      <c r="E155" s="579"/>
      <c r="F155" s="578" t="s">
        <v>49</v>
      </c>
      <c r="G155" s="579"/>
      <c r="H155" s="578" t="s">
        <v>50</v>
      </c>
      <c r="I155" s="579"/>
      <c r="J155" s="578" t="s">
        <v>51</v>
      </c>
      <c r="K155" s="769"/>
      <c r="L155" s="579"/>
      <c r="M155" s="49"/>
    </row>
    <row r="156" spans="1:13" s="3" customFormat="1" ht="21.9" customHeight="1">
      <c r="A156" s="50"/>
      <c r="B156" s="583"/>
      <c r="C156" s="584"/>
      <c r="D156" s="587"/>
      <c r="E156" s="588"/>
      <c r="F156" s="665"/>
      <c r="G156" s="666"/>
      <c r="H156" s="665"/>
      <c r="I156" s="666"/>
      <c r="J156" s="587"/>
      <c r="K156" s="770"/>
      <c r="L156" s="588"/>
      <c r="M156" s="49"/>
    </row>
    <row r="157" spans="1:13" s="3" customFormat="1" ht="21.9" customHeight="1">
      <c r="A157" s="50"/>
      <c r="B157" s="585"/>
      <c r="C157" s="586"/>
      <c r="D157" s="589"/>
      <c r="E157" s="590"/>
      <c r="F157" s="667"/>
      <c r="G157" s="668"/>
      <c r="H157" s="667"/>
      <c r="I157" s="668"/>
      <c r="J157" s="589"/>
      <c r="K157" s="771"/>
      <c r="L157" s="590"/>
      <c r="M157" s="49"/>
    </row>
    <row r="158" spans="1:13" s="3" customFormat="1" ht="21.9" customHeight="1">
      <c r="A158" s="35"/>
      <c r="B158" s="27"/>
      <c r="C158" s="27"/>
      <c r="D158" s="27"/>
      <c r="E158" s="35"/>
      <c r="F158" s="58"/>
      <c r="G158" s="58"/>
      <c r="H158" s="58"/>
      <c r="I158" s="58"/>
      <c r="J158" s="68"/>
      <c r="K158" s="68"/>
      <c r="L158" s="68"/>
    </row>
    <row r="159" spans="1:13" s="3" customFormat="1" ht="21.9" customHeight="1">
      <c r="A159" s="35" t="s">
        <v>53</v>
      </c>
      <c r="B159" s="27"/>
      <c r="C159" s="27"/>
      <c r="D159" s="35" t="s">
        <v>54</v>
      </c>
      <c r="E159" s="22"/>
      <c r="F159" s="58"/>
      <c r="G159" s="22"/>
      <c r="H159" s="35" t="s">
        <v>250</v>
      </c>
      <c r="I159" s="58"/>
      <c r="J159" s="22"/>
      <c r="K159" s="22"/>
      <c r="L159" s="68" t="s">
        <v>266</v>
      </c>
    </row>
    <row r="160" spans="1:13" s="3" customFormat="1" ht="21.9" customHeight="1">
      <c r="A160" s="29"/>
      <c r="B160" s="29"/>
      <c r="C160" s="29"/>
      <c r="D160" s="29"/>
      <c r="E160" s="29"/>
      <c r="F160" s="29"/>
      <c r="G160" s="22"/>
      <c r="H160" s="29"/>
      <c r="I160" s="29"/>
    </row>
    <row r="161" spans="1:13" s="3" customFormat="1" ht="21.9" customHeight="1">
      <c r="A161" s="580"/>
      <c r="B161" s="580"/>
      <c r="C161" s="318"/>
      <c r="D161" s="671" t="s">
        <v>267</v>
      </c>
      <c r="E161" s="671"/>
      <c r="F161" s="671"/>
      <c r="G161" s="22"/>
      <c r="H161" s="672" t="s">
        <v>247</v>
      </c>
      <c r="I161" s="672"/>
      <c r="J161" s="672"/>
      <c r="K161" s="382"/>
      <c r="L161" s="662" t="s">
        <v>268</v>
      </c>
      <c r="M161" s="662"/>
    </row>
    <row r="162" spans="1:13" s="3" customFormat="1" ht="21.9" customHeight="1">
      <c r="A162" s="663" t="s">
        <v>59</v>
      </c>
      <c r="B162" s="663"/>
      <c r="C162" s="319"/>
      <c r="D162" s="664" t="s">
        <v>60</v>
      </c>
      <c r="E162" s="664"/>
      <c r="F162" s="664"/>
      <c r="H162" s="663" t="s">
        <v>252</v>
      </c>
      <c r="I162" s="663"/>
      <c r="J162" s="663"/>
      <c r="K162" s="383"/>
      <c r="L162" s="320" t="s">
        <v>253</v>
      </c>
      <c r="M162" s="320"/>
    </row>
    <row r="163" spans="1:13" s="3" customFormat="1" ht="21.9" customHeight="1">
      <c r="A163" s="32"/>
      <c r="B163" s="32"/>
      <c r="C163" s="32"/>
      <c r="D163" s="32"/>
      <c r="E163" s="32"/>
      <c r="F163" s="31"/>
      <c r="G163" s="31"/>
      <c r="H163" s="31"/>
      <c r="I163" s="31"/>
      <c r="J163" s="31"/>
      <c r="K163" s="31"/>
    </row>
    <row r="164" spans="1:13" s="3" customFormat="1" ht="21.9" customHeight="1">
      <c r="A164" s="32"/>
      <c r="B164" s="32"/>
      <c r="C164" s="32"/>
      <c r="D164" s="32"/>
      <c r="E164" s="32"/>
      <c r="F164" s="31"/>
      <c r="G164" s="31"/>
      <c r="H164" s="31"/>
      <c r="I164" s="31"/>
      <c r="J164" s="31"/>
      <c r="K164" s="31"/>
    </row>
    <row r="165" spans="1:13" s="3" customFormat="1" ht="21.9" customHeight="1">
      <c r="A165" s="32"/>
      <c r="B165" s="32"/>
      <c r="C165" s="32"/>
      <c r="D165" s="32"/>
      <c r="E165" s="32"/>
      <c r="F165" s="33"/>
      <c r="G165" s="33"/>
      <c r="H165" s="33"/>
      <c r="I165" s="33"/>
      <c r="J165" s="33"/>
      <c r="K165" s="33"/>
    </row>
    <row r="166" spans="1:13" s="3" customFormat="1" ht="21.9" customHeight="1">
      <c r="A166" s="32"/>
      <c r="B166" s="32"/>
      <c r="C166" s="32"/>
      <c r="D166" s="32"/>
      <c r="E166" s="32"/>
      <c r="F166" s="33"/>
      <c r="G166" s="33"/>
      <c r="H166" s="33"/>
      <c r="I166" s="33"/>
      <c r="J166" s="33"/>
      <c r="K166" s="33"/>
    </row>
    <row r="167" spans="1:13" s="3" customFormat="1" ht="21.9" customHeight="1">
      <c r="A167" s="13"/>
      <c r="B167" s="13"/>
      <c r="C167" s="13"/>
      <c r="D167" s="13"/>
      <c r="E167" s="13"/>
      <c r="F167" s="14"/>
      <c r="G167" s="14"/>
      <c r="H167" s="14"/>
      <c r="I167" s="14"/>
      <c r="J167" s="14"/>
      <c r="K167" s="14"/>
      <c r="L167" s="9"/>
      <c r="M167" s="9"/>
    </row>
    <row r="168" spans="1:13" s="3" customFormat="1" ht="21.9" customHeight="1">
      <c r="A168" s="13"/>
      <c r="B168" s="13"/>
      <c r="C168" s="13"/>
      <c r="D168" s="13"/>
      <c r="E168" s="13"/>
      <c r="F168" s="14"/>
      <c r="G168" s="14"/>
      <c r="H168" s="14"/>
      <c r="I168" s="14"/>
      <c r="J168" s="14"/>
      <c r="K168" s="14"/>
      <c r="L168" s="9"/>
      <c r="M168" s="9"/>
    </row>
    <row r="169" spans="1:13" s="3" customFormat="1" ht="21.9" customHeight="1">
      <c r="A169" s="13"/>
      <c r="B169" s="13"/>
      <c r="C169" s="13"/>
      <c r="D169" s="13"/>
      <c r="E169" s="13"/>
      <c r="F169" s="14"/>
      <c r="G169" s="14"/>
      <c r="H169" s="14"/>
      <c r="I169" s="14"/>
      <c r="J169" s="14"/>
      <c r="K169" s="14"/>
      <c r="L169" s="9"/>
      <c r="M169" s="9"/>
    </row>
    <row r="170" spans="1:13" s="3" customFormat="1" ht="21.9" customHeight="1">
      <c r="A170" s="13"/>
      <c r="B170" s="13"/>
      <c r="C170" s="13"/>
      <c r="D170" s="13"/>
      <c r="E170" s="13"/>
      <c r="F170" s="14"/>
      <c r="G170" s="14"/>
      <c r="H170" s="14"/>
      <c r="I170" s="14"/>
      <c r="J170" s="14"/>
      <c r="K170" s="14"/>
      <c r="L170" s="9"/>
      <c r="M170" s="9"/>
    </row>
    <row r="171" spans="1:13" s="3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  <c r="K171" s="14"/>
      <c r="L171" s="9"/>
      <c r="M171" s="9"/>
    </row>
    <row r="172" spans="1:13" s="3" customFormat="1" ht="21.9" customHeight="1">
      <c r="A172" s="13"/>
      <c r="B172" s="13"/>
      <c r="C172" s="13"/>
      <c r="D172" s="13"/>
      <c r="E172" s="13"/>
      <c r="F172" s="10"/>
      <c r="G172" s="10"/>
      <c r="H172" s="10"/>
      <c r="I172" s="10"/>
      <c r="J172" s="10"/>
      <c r="K172" s="10"/>
      <c r="L172" s="9"/>
      <c r="M172" s="9"/>
    </row>
    <row r="173" spans="1:13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  <c r="K173" s="14"/>
    </row>
    <row r="174" spans="1:13" s="9" customFormat="1" ht="21.9" customHeight="1">
      <c r="A174" s="13"/>
      <c r="B174" s="13"/>
      <c r="C174" s="13"/>
      <c r="D174" s="13"/>
      <c r="E174" s="13"/>
      <c r="F174" s="14"/>
      <c r="G174" s="14"/>
      <c r="H174" s="14"/>
      <c r="I174" s="14"/>
      <c r="J174" s="14"/>
      <c r="K174" s="14"/>
    </row>
    <row r="175" spans="1:13" s="9" customFormat="1" ht="21.9" customHeight="1">
      <c r="A175" s="13"/>
      <c r="B175" s="13"/>
      <c r="C175" s="13"/>
      <c r="D175" s="13"/>
      <c r="E175" s="13"/>
      <c r="F175" s="14"/>
      <c r="G175" s="14"/>
      <c r="H175" s="14"/>
      <c r="I175" s="14"/>
      <c r="J175" s="14"/>
      <c r="K175" s="14"/>
    </row>
    <row r="176" spans="1:13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  <c r="K176" s="8"/>
    </row>
    <row r="177" spans="1:11" s="9" customFormat="1" ht="21.9" customHeight="1">
      <c r="A177" s="13"/>
      <c r="B177" s="13"/>
      <c r="C177" s="13"/>
      <c r="D177" s="13"/>
      <c r="E177" s="13"/>
      <c r="F177" s="14"/>
      <c r="G177" s="14"/>
      <c r="H177" s="14"/>
      <c r="I177" s="14"/>
      <c r="J177" s="14"/>
      <c r="K177" s="14"/>
    </row>
    <row r="178" spans="1:11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  <c r="K178" s="10"/>
    </row>
    <row r="179" spans="1:11" s="9" customFormat="1" ht="21.9" customHeight="1">
      <c r="A179" s="13"/>
      <c r="B179" s="13"/>
      <c r="C179" s="13"/>
      <c r="D179" s="13"/>
      <c r="E179" s="13"/>
      <c r="F179" s="12"/>
      <c r="G179" s="12"/>
      <c r="H179" s="12"/>
      <c r="I179" s="12"/>
      <c r="J179" s="12"/>
      <c r="K179" s="12"/>
    </row>
    <row r="180" spans="1:11" s="9" customFormat="1" ht="21.9" customHeight="1">
      <c r="A180" s="13"/>
      <c r="B180" s="13"/>
      <c r="C180" s="13"/>
      <c r="D180" s="13"/>
      <c r="E180" s="13"/>
      <c r="F180" s="12"/>
      <c r="G180" s="12"/>
      <c r="H180" s="12"/>
      <c r="I180" s="12"/>
      <c r="J180" s="12"/>
      <c r="K180" s="12"/>
    </row>
    <row r="181" spans="1:11" s="9" customFormat="1" ht="21.9" customHeight="1">
      <c r="A181" s="13"/>
      <c r="B181" s="13"/>
      <c r="C181" s="13"/>
      <c r="D181" s="13"/>
      <c r="E181" s="13"/>
      <c r="F181" s="12"/>
      <c r="G181" s="12"/>
      <c r="H181" s="12"/>
      <c r="I181" s="12"/>
      <c r="J181" s="12"/>
      <c r="K181" s="12"/>
    </row>
    <row r="182" spans="1:11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  <c r="K182" s="12"/>
    </row>
    <row r="183" spans="1:11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  <c r="K183" s="12"/>
    </row>
    <row r="184" spans="1:11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  <c r="K184" s="12"/>
    </row>
    <row r="185" spans="1:11" s="9" customFormat="1" ht="21.9" customHeight="1">
      <c r="A185" s="13"/>
      <c r="B185" s="13"/>
      <c r="C185" s="13"/>
      <c r="D185" s="13"/>
      <c r="E185" s="13"/>
      <c r="F185" s="14"/>
      <c r="G185" s="14"/>
      <c r="H185" s="14"/>
      <c r="I185" s="14"/>
      <c r="J185" s="14"/>
      <c r="K185" s="14"/>
    </row>
    <row r="186" spans="1:11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  <c r="K186" s="8"/>
    </row>
    <row r="187" spans="1:11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  <c r="K187" s="8"/>
    </row>
    <row r="188" spans="1:11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  <c r="K188" s="8"/>
    </row>
    <row r="189" spans="1:11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  <c r="K189" s="8"/>
    </row>
    <row r="190" spans="1:11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  <c r="K190" s="8"/>
    </row>
    <row r="191" spans="1:11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  <c r="K191" s="8"/>
    </row>
    <row r="192" spans="1:11" s="9" customFormat="1" ht="21.9" customHeight="1">
      <c r="A192" s="13"/>
      <c r="B192" s="13"/>
      <c r="C192" s="13"/>
      <c r="D192" s="13"/>
      <c r="E192" s="13"/>
      <c r="F192" s="10"/>
      <c r="G192" s="10"/>
      <c r="H192" s="10"/>
      <c r="I192" s="10"/>
      <c r="J192" s="10"/>
      <c r="K192" s="10"/>
    </row>
    <row r="193" spans="1:11" s="9" customFormat="1" ht="21.9" customHeight="1">
      <c r="A193" s="13"/>
      <c r="B193" s="13"/>
      <c r="C193" s="13"/>
      <c r="D193" s="13"/>
      <c r="E193" s="13"/>
      <c r="F193" s="10"/>
      <c r="G193" s="10"/>
      <c r="H193" s="10"/>
      <c r="I193" s="10"/>
      <c r="J193" s="10"/>
      <c r="K193" s="10"/>
    </row>
    <row r="194" spans="1:11" s="9" customFormat="1" ht="21.9" customHeight="1">
      <c r="A194" s="13"/>
      <c r="B194" s="13"/>
      <c r="C194" s="13"/>
      <c r="D194" s="13"/>
      <c r="E194" s="13"/>
      <c r="F194" s="10"/>
      <c r="G194" s="10"/>
      <c r="H194" s="10"/>
      <c r="I194" s="10"/>
      <c r="J194" s="10"/>
      <c r="K194" s="10"/>
    </row>
    <row r="195" spans="1:11" s="9" customFormat="1" ht="21.9" customHeight="1">
      <c r="A195" s="13"/>
      <c r="B195" s="13"/>
      <c r="C195" s="13"/>
      <c r="D195" s="13"/>
      <c r="E195" s="13"/>
      <c r="F195" s="10"/>
      <c r="G195" s="10"/>
      <c r="H195" s="10"/>
      <c r="I195" s="10"/>
      <c r="J195" s="10"/>
      <c r="K195" s="10"/>
    </row>
    <row r="196" spans="1:11" s="9" customFormat="1" ht="21.9" customHeight="1">
      <c r="A196" s="13"/>
      <c r="B196" s="13"/>
      <c r="C196" s="13"/>
      <c r="D196" s="13"/>
      <c r="E196" s="13"/>
      <c r="F196" s="12"/>
      <c r="G196" s="12"/>
      <c r="H196" s="12"/>
      <c r="I196" s="12"/>
      <c r="J196" s="12"/>
      <c r="K196" s="12"/>
    </row>
    <row r="197" spans="1:11" s="9" customFormat="1" ht="21.9" customHeight="1">
      <c r="A197" s="13"/>
      <c r="B197" s="13"/>
      <c r="C197" s="13"/>
      <c r="D197" s="13"/>
      <c r="E197" s="13"/>
      <c r="F197" s="12"/>
      <c r="G197" s="12"/>
      <c r="H197" s="12"/>
      <c r="I197" s="12"/>
      <c r="J197" s="12"/>
      <c r="K197" s="12"/>
    </row>
    <row r="198" spans="1:11" s="9" customFormat="1" ht="21.9" customHeight="1">
      <c r="A198" s="13"/>
      <c r="B198" s="13"/>
      <c r="C198" s="13"/>
      <c r="D198" s="13"/>
      <c r="E198" s="13"/>
      <c r="F198" s="12"/>
      <c r="G198" s="12"/>
      <c r="H198" s="12"/>
      <c r="I198" s="12"/>
      <c r="J198" s="12"/>
      <c r="K198" s="12"/>
    </row>
    <row r="199" spans="1:11" s="9" customFormat="1" ht="21.9" customHeight="1">
      <c r="A199" s="13"/>
      <c r="B199" s="13"/>
      <c r="C199" s="13"/>
      <c r="D199" s="13"/>
      <c r="E199" s="13"/>
      <c r="F199" s="8"/>
      <c r="G199" s="8"/>
      <c r="H199" s="8"/>
      <c r="I199" s="8"/>
      <c r="J199" s="8"/>
      <c r="K199" s="8"/>
    </row>
    <row r="200" spans="1:11" s="9" customFormat="1" ht="21.9" customHeight="1">
      <c r="A200" s="13"/>
      <c r="B200" s="13"/>
      <c r="C200" s="13"/>
      <c r="D200" s="13"/>
      <c r="E200" s="13"/>
      <c r="F200" s="8"/>
      <c r="G200" s="8"/>
      <c r="H200" s="8"/>
      <c r="I200" s="8"/>
      <c r="J200" s="8"/>
      <c r="K200" s="8"/>
    </row>
    <row r="201" spans="1:11" s="9" customFormat="1" ht="21.9" customHeight="1">
      <c r="A201" s="13"/>
      <c r="B201" s="13"/>
      <c r="C201" s="13"/>
      <c r="D201" s="13"/>
      <c r="E201" s="13"/>
      <c r="F201" s="12"/>
      <c r="G201" s="12"/>
      <c r="H201" s="12"/>
      <c r="I201" s="12"/>
      <c r="J201" s="12"/>
      <c r="K201" s="12"/>
    </row>
    <row r="202" spans="1:11" s="9" customFormat="1" ht="21.9" customHeight="1">
      <c r="A202" s="13"/>
      <c r="B202" s="13"/>
      <c r="C202" s="13"/>
      <c r="D202" s="13"/>
      <c r="E202" s="13"/>
      <c r="F202" s="12"/>
      <c r="G202" s="12"/>
      <c r="H202" s="12"/>
      <c r="I202" s="12"/>
      <c r="J202" s="12"/>
      <c r="K202" s="12"/>
    </row>
    <row r="203" spans="1:11" s="9" customFormat="1" ht="21.9" customHeight="1">
      <c r="A203" s="13"/>
      <c r="B203" s="13"/>
      <c r="C203" s="13"/>
      <c r="D203" s="13"/>
      <c r="E203" s="13"/>
      <c r="F203" s="8"/>
      <c r="G203" s="8"/>
      <c r="H203" s="8"/>
      <c r="I203" s="8"/>
      <c r="J203" s="8"/>
      <c r="K203" s="8"/>
    </row>
    <row r="204" spans="1:11" s="9" customFormat="1" ht="21.9" customHeight="1">
      <c r="A204" s="13"/>
      <c r="B204" s="13"/>
      <c r="C204" s="13"/>
      <c r="D204" s="13"/>
      <c r="E204" s="13"/>
      <c r="F204" s="8"/>
      <c r="G204" s="8"/>
      <c r="H204" s="8"/>
      <c r="I204" s="8"/>
      <c r="J204" s="8"/>
      <c r="K204" s="8"/>
    </row>
    <row r="205" spans="1:11" s="9" customFormat="1" ht="21.9" customHeight="1">
      <c r="A205" s="13"/>
      <c r="B205" s="13"/>
      <c r="C205" s="13"/>
      <c r="D205" s="13"/>
      <c r="E205" s="13"/>
      <c r="F205" s="8"/>
      <c r="G205" s="8"/>
      <c r="H205" s="8"/>
      <c r="I205" s="8"/>
      <c r="J205" s="8"/>
      <c r="K205" s="8"/>
    </row>
    <row r="206" spans="1:11" s="9" customFormat="1" ht="21.9" customHeight="1">
      <c r="A206" s="13"/>
      <c r="B206" s="13"/>
      <c r="C206" s="13"/>
      <c r="D206" s="13"/>
      <c r="E206" s="13"/>
      <c r="F206" s="8"/>
      <c r="G206" s="8"/>
      <c r="H206" s="8"/>
      <c r="I206" s="8"/>
      <c r="J206" s="8"/>
      <c r="K206" s="8"/>
    </row>
    <row r="207" spans="1:11" s="9" customFormat="1" ht="21.9" customHeight="1">
      <c r="A207" s="13"/>
      <c r="B207" s="13"/>
      <c r="C207" s="13"/>
      <c r="D207" s="13"/>
      <c r="E207" s="13"/>
      <c r="F207" s="8"/>
      <c r="G207" s="8"/>
      <c r="H207" s="8"/>
      <c r="I207" s="8"/>
      <c r="J207" s="8"/>
      <c r="K207" s="8"/>
    </row>
    <row r="208" spans="1:11" s="9" customFormat="1" ht="21.9" customHeight="1">
      <c r="A208" s="13"/>
      <c r="B208" s="13"/>
      <c r="C208" s="13"/>
      <c r="D208" s="13"/>
      <c r="E208" s="13"/>
      <c r="F208" s="8"/>
      <c r="G208" s="8"/>
      <c r="H208" s="8"/>
      <c r="I208" s="8"/>
      <c r="J208" s="8"/>
      <c r="K208" s="8"/>
    </row>
    <row r="209" spans="1:11" s="9" customFormat="1" ht="21.9" customHeight="1">
      <c r="A209" s="13"/>
      <c r="B209" s="13"/>
      <c r="C209" s="13"/>
      <c r="D209" s="13"/>
      <c r="E209" s="13"/>
      <c r="F209" s="11"/>
      <c r="G209" s="11"/>
      <c r="H209" s="11"/>
      <c r="I209" s="11"/>
      <c r="J209" s="11"/>
      <c r="K209" s="11"/>
    </row>
    <row r="210" spans="1:11" s="9" customFormat="1" ht="21.9" customHeight="1">
      <c r="A210" s="13"/>
      <c r="B210" s="13"/>
      <c r="C210" s="13"/>
      <c r="D210" s="13"/>
      <c r="E210" s="13"/>
      <c r="F210" s="11"/>
      <c r="G210" s="11"/>
      <c r="H210" s="11"/>
      <c r="I210" s="11"/>
      <c r="J210" s="11"/>
      <c r="K210" s="11"/>
    </row>
    <row r="211" spans="1:11" s="9" customFormat="1" ht="21.9" customHeight="1">
      <c r="A211" s="13"/>
      <c r="B211" s="13"/>
      <c r="C211" s="13"/>
      <c r="D211" s="13"/>
      <c r="E211" s="13"/>
      <c r="F211" s="11"/>
      <c r="G211" s="11"/>
      <c r="H211" s="11"/>
      <c r="I211" s="11"/>
      <c r="J211" s="11"/>
      <c r="K211" s="11"/>
    </row>
    <row r="212" spans="1:11" s="9" customFormat="1" ht="21.9" customHeight="1">
      <c r="A212" s="13"/>
      <c r="B212" s="13"/>
      <c r="C212" s="13"/>
      <c r="D212" s="13"/>
      <c r="E212" s="13"/>
      <c r="F212" s="11"/>
      <c r="G212" s="11"/>
      <c r="H212" s="11"/>
      <c r="I212" s="11"/>
      <c r="J212" s="11"/>
      <c r="K212" s="11"/>
    </row>
    <row r="213" spans="1:11" s="9" customFormat="1" ht="21.9" customHeight="1">
      <c r="A213" s="15"/>
      <c r="B213" s="15"/>
      <c r="C213" s="15"/>
      <c r="D213" s="15"/>
      <c r="E213" s="15"/>
      <c r="F213" s="12"/>
      <c r="G213" s="12"/>
      <c r="H213" s="12"/>
      <c r="I213" s="12"/>
      <c r="J213" s="12"/>
      <c r="K213" s="12"/>
    </row>
    <row r="214" spans="1:11" s="9" customFormat="1" ht="21.9" customHeight="1">
      <c r="A214" s="15"/>
      <c r="B214" s="15"/>
      <c r="C214" s="15"/>
      <c r="D214" s="15"/>
      <c r="E214" s="15"/>
      <c r="F214" s="11"/>
      <c r="G214" s="11"/>
      <c r="H214" s="11"/>
      <c r="I214" s="11"/>
      <c r="J214" s="11"/>
      <c r="K214" s="11"/>
    </row>
    <row r="215" spans="1:11" s="9" customFormat="1" ht="21.9" customHeight="1">
      <c r="A215" s="15"/>
      <c r="B215" s="15"/>
      <c r="C215" s="15"/>
      <c r="D215" s="15"/>
      <c r="E215" s="15"/>
      <c r="F215" s="12"/>
      <c r="G215" s="12"/>
      <c r="H215" s="12"/>
      <c r="I215" s="12"/>
      <c r="J215" s="12"/>
      <c r="K215" s="12"/>
    </row>
    <row r="216" spans="1:11" s="9" customFormat="1" ht="21.9" customHeight="1">
      <c r="A216" s="15"/>
      <c r="B216" s="15"/>
      <c r="C216" s="15"/>
      <c r="D216" s="15"/>
      <c r="E216" s="15"/>
      <c r="F216" s="12"/>
      <c r="G216" s="12"/>
      <c r="H216" s="12"/>
      <c r="I216" s="12"/>
      <c r="J216" s="12"/>
      <c r="K216" s="12"/>
    </row>
    <row r="217" spans="1:11" s="9" customFormat="1" ht="21.9" customHeight="1">
      <c r="A217" s="15"/>
      <c r="B217" s="15"/>
      <c r="C217" s="15"/>
      <c r="D217" s="15"/>
      <c r="E217" s="15"/>
      <c r="F217" s="12"/>
      <c r="G217" s="12"/>
      <c r="H217" s="12"/>
      <c r="I217" s="12"/>
      <c r="J217" s="12"/>
      <c r="K217" s="12"/>
    </row>
    <row r="218" spans="1:11" s="9" customFormat="1" ht="21.9" customHeight="1">
      <c r="A218" s="15"/>
      <c r="B218" s="15"/>
      <c r="C218" s="15"/>
      <c r="D218" s="15"/>
      <c r="E218" s="15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5"/>
      <c r="B219" s="15"/>
      <c r="C219" s="15"/>
      <c r="D219" s="15"/>
      <c r="E219" s="15"/>
      <c r="F219" s="12"/>
      <c r="G219" s="12"/>
      <c r="H219" s="12"/>
      <c r="I219" s="12"/>
      <c r="J219" s="12"/>
      <c r="K219" s="12"/>
    </row>
    <row r="220" spans="1:11" s="9" customFormat="1" ht="21.9" customHeight="1">
      <c r="A220" s="15"/>
      <c r="B220" s="15"/>
      <c r="C220" s="15"/>
      <c r="D220" s="15"/>
      <c r="E220" s="15"/>
      <c r="F220" s="12"/>
      <c r="G220" s="12"/>
      <c r="H220" s="12"/>
      <c r="I220" s="12"/>
      <c r="J220" s="12"/>
      <c r="K220" s="12"/>
    </row>
    <row r="221" spans="1:11" s="9" customFormat="1" ht="21.9" customHeight="1">
      <c r="A221" s="15"/>
      <c r="B221" s="15"/>
      <c r="C221" s="15"/>
      <c r="D221" s="15"/>
      <c r="E221" s="15"/>
      <c r="F221" s="8"/>
      <c r="G221" s="8"/>
      <c r="H221" s="8"/>
      <c r="I221" s="8"/>
      <c r="J221" s="8"/>
      <c r="K221" s="8"/>
    </row>
    <row r="222" spans="1:11" s="9" customFormat="1" ht="21.9" customHeight="1">
      <c r="A222" s="15"/>
      <c r="B222" s="15"/>
      <c r="C222" s="15"/>
      <c r="D222" s="15"/>
      <c r="E222" s="15"/>
      <c r="F222" s="12"/>
      <c r="G222" s="12"/>
      <c r="H222" s="12"/>
      <c r="I222" s="12"/>
      <c r="J222" s="12"/>
      <c r="K222" s="12"/>
    </row>
    <row r="223" spans="1:11" s="9" customFormat="1" ht="21.9" customHeight="1">
      <c r="A223" s="15"/>
      <c r="B223" s="15"/>
      <c r="C223" s="15"/>
      <c r="D223" s="15"/>
      <c r="E223" s="15"/>
      <c r="F223" s="12"/>
      <c r="G223" s="12"/>
      <c r="H223" s="12"/>
      <c r="I223" s="12"/>
      <c r="J223" s="12"/>
      <c r="K223" s="12"/>
    </row>
    <row r="224" spans="1:11" s="9" customFormat="1" ht="21.9" customHeight="1">
      <c r="A224" s="15"/>
      <c r="B224" s="15"/>
      <c r="C224" s="15"/>
      <c r="D224" s="15"/>
      <c r="E224" s="15"/>
      <c r="F224" s="12"/>
      <c r="G224" s="12"/>
      <c r="H224" s="12"/>
      <c r="I224" s="12"/>
      <c r="J224" s="12"/>
      <c r="K224" s="12"/>
    </row>
    <row r="225" spans="1:11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  <c r="K225" s="8"/>
    </row>
    <row r="226" spans="1:11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  <c r="K226" s="8"/>
    </row>
    <row r="227" spans="1:11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  <c r="K227" s="8"/>
    </row>
    <row r="228" spans="1:11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  <c r="K228" s="8"/>
    </row>
    <row r="229" spans="1:11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  <c r="K229" s="8"/>
    </row>
    <row r="230" spans="1:11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  <c r="K230" s="8"/>
    </row>
    <row r="231" spans="1:11" s="9" customFormat="1" ht="21.9" customHeight="1">
      <c r="A231" s="15"/>
      <c r="B231" s="15"/>
      <c r="C231" s="15"/>
      <c r="D231" s="15"/>
      <c r="E231" s="15"/>
      <c r="F231" s="11"/>
      <c r="G231" s="11"/>
      <c r="H231" s="11"/>
      <c r="I231" s="11"/>
      <c r="J231" s="11"/>
      <c r="K231" s="11"/>
    </row>
    <row r="232" spans="1:11" s="9" customFormat="1" ht="21.9" customHeight="1">
      <c r="A232" s="15"/>
      <c r="B232" s="15"/>
      <c r="C232" s="15"/>
      <c r="D232" s="15"/>
      <c r="E232" s="15"/>
      <c r="F232" s="11"/>
      <c r="G232" s="11"/>
      <c r="H232" s="11"/>
      <c r="I232" s="11"/>
      <c r="J232" s="11"/>
      <c r="K232" s="11"/>
    </row>
    <row r="233" spans="1:11" s="9" customFormat="1" ht="21.9" customHeight="1">
      <c r="A233" s="15"/>
      <c r="B233" s="15"/>
      <c r="C233" s="15"/>
      <c r="D233" s="15"/>
      <c r="E233" s="15"/>
      <c r="F233" s="11"/>
      <c r="G233" s="11"/>
      <c r="H233" s="11"/>
      <c r="I233" s="11"/>
      <c r="J233" s="11"/>
      <c r="K233" s="11"/>
    </row>
    <row r="234" spans="1:11" s="9" customFormat="1" ht="21.9" customHeight="1">
      <c r="A234" s="15"/>
      <c r="B234" s="15"/>
      <c r="C234" s="15"/>
      <c r="D234" s="15"/>
      <c r="E234" s="15"/>
      <c r="F234" s="11"/>
      <c r="G234" s="11"/>
      <c r="H234" s="11"/>
      <c r="I234" s="11"/>
      <c r="J234" s="11"/>
      <c r="K234" s="11"/>
    </row>
    <row r="235" spans="1:11" s="9" customFormat="1" ht="21.9" customHeight="1">
      <c r="A235" s="15"/>
      <c r="B235" s="15"/>
      <c r="C235" s="15"/>
      <c r="D235" s="15"/>
      <c r="E235" s="15"/>
      <c r="F235" s="11"/>
      <c r="G235" s="11"/>
      <c r="H235" s="11"/>
      <c r="I235" s="11"/>
      <c r="J235" s="11"/>
      <c r="K235" s="11"/>
    </row>
    <row r="236" spans="1:11" s="9" customFormat="1" ht="21.9" customHeight="1">
      <c r="A236" s="15"/>
      <c r="B236" s="15"/>
      <c r="C236" s="15"/>
      <c r="D236" s="15"/>
      <c r="E236" s="15"/>
      <c r="F236" s="11"/>
      <c r="G236" s="11"/>
      <c r="H236" s="11"/>
      <c r="I236" s="11"/>
      <c r="J236" s="11"/>
      <c r="K236" s="11"/>
    </row>
    <row r="237" spans="1:11" s="9" customFormat="1" ht="21.9" customHeight="1">
      <c r="A237" s="15"/>
      <c r="B237" s="15"/>
      <c r="C237" s="15"/>
      <c r="D237" s="15"/>
      <c r="E237" s="15"/>
      <c r="F237" s="8"/>
      <c r="G237" s="8"/>
      <c r="H237" s="8"/>
      <c r="I237" s="8"/>
      <c r="J237" s="8"/>
      <c r="K237" s="8"/>
    </row>
    <row r="238" spans="1:11" s="9" customFormat="1" ht="21.9" customHeight="1">
      <c r="A238" s="15"/>
      <c r="B238" s="15"/>
      <c r="C238" s="15"/>
      <c r="D238" s="15"/>
      <c r="E238" s="15"/>
      <c r="F238" s="8"/>
      <c r="G238" s="8"/>
      <c r="H238" s="8"/>
      <c r="I238" s="8"/>
      <c r="J238" s="8"/>
      <c r="K238" s="8"/>
    </row>
    <row r="239" spans="1:11" s="9" customFormat="1" ht="21.9" customHeight="1">
      <c r="A239" s="15"/>
      <c r="B239" s="15"/>
      <c r="C239" s="15"/>
      <c r="D239" s="15"/>
      <c r="E239" s="15"/>
      <c r="F239" s="8"/>
      <c r="G239" s="8"/>
      <c r="H239" s="8"/>
      <c r="I239" s="8"/>
      <c r="J239" s="8"/>
      <c r="K239" s="8"/>
    </row>
    <row r="240" spans="1:11" s="9" customFormat="1" ht="21.9" customHeight="1">
      <c r="A240" s="15"/>
      <c r="B240" s="15"/>
      <c r="C240" s="15"/>
      <c r="D240" s="15"/>
      <c r="E240" s="15"/>
      <c r="F240" s="8"/>
      <c r="G240" s="8"/>
      <c r="H240" s="8"/>
      <c r="I240" s="8"/>
      <c r="J240" s="8"/>
      <c r="K240" s="8"/>
    </row>
    <row r="241" spans="1:11" s="9" customFormat="1" ht="21.9" customHeight="1">
      <c r="A241" s="15"/>
      <c r="B241" s="15"/>
      <c r="C241" s="15"/>
      <c r="D241" s="15"/>
      <c r="E241" s="15"/>
      <c r="F241" s="8"/>
      <c r="G241" s="8"/>
      <c r="H241" s="8"/>
      <c r="I241" s="8"/>
      <c r="J241" s="8"/>
      <c r="K241" s="8"/>
    </row>
    <row r="242" spans="1:11" s="9" customFormat="1" ht="21.9" customHeight="1">
      <c r="A242" s="15"/>
      <c r="B242" s="15"/>
      <c r="C242" s="15"/>
      <c r="D242" s="15"/>
      <c r="E242" s="15"/>
      <c r="F242" s="8"/>
      <c r="G242" s="8"/>
      <c r="H242" s="8"/>
      <c r="I242" s="8"/>
      <c r="J242" s="8"/>
      <c r="K242" s="8"/>
    </row>
    <row r="243" spans="1:11" s="9" customFormat="1" ht="21.9" customHeight="1">
      <c r="A243" s="15"/>
      <c r="B243" s="15"/>
      <c r="C243" s="15"/>
      <c r="D243" s="15"/>
      <c r="E243" s="15"/>
      <c r="F243" s="8"/>
      <c r="G243" s="8"/>
      <c r="H243" s="8"/>
      <c r="I243" s="8"/>
      <c r="J243" s="8"/>
      <c r="K243" s="8"/>
    </row>
    <row r="244" spans="1:11" s="9" customFormat="1" ht="21.9" customHeight="1">
      <c r="A244" s="6"/>
      <c r="B244" s="6"/>
      <c r="C244" s="6"/>
      <c r="D244" s="6"/>
      <c r="E244" s="6"/>
      <c r="F244" s="12"/>
      <c r="G244" s="12"/>
      <c r="H244" s="12"/>
      <c r="I244" s="12"/>
      <c r="J244" s="12"/>
      <c r="K244" s="12"/>
    </row>
    <row r="245" spans="1:11" s="9" customFormat="1" ht="21.9" customHeight="1">
      <c r="A245" s="6"/>
      <c r="B245" s="6"/>
      <c r="C245" s="6"/>
      <c r="D245" s="6"/>
      <c r="E245" s="6"/>
      <c r="F245" s="12"/>
      <c r="G245" s="12"/>
      <c r="H245" s="12"/>
      <c r="I245" s="12"/>
      <c r="J245" s="12"/>
      <c r="K245" s="12"/>
    </row>
    <row r="246" spans="1:11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  <c r="K246" s="11"/>
    </row>
    <row r="247" spans="1:11" s="9" customFormat="1" ht="21.9" customHeight="1">
      <c r="A247" s="6"/>
      <c r="B247" s="6"/>
      <c r="C247" s="6"/>
      <c r="D247" s="6"/>
      <c r="E247" s="6"/>
      <c r="F247" s="12"/>
      <c r="G247" s="12"/>
      <c r="H247" s="12"/>
      <c r="I247" s="12"/>
      <c r="J247" s="12"/>
      <c r="K247" s="12"/>
    </row>
    <row r="248" spans="1:11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  <c r="K248" s="8"/>
    </row>
    <row r="249" spans="1:11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  <c r="K249" s="8"/>
    </row>
    <row r="250" spans="1:11" s="9" customFormat="1" ht="21.9" customHeight="1">
      <c r="A250" s="6"/>
      <c r="B250" s="6"/>
      <c r="C250" s="6"/>
      <c r="D250" s="6"/>
      <c r="E250" s="6"/>
      <c r="F250" s="11"/>
      <c r="G250" s="11"/>
      <c r="H250" s="11"/>
      <c r="I250" s="11"/>
      <c r="J250" s="11"/>
      <c r="K250" s="11"/>
    </row>
    <row r="251" spans="1:11" s="9" customFormat="1" ht="21.9" customHeight="1">
      <c r="A251" s="6"/>
      <c r="B251" s="6"/>
      <c r="C251" s="6"/>
      <c r="D251" s="6"/>
      <c r="E251" s="6"/>
      <c r="F251" s="12"/>
      <c r="G251" s="12"/>
      <c r="H251" s="12"/>
      <c r="I251" s="12"/>
      <c r="J251" s="12"/>
      <c r="K251" s="12"/>
    </row>
    <row r="252" spans="1:11" s="9" customFormat="1" ht="21.9" customHeight="1">
      <c r="A252" s="6"/>
      <c r="B252" s="6"/>
      <c r="C252" s="6"/>
      <c r="D252" s="6"/>
      <c r="E252" s="6"/>
      <c r="F252" s="11"/>
      <c r="G252" s="11"/>
      <c r="H252" s="11"/>
      <c r="I252" s="11"/>
      <c r="J252" s="11"/>
      <c r="K252" s="11"/>
    </row>
    <row r="253" spans="1:11" s="9" customFormat="1" ht="21.9" customHeight="1">
      <c r="A253" s="6"/>
      <c r="B253" s="6"/>
      <c r="C253" s="6"/>
      <c r="D253" s="6"/>
      <c r="E253" s="6"/>
      <c r="F253" s="11"/>
      <c r="G253" s="11"/>
      <c r="H253" s="11"/>
      <c r="I253" s="11"/>
      <c r="J253" s="11"/>
      <c r="K253" s="11"/>
    </row>
    <row r="254" spans="1:11" s="9" customFormat="1" ht="21.9" customHeight="1">
      <c r="A254" s="6"/>
      <c r="B254" s="6"/>
      <c r="C254" s="6"/>
      <c r="D254" s="6"/>
      <c r="E254" s="6"/>
      <c r="F254" s="11"/>
      <c r="G254" s="11"/>
      <c r="H254" s="11"/>
      <c r="I254" s="11"/>
      <c r="J254" s="11"/>
      <c r="K254" s="11"/>
    </row>
    <row r="255" spans="1:11" s="9" customFormat="1" ht="21.9" customHeight="1">
      <c r="A255" s="6"/>
      <c r="B255" s="6"/>
      <c r="C255" s="6"/>
      <c r="D255" s="6"/>
      <c r="E255" s="6"/>
      <c r="F255" s="11"/>
      <c r="G255" s="11"/>
      <c r="H255" s="11"/>
      <c r="I255" s="11"/>
      <c r="J255" s="11"/>
      <c r="K255" s="11"/>
    </row>
    <row r="256" spans="1:11" s="9" customFormat="1" ht="21.9" customHeight="1">
      <c r="A256" s="6"/>
      <c r="B256" s="6"/>
      <c r="C256" s="6"/>
      <c r="D256" s="6"/>
      <c r="E256" s="6"/>
      <c r="F256" s="11"/>
      <c r="G256" s="11"/>
      <c r="H256" s="11"/>
      <c r="I256" s="11"/>
      <c r="J256" s="11"/>
      <c r="K256" s="11"/>
    </row>
    <row r="257" spans="1:11" s="9" customFormat="1" ht="21.9" customHeight="1">
      <c r="A257" s="6"/>
      <c r="B257" s="6"/>
      <c r="C257" s="6"/>
      <c r="D257" s="6"/>
      <c r="E257" s="6"/>
      <c r="F257" s="11"/>
      <c r="G257" s="11"/>
      <c r="H257" s="11"/>
      <c r="I257" s="11"/>
      <c r="J257" s="11"/>
      <c r="K257" s="11"/>
    </row>
    <row r="258" spans="1:11" s="9" customFormat="1" ht="21.9" customHeight="1">
      <c r="A258" s="6"/>
      <c r="B258" s="6"/>
      <c r="C258" s="6"/>
      <c r="D258" s="6"/>
      <c r="E258" s="6"/>
      <c r="F258" s="11"/>
      <c r="G258" s="11"/>
      <c r="H258" s="11"/>
      <c r="I258" s="11"/>
      <c r="J258" s="11"/>
      <c r="K258" s="11"/>
    </row>
    <row r="259" spans="1:11" s="9" customFormat="1" ht="21.9" customHeight="1">
      <c r="A259" s="6"/>
      <c r="B259" s="6"/>
      <c r="C259" s="6"/>
      <c r="D259" s="6"/>
      <c r="E259" s="6"/>
      <c r="F259" s="11"/>
      <c r="G259" s="11"/>
      <c r="H259" s="11"/>
      <c r="I259" s="11"/>
      <c r="J259" s="11"/>
      <c r="K259" s="11"/>
    </row>
    <row r="260" spans="1:11" s="9" customFormat="1" ht="21.9" customHeight="1">
      <c r="A260" s="6"/>
      <c r="B260" s="6"/>
      <c r="C260" s="6"/>
      <c r="D260" s="6"/>
      <c r="E260" s="6"/>
      <c r="F260" s="8"/>
      <c r="G260" s="8"/>
      <c r="H260" s="8"/>
      <c r="I260" s="8"/>
      <c r="J260" s="8"/>
      <c r="K260" s="8"/>
    </row>
    <row r="261" spans="1:11" s="9" customFormat="1" ht="21.9" customHeight="1">
      <c r="A261" s="6"/>
      <c r="B261" s="6"/>
      <c r="C261" s="6"/>
      <c r="D261" s="6"/>
      <c r="E261" s="6"/>
      <c r="F261" s="8"/>
      <c r="G261" s="8"/>
      <c r="H261" s="8"/>
      <c r="I261" s="8"/>
      <c r="J261" s="8"/>
      <c r="K261" s="8"/>
    </row>
    <row r="262" spans="1:11" s="9" customFormat="1" ht="21.9" customHeight="1">
      <c r="A262" s="6"/>
      <c r="B262" s="6"/>
      <c r="C262" s="6"/>
      <c r="D262" s="6"/>
      <c r="E262" s="6"/>
      <c r="F262" s="8"/>
      <c r="G262" s="8"/>
      <c r="H262" s="8"/>
      <c r="I262" s="8"/>
      <c r="J262" s="8"/>
      <c r="K262" s="8"/>
    </row>
    <row r="263" spans="1:11" s="9" customFormat="1" ht="21.9" customHeight="1">
      <c r="A263" s="6"/>
      <c r="B263" s="6"/>
      <c r="C263" s="6"/>
      <c r="D263" s="6"/>
      <c r="E263" s="6"/>
      <c r="F263" s="8"/>
      <c r="G263" s="8"/>
      <c r="H263" s="8"/>
      <c r="I263" s="8"/>
      <c r="J263" s="8"/>
      <c r="K263" s="8"/>
    </row>
    <row r="264" spans="1:11" s="9" customFormat="1" ht="21.9" customHeight="1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21.9" customHeight="1">
      <c r="A265" s="6"/>
      <c r="B265" s="6"/>
      <c r="C265" s="6"/>
      <c r="D265" s="6"/>
      <c r="E265" s="6"/>
      <c r="F265" s="8"/>
      <c r="G265" s="8"/>
      <c r="H265" s="8"/>
      <c r="I265" s="8"/>
      <c r="J265" s="8"/>
      <c r="K265" s="8"/>
    </row>
    <row r="266" spans="1:11" s="9" customFormat="1" ht="13.2">
      <c r="A266" s="6"/>
      <c r="B266" s="6"/>
      <c r="C266" s="6"/>
      <c r="D266" s="6"/>
      <c r="E266" s="6"/>
      <c r="F266" s="12"/>
      <c r="G266" s="12"/>
      <c r="H266" s="12"/>
      <c r="I266" s="12"/>
      <c r="J266" s="12"/>
      <c r="K266" s="12"/>
    </row>
    <row r="267" spans="1:11" s="9" customFormat="1" ht="13.2">
      <c r="A267" s="6"/>
      <c r="B267" s="6"/>
      <c r="C267" s="6"/>
      <c r="D267" s="6"/>
      <c r="E267" s="6"/>
      <c r="F267" s="10"/>
      <c r="G267" s="10"/>
      <c r="H267" s="10"/>
      <c r="I267" s="10"/>
      <c r="J267" s="10"/>
      <c r="K267" s="10"/>
    </row>
    <row r="268" spans="1:11" s="9" customFormat="1" ht="13.2">
      <c r="A268" s="6"/>
      <c r="B268" s="6"/>
      <c r="C268" s="6"/>
      <c r="D268" s="6"/>
      <c r="E268" s="6"/>
      <c r="F268" s="12"/>
      <c r="G268" s="12"/>
      <c r="H268" s="12"/>
      <c r="I268" s="12"/>
      <c r="J268" s="12"/>
      <c r="K268" s="12"/>
    </row>
    <row r="269" spans="1:11" s="9" customFormat="1" ht="13.2">
      <c r="A269" s="6"/>
      <c r="B269" s="6"/>
      <c r="C269" s="6"/>
      <c r="D269" s="6"/>
      <c r="E269" s="6"/>
      <c r="F269" s="12"/>
      <c r="G269" s="12"/>
      <c r="H269" s="12"/>
      <c r="I269" s="12"/>
      <c r="J269" s="12"/>
      <c r="K269" s="12"/>
    </row>
    <row r="270" spans="1:11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  <c r="K270" s="8"/>
    </row>
    <row r="271" spans="1:11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  <c r="K271" s="8"/>
    </row>
    <row r="272" spans="1:11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  <c r="K272" s="8"/>
    </row>
    <row r="273" spans="1:11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  <c r="K273" s="8"/>
    </row>
    <row r="274" spans="1:11" s="9" customFormat="1" ht="13.2">
      <c r="A274" s="6"/>
      <c r="B274" s="6"/>
      <c r="C274" s="6"/>
      <c r="D274" s="6"/>
      <c r="E274" s="6"/>
      <c r="F274" s="11"/>
      <c r="G274" s="11"/>
      <c r="H274" s="11"/>
      <c r="I274" s="11"/>
      <c r="J274" s="11"/>
      <c r="K274" s="11"/>
    </row>
    <row r="275" spans="1:11" s="9" customFormat="1" ht="13.2">
      <c r="A275" s="6"/>
      <c r="B275" s="6"/>
      <c r="C275" s="6"/>
      <c r="D275" s="6"/>
      <c r="E275" s="6"/>
      <c r="F275" s="12"/>
      <c r="G275" s="12"/>
      <c r="H275" s="12"/>
      <c r="I275" s="12"/>
      <c r="J275" s="12"/>
      <c r="K275" s="12"/>
    </row>
    <row r="276" spans="1:11" s="9" customFormat="1" ht="13.2">
      <c r="A276" s="6"/>
      <c r="B276" s="6"/>
      <c r="C276" s="6"/>
      <c r="D276" s="6"/>
      <c r="E276" s="6"/>
      <c r="F276" s="10"/>
      <c r="G276" s="10"/>
      <c r="H276" s="10"/>
      <c r="I276" s="10"/>
      <c r="J276" s="10"/>
      <c r="K276" s="10"/>
    </row>
    <row r="277" spans="1:11" s="9" customFormat="1" ht="13.2">
      <c r="A277" s="6"/>
      <c r="B277" s="6"/>
      <c r="C277" s="6"/>
      <c r="D277" s="6"/>
      <c r="E277" s="6"/>
      <c r="F277" s="11"/>
      <c r="G277" s="11"/>
      <c r="H277" s="11"/>
      <c r="I277" s="11"/>
      <c r="J277" s="11"/>
      <c r="K277" s="11"/>
    </row>
    <row r="278" spans="1:11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  <c r="K278" s="8"/>
    </row>
    <row r="279" spans="1:11" s="9" customFormat="1" ht="13.2">
      <c r="A279" s="6"/>
      <c r="B279" s="6"/>
      <c r="C279" s="6"/>
      <c r="D279" s="6"/>
      <c r="E279" s="6"/>
      <c r="F279" s="7"/>
      <c r="G279" s="7"/>
      <c r="H279" s="7"/>
      <c r="I279" s="7"/>
      <c r="J279" s="7"/>
      <c r="K279" s="7"/>
    </row>
    <row r="280" spans="1:11" s="9" customFormat="1" ht="13.2">
      <c r="A280" s="6"/>
      <c r="B280" s="6"/>
      <c r="C280" s="6"/>
      <c r="D280" s="6"/>
      <c r="E280" s="6"/>
      <c r="F280" s="7"/>
      <c r="G280" s="7"/>
      <c r="H280" s="7"/>
      <c r="I280" s="7"/>
      <c r="J280" s="7"/>
      <c r="K280" s="7"/>
    </row>
    <row r="281" spans="1:11" s="9" customFormat="1" ht="13.2">
      <c r="A281" s="6"/>
      <c r="B281" s="6"/>
      <c r="C281" s="6"/>
      <c r="D281" s="6"/>
      <c r="E281" s="6"/>
      <c r="F281" s="7"/>
      <c r="G281" s="7"/>
      <c r="H281" s="7"/>
      <c r="I281" s="7"/>
      <c r="J281" s="7"/>
      <c r="K281" s="7"/>
    </row>
    <row r="282" spans="1:11" s="9" customFormat="1" ht="13.2">
      <c r="A282" s="6"/>
      <c r="B282" s="6"/>
      <c r="C282" s="6"/>
      <c r="D282" s="6"/>
      <c r="E282" s="6"/>
      <c r="F282" s="7"/>
      <c r="G282" s="7"/>
      <c r="H282" s="7"/>
      <c r="I282" s="7"/>
      <c r="J282" s="7"/>
      <c r="K282" s="7"/>
    </row>
    <row r="283" spans="1:11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  <c r="K283" s="8"/>
    </row>
    <row r="284" spans="1:11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  <c r="K284" s="8"/>
    </row>
    <row r="285" spans="1:11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  <c r="K285" s="8"/>
    </row>
    <row r="286" spans="1:11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  <c r="K286" s="8"/>
    </row>
    <row r="287" spans="1:11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  <c r="K287" s="8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  <c r="K290" s="8"/>
    </row>
    <row r="291" spans="1:11" s="9" customFormat="1" ht="13.2">
      <c r="A291" s="6"/>
      <c r="B291" s="6"/>
      <c r="C291" s="6"/>
      <c r="D291" s="6"/>
      <c r="E291" s="6"/>
      <c r="F291" s="12"/>
      <c r="G291" s="12"/>
      <c r="H291" s="12"/>
      <c r="I291" s="12"/>
      <c r="J291" s="12"/>
      <c r="K291" s="12"/>
    </row>
    <row r="292" spans="1:11" s="9" customFormat="1" ht="13.2">
      <c r="A292" s="6"/>
      <c r="B292" s="6"/>
      <c r="C292" s="6"/>
      <c r="D292" s="6"/>
      <c r="E292" s="6"/>
      <c r="F292" s="11"/>
      <c r="G292" s="11"/>
      <c r="H292" s="11"/>
      <c r="I292" s="11"/>
      <c r="J292" s="11"/>
      <c r="K292" s="11"/>
    </row>
    <row r="293" spans="1:11" s="9" customFormat="1" ht="13.2">
      <c r="A293" s="6"/>
      <c r="B293" s="6"/>
      <c r="C293" s="6"/>
      <c r="D293" s="6"/>
      <c r="E293" s="6"/>
      <c r="F293" s="12"/>
      <c r="G293" s="12"/>
      <c r="H293" s="12"/>
      <c r="I293" s="12"/>
      <c r="J293" s="12"/>
      <c r="K293" s="12"/>
    </row>
    <row r="294" spans="1:11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  <c r="K294" s="8"/>
    </row>
    <row r="295" spans="1:11" s="9" customFormat="1" ht="13.2">
      <c r="A295" s="6"/>
      <c r="B295" s="6"/>
      <c r="C295" s="6"/>
      <c r="D295" s="6"/>
      <c r="E295" s="6"/>
      <c r="F295" s="12"/>
      <c r="G295" s="12"/>
      <c r="H295" s="12"/>
      <c r="I295" s="12"/>
      <c r="J295" s="12"/>
      <c r="K295" s="12"/>
    </row>
    <row r="296" spans="1:11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  <c r="K296" s="8"/>
    </row>
    <row r="297" spans="1:11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  <c r="K297" s="8"/>
    </row>
    <row r="298" spans="1:11" s="9" customFormat="1" ht="13.2">
      <c r="A298" s="6"/>
      <c r="B298" s="6"/>
      <c r="C298" s="6"/>
      <c r="D298" s="6"/>
      <c r="E298" s="6"/>
      <c r="F298" s="12"/>
      <c r="G298" s="12"/>
      <c r="H298" s="12"/>
      <c r="I298" s="12"/>
      <c r="J298" s="12"/>
      <c r="K298" s="12"/>
    </row>
    <row r="299" spans="1:11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  <c r="K299" s="8"/>
    </row>
    <row r="300" spans="1:11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  <c r="K300" s="8"/>
    </row>
    <row r="301" spans="1:11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  <c r="K301" s="11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  <c r="K303" s="8"/>
    </row>
    <row r="304" spans="1:11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  <c r="K304" s="8"/>
    </row>
    <row r="305" spans="1:11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  <c r="K305" s="11"/>
    </row>
    <row r="306" spans="1:11" s="9" customFormat="1" ht="13.2">
      <c r="A306" s="6"/>
      <c r="B306" s="6"/>
      <c r="C306" s="6"/>
      <c r="D306" s="6"/>
      <c r="E306" s="6"/>
      <c r="F306" s="8"/>
      <c r="G306" s="8"/>
      <c r="H306" s="8"/>
      <c r="I306" s="8"/>
      <c r="J306" s="8"/>
      <c r="K306" s="8"/>
    </row>
    <row r="307" spans="1:11" s="9" customFormat="1" ht="13.2">
      <c r="A307" s="6"/>
      <c r="B307" s="6"/>
      <c r="C307" s="6"/>
      <c r="D307" s="6"/>
      <c r="E307" s="6"/>
      <c r="F307" s="8"/>
      <c r="G307" s="8"/>
      <c r="H307" s="8"/>
      <c r="I307" s="8"/>
      <c r="J307" s="8"/>
      <c r="K307" s="8"/>
    </row>
    <row r="308" spans="1:11" s="9" customFormat="1" ht="13.2">
      <c r="A308" s="6"/>
      <c r="B308" s="6"/>
      <c r="C308" s="6"/>
      <c r="D308" s="6"/>
      <c r="E308" s="6"/>
      <c r="F308" s="8"/>
      <c r="G308" s="8"/>
      <c r="H308" s="8"/>
      <c r="I308" s="8"/>
      <c r="J308" s="8"/>
      <c r="K308" s="8"/>
    </row>
    <row r="309" spans="1:11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  <c r="K309" s="8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  <c r="K311" s="8"/>
    </row>
    <row r="312" spans="1:11" s="9" customFormat="1" ht="13.2">
      <c r="A312" s="6"/>
      <c r="B312" s="6"/>
      <c r="C312" s="6"/>
      <c r="D312" s="6"/>
      <c r="E312" s="6"/>
      <c r="F312" s="10"/>
      <c r="G312" s="10"/>
      <c r="H312" s="10"/>
      <c r="I312" s="10"/>
      <c r="J312" s="10"/>
      <c r="K312" s="10"/>
    </row>
    <row r="313" spans="1:11" s="9" customFormat="1" ht="13.2">
      <c r="A313" s="6"/>
      <c r="B313" s="6"/>
      <c r="C313" s="6"/>
      <c r="D313" s="6"/>
      <c r="E313" s="6"/>
      <c r="F313" s="11"/>
      <c r="G313" s="11"/>
      <c r="H313" s="11"/>
      <c r="I313" s="11"/>
      <c r="J313" s="11"/>
      <c r="K313" s="11"/>
    </row>
    <row r="314" spans="1:11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  <c r="K314" s="8"/>
    </row>
    <row r="315" spans="1:11" s="9" customFormat="1" ht="13.2">
      <c r="A315" s="6"/>
      <c r="B315" s="6"/>
      <c r="C315" s="6"/>
      <c r="D315" s="6"/>
      <c r="E315" s="6"/>
      <c r="F315" s="11"/>
      <c r="G315" s="11"/>
      <c r="H315" s="11"/>
      <c r="I315" s="11"/>
      <c r="J315" s="11"/>
      <c r="K315" s="11"/>
    </row>
    <row r="316" spans="1:11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</row>
    <row r="317" spans="1:11" s="9" customFormat="1" ht="13.2">
      <c r="A317" s="6"/>
      <c r="B317" s="6"/>
      <c r="C317" s="6"/>
      <c r="D317" s="6"/>
      <c r="E317" s="6"/>
      <c r="F317" s="8"/>
      <c r="G317" s="8"/>
      <c r="H317" s="8"/>
      <c r="I317" s="8"/>
      <c r="J317" s="8"/>
      <c r="K317" s="8"/>
    </row>
    <row r="318" spans="1:11" s="9" customFormat="1" ht="13.2">
      <c r="A318" s="6"/>
      <c r="B318" s="6"/>
      <c r="C318" s="6"/>
      <c r="D318" s="6"/>
      <c r="E318" s="6"/>
      <c r="F318" s="11"/>
      <c r="G318" s="11"/>
      <c r="H318" s="11"/>
      <c r="I318" s="11"/>
      <c r="J318" s="11"/>
      <c r="K318" s="11"/>
    </row>
    <row r="319" spans="1:11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  <c r="K319" s="11"/>
    </row>
    <row r="320" spans="1:11" s="9" customFormat="1" ht="13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 s="9" customFormat="1" ht="13.2">
      <c r="A321" s="6"/>
      <c r="B321" s="6"/>
      <c r="C321" s="6"/>
      <c r="D321" s="6"/>
      <c r="E321" s="6"/>
      <c r="F321" s="11"/>
      <c r="G321" s="11"/>
      <c r="H321" s="11"/>
      <c r="I321" s="11"/>
      <c r="J321" s="11"/>
      <c r="K321" s="11"/>
    </row>
    <row r="322" spans="1:11" s="9" customFormat="1" ht="13.2">
      <c r="A322" s="6"/>
      <c r="B322" s="6"/>
      <c r="C322" s="6"/>
      <c r="D322" s="6"/>
      <c r="E322" s="6"/>
      <c r="F322" s="11"/>
      <c r="G322" s="11"/>
      <c r="H322" s="11"/>
      <c r="I322" s="11"/>
      <c r="J322" s="11"/>
      <c r="K322" s="11"/>
    </row>
    <row r="323" spans="1:11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  <c r="K323" s="8"/>
    </row>
    <row r="324" spans="1:11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  <c r="K324" s="8"/>
    </row>
    <row r="325" spans="1:11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  <c r="K325" s="8"/>
    </row>
    <row r="326" spans="1:11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</row>
    <row r="327" spans="1:11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</row>
    <row r="328" spans="1:11" s="9" customFormat="1" ht="13.2">
      <c r="A328" s="6"/>
      <c r="B328" s="6"/>
      <c r="C328" s="6"/>
      <c r="D328" s="6"/>
      <c r="E328" s="6"/>
      <c r="F328" s="7"/>
      <c r="G328" s="7"/>
      <c r="H328" s="7"/>
      <c r="I328" s="7"/>
      <c r="J328" s="7"/>
      <c r="K328" s="7"/>
    </row>
    <row r="329" spans="1:11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  <c r="K329" s="7"/>
    </row>
    <row r="330" spans="1:11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  <c r="K330" s="8"/>
    </row>
    <row r="331" spans="1:11" s="9" customFormat="1" ht="13.2">
      <c r="A331" s="6"/>
      <c r="B331" s="6"/>
      <c r="C331" s="6"/>
      <c r="D331" s="6"/>
      <c r="E331" s="6"/>
      <c r="F331" s="11"/>
      <c r="G331" s="11"/>
      <c r="H331" s="11"/>
      <c r="I331" s="11"/>
      <c r="J331" s="11"/>
      <c r="K331" s="11"/>
    </row>
    <row r="332" spans="1:11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  <c r="K332" s="7"/>
    </row>
    <row r="333" spans="1:11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  <c r="K333" s="8"/>
    </row>
    <row r="334" spans="1:11" s="9" customFormat="1" ht="13.2">
      <c r="A334" s="6"/>
      <c r="B334" s="6"/>
      <c r="C334" s="6"/>
      <c r="D334" s="6"/>
      <c r="E334" s="6"/>
      <c r="F334" s="7"/>
      <c r="G334" s="7"/>
      <c r="H334" s="7"/>
      <c r="I334" s="7"/>
      <c r="J334" s="7"/>
      <c r="K334" s="7"/>
    </row>
    <row r="335" spans="1:11" s="9" customFormat="1" ht="13.2">
      <c r="A335" s="6"/>
      <c r="B335" s="6"/>
      <c r="C335" s="6"/>
      <c r="D335" s="6"/>
      <c r="E335" s="6"/>
      <c r="F335" s="7"/>
      <c r="G335" s="7"/>
      <c r="H335" s="7"/>
      <c r="I335" s="7"/>
      <c r="J335" s="7"/>
      <c r="K335" s="7"/>
    </row>
    <row r="336" spans="1:11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  <c r="K336" s="8"/>
    </row>
    <row r="337" spans="1:11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  <c r="K337" s="8"/>
    </row>
    <row r="338" spans="1:11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  <c r="K338" s="8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7"/>
      <c r="G343" s="7"/>
      <c r="H343" s="7"/>
      <c r="I343" s="7"/>
      <c r="J343" s="7"/>
      <c r="K343" s="7"/>
    </row>
    <row r="344" spans="1:11" s="9" customFormat="1" ht="13.2">
      <c r="A344" s="6"/>
      <c r="B344" s="6"/>
      <c r="C344" s="6"/>
      <c r="D344" s="6"/>
      <c r="E344" s="6"/>
      <c r="F344" s="7"/>
      <c r="G344" s="7"/>
      <c r="H344" s="7"/>
      <c r="I344" s="7"/>
      <c r="J344" s="7"/>
      <c r="K344" s="7"/>
    </row>
    <row r="345" spans="1:11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</row>
    <row r="346" spans="1:11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</row>
    <row r="347" spans="1:11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</row>
    <row r="348" spans="1:11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</row>
    <row r="360" spans="1:11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8"/>
      <c r="G371" s="8"/>
      <c r="H371" s="8"/>
      <c r="I371" s="8"/>
      <c r="J371" s="8"/>
      <c r="K371" s="8"/>
    </row>
    <row r="372" spans="1:11" s="9" customFormat="1" ht="13.2">
      <c r="A372" s="6"/>
      <c r="B372" s="6"/>
      <c r="C372" s="6"/>
      <c r="D372" s="6"/>
      <c r="E372" s="6"/>
      <c r="F372" s="10"/>
      <c r="G372" s="10"/>
      <c r="H372" s="10"/>
      <c r="I372" s="10"/>
      <c r="J372" s="10"/>
      <c r="K372" s="10"/>
    </row>
    <row r="373" spans="1:11" s="9" customFormat="1" ht="13.2">
      <c r="A373" s="6"/>
      <c r="B373" s="6"/>
      <c r="C373" s="6"/>
      <c r="D373" s="6"/>
      <c r="E373" s="6"/>
      <c r="F373" s="10"/>
      <c r="G373" s="10"/>
      <c r="H373" s="10"/>
      <c r="I373" s="10"/>
      <c r="J373" s="10"/>
      <c r="K373" s="10"/>
    </row>
    <row r="374" spans="1:11" s="9" customFormat="1" ht="13.2">
      <c r="A374" s="6"/>
      <c r="B374" s="6"/>
      <c r="C374" s="6"/>
      <c r="D374" s="6"/>
      <c r="E374" s="6"/>
      <c r="F374" s="10"/>
      <c r="G374" s="10"/>
      <c r="H374" s="10"/>
      <c r="I374" s="10"/>
      <c r="J374" s="10"/>
      <c r="K374" s="10"/>
    </row>
    <row r="375" spans="1:11" s="9" customFormat="1" ht="13.2">
      <c r="A375" s="6"/>
      <c r="B375" s="6"/>
      <c r="C375" s="6"/>
      <c r="D375" s="6"/>
      <c r="E375" s="6"/>
      <c r="F375" s="8"/>
      <c r="G375" s="8"/>
      <c r="H375" s="8"/>
      <c r="I375" s="8"/>
      <c r="J375" s="8"/>
      <c r="K375" s="8"/>
    </row>
    <row r="376" spans="1:11" s="9" customFormat="1" ht="13.2">
      <c r="A376" s="6"/>
      <c r="B376" s="6"/>
      <c r="C376" s="6"/>
      <c r="D376" s="6"/>
      <c r="E376" s="6"/>
      <c r="F376" s="8"/>
      <c r="G376" s="8"/>
      <c r="H376" s="8"/>
      <c r="I376" s="8"/>
      <c r="J376" s="8"/>
      <c r="K376" s="8"/>
    </row>
    <row r="377" spans="1:11" s="9" customFormat="1" ht="13.2">
      <c r="A377" s="6"/>
      <c r="B377" s="6"/>
      <c r="C377" s="6"/>
      <c r="D377" s="6"/>
      <c r="E377" s="6"/>
      <c r="F377" s="10"/>
      <c r="G377" s="10"/>
      <c r="H377" s="10"/>
      <c r="I377" s="10"/>
      <c r="J377" s="10"/>
      <c r="K377" s="10"/>
    </row>
    <row r="378" spans="1:11" s="9" customFormat="1" ht="13.2">
      <c r="A378" s="6"/>
      <c r="B378" s="6"/>
      <c r="C378" s="6"/>
      <c r="D378" s="6"/>
      <c r="E378" s="6"/>
      <c r="F378" s="10"/>
      <c r="G378" s="10"/>
      <c r="H378" s="10"/>
      <c r="I378" s="10"/>
      <c r="J378" s="10"/>
      <c r="K378" s="10"/>
    </row>
    <row r="379" spans="1:11" s="9" customFormat="1" ht="13.2">
      <c r="A379" s="6"/>
      <c r="B379" s="6"/>
      <c r="C379" s="6"/>
      <c r="D379" s="6"/>
      <c r="E379" s="6"/>
      <c r="F379" s="10"/>
      <c r="G379" s="10"/>
      <c r="H379" s="10"/>
      <c r="I379" s="10"/>
      <c r="J379" s="10"/>
      <c r="K379" s="10"/>
    </row>
    <row r="380" spans="1:11" s="9" customFormat="1" ht="13.2">
      <c r="A380" s="6"/>
      <c r="B380" s="6"/>
      <c r="C380" s="6"/>
      <c r="D380" s="6"/>
      <c r="E380" s="6"/>
      <c r="F380" s="8"/>
      <c r="G380" s="8"/>
      <c r="H380" s="8"/>
      <c r="I380" s="8"/>
      <c r="J380" s="8"/>
      <c r="K380" s="8"/>
    </row>
    <row r="381" spans="1:11" s="9" customFormat="1" ht="13.2">
      <c r="A381" s="6"/>
      <c r="B381" s="6"/>
      <c r="C381" s="6"/>
      <c r="D381" s="6"/>
      <c r="E381" s="6"/>
      <c r="F381" s="8"/>
      <c r="G381" s="8"/>
      <c r="H381" s="8"/>
      <c r="I381" s="8"/>
      <c r="J381" s="8"/>
      <c r="K381" s="8"/>
    </row>
    <row r="382" spans="1:11" s="9" customFormat="1" ht="13.2">
      <c r="A382" s="6"/>
      <c r="B382" s="6"/>
      <c r="C382" s="6"/>
      <c r="D382" s="6"/>
      <c r="E382" s="6"/>
      <c r="F382" s="8"/>
      <c r="G382" s="8"/>
      <c r="H382" s="8"/>
      <c r="I382" s="8"/>
      <c r="J382" s="8"/>
      <c r="K382" s="8"/>
    </row>
    <row r="383" spans="1:11" s="9" customFormat="1" ht="13.2">
      <c r="A383" s="6"/>
      <c r="B383" s="6"/>
      <c r="C383" s="6"/>
      <c r="D383" s="6"/>
      <c r="E383" s="6"/>
      <c r="F383" s="12"/>
      <c r="G383" s="12"/>
      <c r="H383" s="12"/>
      <c r="I383" s="12"/>
      <c r="J383" s="12"/>
      <c r="K383" s="12"/>
    </row>
    <row r="384" spans="1:11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  <c r="K384" s="12"/>
    </row>
    <row r="385" spans="1:11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  <c r="K385" s="12"/>
    </row>
    <row r="386" spans="1:11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  <c r="K386" s="12"/>
    </row>
    <row r="387" spans="1:11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  <c r="K387" s="12"/>
    </row>
    <row r="388" spans="1:11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  <c r="K388" s="12"/>
    </row>
    <row r="389" spans="1:11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  <c r="K389" s="12"/>
    </row>
    <row r="390" spans="1:11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</row>
    <row r="391" spans="1:11" s="9" customFormat="1" ht="13.2">
      <c r="A391" s="13"/>
      <c r="B391" s="13"/>
      <c r="C391" s="13"/>
      <c r="D391" s="13"/>
      <c r="E391" s="13"/>
      <c r="F391" s="12"/>
      <c r="G391" s="12"/>
      <c r="H391" s="12"/>
      <c r="I391" s="12"/>
      <c r="J391" s="12"/>
      <c r="K391" s="12"/>
    </row>
    <row r="392" spans="1:11" s="9" customFormat="1" ht="13.2">
      <c r="A392" s="13"/>
      <c r="B392" s="13"/>
      <c r="C392" s="13"/>
      <c r="D392" s="13"/>
      <c r="E392" s="13"/>
      <c r="F392" s="11"/>
      <c r="G392" s="11"/>
      <c r="H392" s="11"/>
      <c r="I392" s="11"/>
      <c r="J392" s="11"/>
      <c r="K392" s="11"/>
    </row>
    <row r="393" spans="1:11" s="9" customFormat="1" ht="13.2">
      <c r="A393" s="13"/>
      <c r="B393" s="13"/>
      <c r="C393" s="13"/>
      <c r="D393" s="13"/>
      <c r="E393" s="13"/>
      <c r="F393" s="11"/>
      <c r="G393" s="11"/>
      <c r="H393" s="11"/>
      <c r="I393" s="11"/>
      <c r="J393" s="11"/>
      <c r="K393" s="11"/>
    </row>
    <row r="394" spans="1:11" s="9" customFormat="1" ht="13.2">
      <c r="A394" s="13"/>
      <c r="B394" s="13"/>
      <c r="C394" s="13"/>
      <c r="D394" s="13"/>
      <c r="E394" s="13"/>
      <c r="F394" s="11"/>
      <c r="G394" s="11"/>
      <c r="H394" s="11"/>
      <c r="I394" s="11"/>
      <c r="J394" s="11"/>
      <c r="K394" s="11"/>
    </row>
    <row r="395" spans="1:11" s="9" customFormat="1" ht="13.2">
      <c r="A395" s="13"/>
      <c r="B395" s="13"/>
      <c r="C395" s="13"/>
      <c r="D395" s="13"/>
      <c r="E395" s="13"/>
      <c r="F395" s="11"/>
      <c r="G395" s="11"/>
      <c r="H395" s="11"/>
      <c r="I395" s="11"/>
      <c r="J395" s="11"/>
      <c r="K395" s="11"/>
    </row>
    <row r="396" spans="1:11" s="9" customFormat="1" ht="13.2">
      <c r="A396" s="13"/>
      <c r="B396" s="13"/>
      <c r="C396" s="13"/>
      <c r="D396" s="13"/>
      <c r="E396" s="13"/>
      <c r="F396" s="12"/>
      <c r="G396" s="12"/>
      <c r="H396" s="12"/>
      <c r="I396" s="12"/>
      <c r="J396" s="12"/>
      <c r="K396" s="12"/>
    </row>
    <row r="397" spans="1:11" s="9" customFormat="1" ht="13.2">
      <c r="A397" s="13"/>
      <c r="B397" s="13"/>
      <c r="C397" s="13"/>
      <c r="D397" s="13"/>
      <c r="E397" s="13"/>
      <c r="F397" s="12"/>
      <c r="G397" s="12"/>
      <c r="H397" s="12"/>
      <c r="I397" s="12"/>
      <c r="J397" s="12"/>
      <c r="K397" s="12"/>
    </row>
    <row r="398" spans="1:11" s="9" customFormat="1" ht="13.2">
      <c r="A398" s="13"/>
      <c r="B398" s="13"/>
      <c r="C398" s="13"/>
      <c r="D398" s="13"/>
      <c r="E398" s="13"/>
      <c r="F398" s="12"/>
      <c r="G398" s="12"/>
      <c r="H398" s="12"/>
      <c r="I398" s="12"/>
      <c r="J398" s="12"/>
      <c r="K398" s="12"/>
    </row>
    <row r="399" spans="1:11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  <c r="K399" s="8"/>
    </row>
    <row r="400" spans="1:11" s="9" customFormat="1" ht="13.2">
      <c r="A400" s="13"/>
      <c r="B400" s="13"/>
      <c r="C400" s="13"/>
      <c r="D400" s="13"/>
      <c r="E400" s="13"/>
      <c r="F400" s="12"/>
      <c r="G400" s="12"/>
      <c r="H400" s="12"/>
      <c r="I400" s="12"/>
      <c r="J400" s="12"/>
      <c r="K400" s="12"/>
    </row>
    <row r="401" spans="1:11" s="9" customFormat="1" ht="13.2">
      <c r="A401" s="13"/>
      <c r="B401" s="13"/>
      <c r="C401" s="13"/>
      <c r="D401" s="13"/>
      <c r="E401" s="13"/>
      <c r="F401" s="12"/>
      <c r="G401" s="12"/>
      <c r="H401" s="12"/>
      <c r="I401" s="12"/>
      <c r="J401" s="12"/>
      <c r="K401" s="12"/>
    </row>
    <row r="402" spans="1:11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  <c r="K402" s="14"/>
    </row>
    <row r="403" spans="1:11" s="9" customFormat="1" ht="13.2">
      <c r="A403" s="13"/>
      <c r="B403" s="13"/>
      <c r="C403" s="13"/>
      <c r="D403" s="13"/>
      <c r="E403" s="13"/>
      <c r="F403" s="14"/>
      <c r="G403" s="14"/>
      <c r="H403" s="14"/>
      <c r="I403" s="14"/>
      <c r="J403" s="14"/>
      <c r="K403" s="14"/>
    </row>
    <row r="404" spans="1:11" s="9" customFormat="1" ht="13.2">
      <c r="A404" s="13"/>
      <c r="B404" s="13"/>
      <c r="C404" s="13"/>
      <c r="D404" s="13"/>
      <c r="E404" s="13"/>
      <c r="F404" s="14"/>
      <c r="G404" s="14"/>
      <c r="H404" s="14"/>
      <c r="I404" s="14"/>
      <c r="J404" s="14"/>
      <c r="K404" s="14"/>
    </row>
    <row r="405" spans="1:11" s="9" customFormat="1" ht="13.2">
      <c r="A405" s="13"/>
      <c r="B405" s="13"/>
      <c r="C405" s="13"/>
      <c r="D405" s="13"/>
      <c r="E405" s="13"/>
      <c r="F405" s="14"/>
      <c r="G405" s="14"/>
      <c r="H405" s="14"/>
      <c r="I405" s="14"/>
      <c r="J405" s="14"/>
      <c r="K405" s="14"/>
    </row>
    <row r="406" spans="1:11" s="9" customFormat="1" ht="13.2">
      <c r="A406" s="13"/>
      <c r="B406" s="13"/>
      <c r="C406" s="13"/>
      <c r="D406" s="13"/>
      <c r="E406" s="13"/>
      <c r="F406" s="14"/>
      <c r="G406" s="14"/>
      <c r="H406" s="14"/>
      <c r="I406" s="14"/>
      <c r="J406" s="14"/>
      <c r="K406" s="14"/>
    </row>
    <row r="407" spans="1:11" s="9" customFormat="1" ht="13.2">
      <c r="A407" s="13"/>
      <c r="B407" s="13"/>
      <c r="C407" s="13"/>
      <c r="D407" s="13"/>
      <c r="E407" s="13"/>
      <c r="F407" s="14"/>
      <c r="G407" s="14"/>
      <c r="H407" s="14"/>
      <c r="I407" s="14"/>
      <c r="J407" s="14"/>
      <c r="K407" s="14"/>
    </row>
    <row r="408" spans="1:11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</row>
    <row r="409" spans="1:11" s="9" customFormat="1" ht="13.2">
      <c r="A409" s="13"/>
      <c r="B409" s="13"/>
      <c r="C409" s="13"/>
      <c r="D409" s="13"/>
      <c r="E409" s="13"/>
      <c r="F409" s="10"/>
      <c r="G409" s="10"/>
      <c r="H409" s="10"/>
      <c r="I409" s="10"/>
      <c r="J409" s="10"/>
      <c r="K409" s="10"/>
    </row>
    <row r="410" spans="1:11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  <c r="K410" s="14"/>
    </row>
    <row r="411" spans="1:11" s="9" customFormat="1" ht="13.2">
      <c r="A411" s="13"/>
      <c r="B411" s="13"/>
      <c r="C411" s="13"/>
      <c r="D411" s="13"/>
      <c r="E411" s="13"/>
      <c r="F411" s="14"/>
      <c r="G411" s="14"/>
      <c r="H411" s="14"/>
      <c r="I411" s="14"/>
      <c r="J411" s="14"/>
      <c r="K411" s="14"/>
    </row>
    <row r="412" spans="1:11" s="9" customFormat="1" ht="13.2">
      <c r="A412" s="13"/>
      <c r="B412" s="13"/>
      <c r="C412" s="13"/>
      <c r="D412" s="13"/>
      <c r="E412" s="13"/>
      <c r="F412" s="14"/>
      <c r="G412" s="14"/>
      <c r="H412" s="14"/>
      <c r="I412" s="14"/>
      <c r="J412" s="14"/>
      <c r="K412" s="14"/>
    </row>
    <row r="413" spans="1:11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  <c r="K413" s="8"/>
    </row>
    <row r="414" spans="1:11" s="9" customFormat="1" ht="13.2">
      <c r="A414" s="13"/>
      <c r="B414" s="13"/>
      <c r="C414" s="13"/>
      <c r="D414" s="13"/>
      <c r="E414" s="13"/>
      <c r="F414" s="14"/>
      <c r="G414" s="14"/>
      <c r="H414" s="14"/>
      <c r="I414" s="14"/>
      <c r="J414" s="14"/>
      <c r="K414" s="14"/>
    </row>
    <row r="415" spans="1:11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  <c r="K415" s="10"/>
    </row>
    <row r="416" spans="1:11" s="9" customFormat="1" ht="13.2">
      <c r="A416" s="13"/>
      <c r="B416" s="13"/>
      <c r="C416" s="13"/>
      <c r="D416" s="13"/>
      <c r="E416" s="13"/>
      <c r="F416" s="12"/>
      <c r="G416" s="12"/>
      <c r="H416" s="12"/>
      <c r="I416" s="12"/>
      <c r="J416" s="12"/>
      <c r="K416" s="12"/>
    </row>
    <row r="417" spans="1:11" s="9" customFormat="1" ht="13.2">
      <c r="A417" s="13"/>
      <c r="B417" s="13"/>
      <c r="C417" s="13"/>
      <c r="D417" s="13"/>
      <c r="E417" s="13"/>
      <c r="F417" s="12"/>
      <c r="G417" s="12"/>
      <c r="H417" s="12"/>
      <c r="I417" s="12"/>
      <c r="J417" s="12"/>
      <c r="K417" s="12"/>
    </row>
    <row r="418" spans="1:11" s="9" customFormat="1" ht="13.2">
      <c r="A418" s="13"/>
      <c r="B418" s="13"/>
      <c r="C418" s="13"/>
      <c r="D418" s="13"/>
      <c r="E418" s="13"/>
      <c r="F418" s="12"/>
      <c r="G418" s="12"/>
      <c r="H418" s="12"/>
      <c r="I418" s="12"/>
      <c r="J418" s="12"/>
      <c r="K418" s="12"/>
    </row>
    <row r="419" spans="1:11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  <c r="K419" s="12"/>
    </row>
    <row r="420" spans="1:11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  <c r="K420" s="12"/>
    </row>
    <row r="421" spans="1:11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  <c r="K421" s="12"/>
    </row>
    <row r="422" spans="1:11" s="9" customFormat="1" ht="13.2">
      <c r="A422" s="13"/>
      <c r="B422" s="13"/>
      <c r="C422" s="13"/>
      <c r="D422" s="13"/>
      <c r="E422" s="13"/>
      <c r="F422" s="14"/>
      <c r="G422" s="14"/>
      <c r="H422" s="14"/>
      <c r="I422" s="14"/>
      <c r="J422" s="14"/>
      <c r="K422" s="14"/>
    </row>
    <row r="423" spans="1:11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  <c r="K423" s="8"/>
    </row>
    <row r="424" spans="1:11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  <c r="K424" s="8"/>
    </row>
    <row r="425" spans="1:11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  <c r="K425" s="8"/>
    </row>
    <row r="426" spans="1:11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  <c r="K426" s="8"/>
    </row>
    <row r="427" spans="1:11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  <c r="K427" s="8"/>
    </row>
    <row r="428" spans="1:11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  <c r="K428" s="8"/>
    </row>
    <row r="429" spans="1:11" s="9" customFormat="1" ht="13.2">
      <c r="A429" s="13"/>
      <c r="B429" s="13"/>
      <c r="C429" s="13"/>
      <c r="D429" s="13"/>
      <c r="E429" s="13"/>
      <c r="F429" s="10"/>
      <c r="G429" s="10"/>
      <c r="H429" s="10"/>
      <c r="I429" s="10"/>
      <c r="J429" s="10"/>
      <c r="K429" s="10"/>
    </row>
    <row r="430" spans="1:11" s="9" customFormat="1" ht="13.2">
      <c r="A430" s="13"/>
      <c r="B430" s="13"/>
      <c r="C430" s="13"/>
      <c r="D430" s="13"/>
      <c r="E430" s="13"/>
      <c r="F430" s="10"/>
      <c r="G430" s="10"/>
      <c r="H430" s="10"/>
      <c r="I430" s="10"/>
      <c r="J430" s="10"/>
      <c r="K430" s="10"/>
    </row>
    <row r="431" spans="1:11" s="9" customFormat="1" ht="13.2">
      <c r="A431" s="13"/>
      <c r="B431" s="13"/>
      <c r="C431" s="13"/>
      <c r="D431" s="13"/>
      <c r="E431" s="13"/>
      <c r="F431" s="10"/>
      <c r="G431" s="10"/>
      <c r="H431" s="10"/>
      <c r="I431" s="10"/>
      <c r="J431" s="10"/>
      <c r="K431" s="10"/>
    </row>
    <row r="432" spans="1:11" s="9" customFormat="1" ht="13.2">
      <c r="A432" s="13"/>
      <c r="B432" s="13"/>
      <c r="C432" s="13"/>
      <c r="D432" s="13"/>
      <c r="E432" s="13"/>
      <c r="F432" s="10"/>
      <c r="G432" s="10"/>
      <c r="H432" s="10"/>
      <c r="I432" s="10"/>
      <c r="J432" s="10"/>
      <c r="K432" s="10"/>
    </row>
    <row r="433" spans="1:11" s="9" customFormat="1" ht="13.2">
      <c r="A433" s="13"/>
      <c r="B433" s="13"/>
      <c r="C433" s="13"/>
      <c r="D433" s="13"/>
      <c r="E433" s="13"/>
      <c r="F433" s="12"/>
      <c r="G433" s="12"/>
      <c r="H433" s="12"/>
      <c r="I433" s="12"/>
      <c r="J433" s="12"/>
      <c r="K433" s="12"/>
    </row>
    <row r="434" spans="1:11" s="9" customFormat="1" ht="13.2">
      <c r="A434" s="13"/>
      <c r="B434" s="13"/>
      <c r="C434" s="13"/>
      <c r="D434" s="13"/>
      <c r="E434" s="13"/>
      <c r="F434" s="12"/>
      <c r="G434" s="12"/>
      <c r="H434" s="12"/>
      <c r="I434" s="12"/>
      <c r="J434" s="12"/>
      <c r="K434" s="12"/>
    </row>
    <row r="435" spans="1:11" s="9" customFormat="1" ht="13.2">
      <c r="A435" s="13"/>
      <c r="B435" s="13"/>
      <c r="C435" s="13"/>
      <c r="D435" s="13"/>
      <c r="E435" s="13"/>
      <c r="F435" s="12"/>
      <c r="G435" s="12"/>
      <c r="H435" s="12"/>
      <c r="I435" s="12"/>
      <c r="J435" s="12"/>
      <c r="K435" s="12"/>
    </row>
    <row r="436" spans="1:11" s="9" customFormat="1" ht="13.2">
      <c r="A436" s="13"/>
      <c r="B436" s="13"/>
      <c r="C436" s="13"/>
      <c r="D436" s="13"/>
      <c r="E436" s="13"/>
      <c r="F436" s="8"/>
      <c r="G436" s="8"/>
      <c r="H436" s="8"/>
      <c r="I436" s="8"/>
      <c r="J436" s="8"/>
      <c r="K436" s="8"/>
    </row>
    <row r="437" spans="1:11" s="9" customFormat="1" ht="13.2">
      <c r="A437" s="13"/>
      <c r="B437" s="13"/>
      <c r="C437" s="13"/>
      <c r="D437" s="13"/>
      <c r="E437" s="13"/>
      <c r="F437" s="8"/>
      <c r="G437" s="8"/>
      <c r="H437" s="8"/>
      <c r="I437" s="8"/>
      <c r="J437" s="8"/>
      <c r="K437" s="8"/>
    </row>
    <row r="438" spans="1:11" s="9" customFormat="1" ht="13.2">
      <c r="A438" s="13"/>
      <c r="B438" s="13"/>
      <c r="C438" s="13"/>
      <c r="D438" s="13"/>
      <c r="E438" s="13"/>
      <c r="F438" s="12"/>
      <c r="G438" s="12"/>
      <c r="H438" s="12"/>
      <c r="I438" s="12"/>
      <c r="J438" s="12"/>
      <c r="K438" s="12"/>
    </row>
    <row r="439" spans="1:11" s="9" customFormat="1" ht="13.2">
      <c r="A439" s="13"/>
      <c r="B439" s="13"/>
      <c r="C439" s="13"/>
      <c r="D439" s="13"/>
      <c r="E439" s="13"/>
      <c r="F439" s="12"/>
      <c r="G439" s="12"/>
      <c r="H439" s="12"/>
      <c r="I439" s="12"/>
      <c r="J439" s="12"/>
      <c r="K439" s="12"/>
    </row>
    <row r="440" spans="1:11" s="9" customFormat="1" ht="13.2">
      <c r="A440" s="13"/>
      <c r="B440" s="13"/>
      <c r="C440" s="13"/>
      <c r="D440" s="13"/>
      <c r="E440" s="13"/>
      <c r="F440" s="8"/>
      <c r="G440" s="8"/>
      <c r="H440" s="8"/>
      <c r="I440" s="8"/>
      <c r="J440" s="8"/>
      <c r="K440" s="8"/>
    </row>
    <row r="441" spans="1:11" s="9" customFormat="1" ht="13.2">
      <c r="A441" s="13"/>
      <c r="B441" s="13"/>
      <c r="C441" s="13"/>
      <c r="D441" s="13"/>
      <c r="E441" s="13"/>
      <c r="F441" s="8"/>
      <c r="G441" s="8"/>
      <c r="H441" s="8"/>
      <c r="I441" s="8"/>
      <c r="J441" s="8"/>
      <c r="K441" s="8"/>
    </row>
    <row r="442" spans="1:11" s="9" customFormat="1" ht="13.2">
      <c r="A442" s="13"/>
      <c r="B442" s="13"/>
      <c r="C442" s="13"/>
      <c r="D442" s="13"/>
      <c r="E442" s="13"/>
      <c r="F442" s="8"/>
      <c r="G442" s="8"/>
      <c r="H442" s="8"/>
      <c r="I442" s="8"/>
      <c r="J442" s="8"/>
      <c r="K442" s="8"/>
    </row>
    <row r="443" spans="1:11" s="9" customFormat="1" ht="13.2">
      <c r="A443" s="13"/>
      <c r="B443" s="13"/>
      <c r="C443" s="13"/>
      <c r="D443" s="13"/>
      <c r="E443" s="13"/>
      <c r="F443" s="8"/>
      <c r="G443" s="8"/>
      <c r="H443" s="8"/>
      <c r="I443" s="8"/>
      <c r="J443" s="8"/>
      <c r="K443" s="8"/>
    </row>
    <row r="444" spans="1:11" s="9" customFormat="1" ht="13.2">
      <c r="A444" s="13"/>
      <c r="B444" s="13"/>
      <c r="C444" s="13"/>
      <c r="D444" s="13"/>
      <c r="E444" s="13"/>
      <c r="F444" s="8"/>
      <c r="G444" s="8"/>
      <c r="H444" s="8"/>
      <c r="I444" s="8"/>
      <c r="J444" s="8"/>
      <c r="K444" s="8"/>
    </row>
    <row r="445" spans="1:11" s="9" customFormat="1" ht="13.2">
      <c r="A445" s="13"/>
      <c r="B445" s="13"/>
      <c r="C445" s="13"/>
      <c r="D445" s="13"/>
      <c r="E445" s="13"/>
      <c r="F445" s="8"/>
      <c r="G445" s="8"/>
      <c r="H445" s="8"/>
      <c r="I445" s="8"/>
      <c r="J445" s="8"/>
      <c r="K445" s="8"/>
    </row>
    <row r="446" spans="1:11" s="9" customFormat="1" ht="13.2">
      <c r="A446" s="13"/>
      <c r="B446" s="13"/>
      <c r="C446" s="13"/>
      <c r="D446" s="13"/>
      <c r="E446" s="13"/>
      <c r="F446" s="11"/>
      <c r="G446" s="11"/>
      <c r="H446" s="11"/>
      <c r="I446" s="11"/>
      <c r="J446" s="11"/>
      <c r="K446" s="11"/>
    </row>
    <row r="447" spans="1:11" s="9" customFormat="1" ht="13.2">
      <c r="A447" s="13"/>
      <c r="B447" s="13"/>
      <c r="C447" s="13"/>
      <c r="D447" s="13"/>
      <c r="E447" s="13"/>
      <c r="F447" s="11"/>
      <c r="G447" s="11"/>
      <c r="H447" s="11"/>
      <c r="I447" s="11"/>
      <c r="J447" s="11"/>
      <c r="K447" s="11"/>
    </row>
    <row r="448" spans="1:11" s="9" customFormat="1" ht="13.2">
      <c r="A448" s="13"/>
      <c r="B448" s="13"/>
      <c r="C448" s="13"/>
      <c r="D448" s="13"/>
      <c r="E448" s="13"/>
      <c r="F448" s="11"/>
      <c r="G448" s="11"/>
      <c r="H448" s="11"/>
      <c r="I448" s="11"/>
      <c r="J448" s="11"/>
      <c r="K448" s="11"/>
    </row>
    <row r="449" spans="1:11" s="9" customFormat="1" ht="13.2">
      <c r="A449" s="13"/>
      <c r="B449" s="13"/>
      <c r="C449" s="13"/>
      <c r="D449" s="13"/>
      <c r="E449" s="13"/>
      <c r="F449" s="11"/>
      <c r="G449" s="11"/>
      <c r="H449" s="11"/>
      <c r="I449" s="11"/>
      <c r="J449" s="11"/>
      <c r="K449" s="11"/>
    </row>
    <row r="450" spans="1:11" s="9" customFormat="1" ht="13.2">
      <c r="A450" s="15"/>
      <c r="B450" s="15"/>
      <c r="C450" s="15"/>
      <c r="D450" s="15"/>
      <c r="E450" s="15"/>
      <c r="F450" s="12"/>
      <c r="G450" s="12"/>
      <c r="H450" s="12"/>
      <c r="I450" s="12"/>
      <c r="J450" s="12"/>
      <c r="K450" s="12"/>
    </row>
    <row r="451" spans="1:11" s="9" customFormat="1" ht="13.2">
      <c r="A451" s="15"/>
      <c r="B451" s="15"/>
      <c r="C451" s="15"/>
      <c r="D451" s="15"/>
      <c r="E451" s="15"/>
      <c r="F451" s="11"/>
      <c r="G451" s="11"/>
      <c r="H451" s="11"/>
      <c r="I451" s="11"/>
      <c r="J451" s="11"/>
      <c r="K451" s="11"/>
    </row>
    <row r="452" spans="1:11" s="9" customFormat="1" ht="13.2">
      <c r="A452" s="15"/>
      <c r="B452" s="15"/>
      <c r="C452" s="15"/>
      <c r="D452" s="15"/>
      <c r="E452" s="15"/>
      <c r="F452" s="12"/>
      <c r="G452" s="12"/>
      <c r="H452" s="12"/>
      <c r="I452" s="12"/>
      <c r="J452" s="12"/>
      <c r="K452" s="12"/>
    </row>
    <row r="453" spans="1:11" s="9" customFormat="1" ht="13.2">
      <c r="A453" s="15"/>
      <c r="B453" s="15"/>
      <c r="C453" s="15"/>
      <c r="D453" s="15"/>
      <c r="E453" s="15"/>
      <c r="F453" s="12"/>
      <c r="G453" s="12"/>
      <c r="H453" s="12"/>
      <c r="I453" s="12"/>
      <c r="J453" s="12"/>
      <c r="K453" s="12"/>
    </row>
    <row r="454" spans="1:11" s="9" customFormat="1" ht="13.2">
      <c r="A454" s="15"/>
      <c r="B454" s="15"/>
      <c r="C454" s="15"/>
      <c r="D454" s="15"/>
      <c r="E454" s="15"/>
      <c r="F454" s="12"/>
      <c r="G454" s="12"/>
      <c r="H454" s="12"/>
      <c r="I454" s="12"/>
      <c r="J454" s="12"/>
      <c r="K454" s="12"/>
    </row>
    <row r="455" spans="1:11" s="9" customFormat="1" ht="13.2">
      <c r="A455" s="15"/>
      <c r="B455" s="15"/>
      <c r="C455" s="15"/>
      <c r="D455" s="15"/>
      <c r="E455" s="15"/>
      <c r="F455" s="12"/>
      <c r="G455" s="12"/>
      <c r="H455" s="12"/>
      <c r="I455" s="12"/>
      <c r="J455" s="12"/>
      <c r="K455" s="12"/>
    </row>
    <row r="456" spans="1:11" s="9" customFormat="1" ht="13.2">
      <c r="A456" s="15"/>
      <c r="B456" s="15"/>
      <c r="C456" s="15"/>
      <c r="D456" s="15"/>
      <c r="E456" s="15"/>
      <c r="F456" s="12"/>
      <c r="G456" s="12"/>
      <c r="H456" s="12"/>
      <c r="I456" s="12"/>
      <c r="J456" s="12"/>
      <c r="K456" s="12"/>
    </row>
    <row r="457" spans="1:11" s="9" customFormat="1" ht="13.2">
      <c r="A457" s="15"/>
      <c r="B457" s="15"/>
      <c r="C457" s="15"/>
      <c r="D457" s="15"/>
      <c r="E457" s="15"/>
      <c r="F457" s="12"/>
      <c r="G457" s="12"/>
      <c r="H457" s="12"/>
      <c r="I457" s="12"/>
      <c r="J457" s="12"/>
      <c r="K457" s="12"/>
    </row>
    <row r="458" spans="1:11" s="9" customFormat="1" ht="13.2">
      <c r="A458" s="15"/>
      <c r="B458" s="15"/>
      <c r="C458" s="15"/>
      <c r="D458" s="15"/>
      <c r="E458" s="15"/>
      <c r="F458" s="8"/>
      <c r="G458" s="8"/>
      <c r="H458" s="8"/>
      <c r="I458" s="8"/>
      <c r="J458" s="8"/>
      <c r="K458" s="8"/>
    </row>
    <row r="459" spans="1:11" s="9" customFormat="1" ht="13.2">
      <c r="A459" s="15"/>
      <c r="B459" s="15"/>
      <c r="C459" s="15"/>
      <c r="D459" s="15"/>
      <c r="E459" s="15"/>
      <c r="F459" s="12"/>
      <c r="G459" s="12"/>
      <c r="H459" s="12"/>
      <c r="I459" s="12"/>
      <c r="J459" s="12"/>
      <c r="K459" s="12"/>
    </row>
    <row r="460" spans="1:11" s="9" customFormat="1" ht="13.2">
      <c r="A460" s="15"/>
      <c r="B460" s="15"/>
      <c r="C460" s="15"/>
      <c r="D460" s="15"/>
      <c r="E460" s="15"/>
      <c r="F460" s="12"/>
      <c r="G460" s="12"/>
      <c r="H460" s="12"/>
      <c r="I460" s="12"/>
      <c r="J460" s="12"/>
      <c r="K460" s="12"/>
    </row>
    <row r="461" spans="1:11" s="9" customFormat="1" ht="13.2">
      <c r="A461" s="15"/>
      <c r="B461" s="15"/>
      <c r="C461" s="15"/>
      <c r="D461" s="15"/>
      <c r="E461" s="15"/>
      <c r="F461" s="12"/>
      <c r="G461" s="12"/>
      <c r="H461" s="12"/>
      <c r="I461" s="12"/>
      <c r="J461" s="12"/>
      <c r="K461" s="12"/>
    </row>
    <row r="462" spans="1:11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  <c r="K462" s="8"/>
    </row>
    <row r="463" spans="1:11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  <c r="K463" s="8"/>
    </row>
    <row r="464" spans="1:11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  <c r="K464" s="8"/>
    </row>
    <row r="465" spans="1:11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  <c r="K465" s="8"/>
    </row>
    <row r="466" spans="1:11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  <c r="K466" s="8"/>
    </row>
    <row r="467" spans="1:11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  <c r="K467" s="8"/>
    </row>
    <row r="468" spans="1:11" s="9" customFormat="1" ht="13.2">
      <c r="A468" s="15"/>
      <c r="B468" s="15"/>
      <c r="C468" s="15"/>
      <c r="D468" s="15"/>
      <c r="E468" s="15"/>
      <c r="F468" s="11"/>
      <c r="G468" s="11"/>
      <c r="H468" s="11"/>
      <c r="I468" s="11"/>
      <c r="J468" s="11"/>
      <c r="K468" s="11"/>
    </row>
    <row r="469" spans="1:11" s="9" customFormat="1" ht="13.2">
      <c r="A469" s="15"/>
      <c r="B469" s="15"/>
      <c r="C469" s="15"/>
      <c r="D469" s="15"/>
      <c r="E469" s="15"/>
      <c r="F469" s="11"/>
      <c r="G469" s="11"/>
      <c r="H469" s="11"/>
      <c r="I469" s="11"/>
      <c r="J469" s="11"/>
      <c r="K469" s="11"/>
    </row>
    <row r="470" spans="1:11" s="9" customFormat="1" ht="13.2">
      <c r="A470" s="15"/>
      <c r="B470" s="15"/>
      <c r="C470" s="15"/>
      <c r="D470" s="15"/>
      <c r="E470" s="15"/>
      <c r="F470" s="11"/>
      <c r="G470" s="11"/>
      <c r="H470" s="11"/>
      <c r="I470" s="11"/>
      <c r="J470" s="11"/>
      <c r="K470" s="11"/>
    </row>
    <row r="471" spans="1:11" s="9" customFormat="1" ht="13.2">
      <c r="A471" s="15"/>
      <c r="B471" s="15"/>
      <c r="C471" s="15"/>
      <c r="D471" s="15"/>
      <c r="E471" s="15"/>
      <c r="F471" s="11"/>
      <c r="G471" s="11"/>
      <c r="H471" s="11"/>
      <c r="I471" s="11"/>
      <c r="J471" s="11"/>
      <c r="K471" s="11"/>
    </row>
    <row r="472" spans="1:11" s="9" customFormat="1" ht="13.2">
      <c r="A472" s="15"/>
      <c r="B472" s="15"/>
      <c r="C472" s="15"/>
      <c r="D472" s="15"/>
      <c r="E472" s="15"/>
      <c r="F472" s="11"/>
      <c r="G472" s="11"/>
      <c r="H472" s="11"/>
      <c r="I472" s="11"/>
      <c r="J472" s="11"/>
      <c r="K472" s="11"/>
    </row>
    <row r="473" spans="1:11" s="9" customFormat="1" ht="13.2">
      <c r="A473" s="15"/>
      <c r="B473" s="15"/>
      <c r="C473" s="15"/>
      <c r="D473" s="15"/>
      <c r="E473" s="15"/>
      <c r="F473" s="11"/>
      <c r="G473" s="11"/>
      <c r="H473" s="11"/>
      <c r="I473" s="11"/>
      <c r="J473" s="11"/>
      <c r="K473" s="11"/>
    </row>
    <row r="474" spans="1:11" s="9" customFormat="1" ht="13.2">
      <c r="A474" s="15"/>
      <c r="B474" s="15"/>
      <c r="C474" s="15"/>
      <c r="D474" s="15"/>
      <c r="E474" s="15"/>
      <c r="F474" s="8"/>
      <c r="G474" s="8"/>
      <c r="H474" s="8"/>
      <c r="I474" s="8"/>
      <c r="J474" s="8"/>
      <c r="K474" s="8"/>
    </row>
    <row r="475" spans="1:11" s="9" customFormat="1" ht="13.2">
      <c r="A475" s="15"/>
      <c r="B475" s="15"/>
      <c r="C475" s="15"/>
      <c r="D475" s="15"/>
      <c r="E475" s="15"/>
      <c r="F475" s="8"/>
      <c r="G475" s="8"/>
      <c r="H475" s="8"/>
      <c r="I475" s="8"/>
      <c r="J475" s="8"/>
      <c r="K475" s="8"/>
    </row>
    <row r="476" spans="1:11" s="9" customFormat="1" ht="13.2">
      <c r="A476" s="15"/>
      <c r="B476" s="15"/>
      <c r="C476" s="15"/>
      <c r="D476" s="15"/>
      <c r="E476" s="15"/>
      <c r="F476" s="8"/>
      <c r="G476" s="8"/>
      <c r="H476" s="8"/>
      <c r="I476" s="8"/>
      <c r="J476" s="8"/>
      <c r="K476" s="8"/>
    </row>
    <row r="477" spans="1:11" s="9" customFormat="1" ht="13.2">
      <c r="A477" s="15"/>
      <c r="B477" s="15"/>
      <c r="C477" s="15"/>
      <c r="D477" s="15"/>
      <c r="E477" s="15"/>
      <c r="F477" s="8"/>
      <c r="G477" s="8"/>
      <c r="H477" s="8"/>
      <c r="I477" s="8"/>
      <c r="J477" s="8"/>
      <c r="K477" s="8"/>
    </row>
    <row r="478" spans="1:11" s="9" customFormat="1" ht="13.2">
      <c r="A478" s="15"/>
      <c r="B478" s="15"/>
      <c r="C478" s="15"/>
      <c r="D478" s="15"/>
      <c r="E478" s="15"/>
      <c r="F478" s="8"/>
      <c r="G478" s="8"/>
      <c r="H478" s="8"/>
      <c r="I478" s="8"/>
      <c r="J478" s="8"/>
      <c r="K478" s="8"/>
    </row>
    <row r="479" spans="1:11" s="9" customFormat="1" ht="13.2">
      <c r="A479" s="15"/>
      <c r="B479" s="15"/>
      <c r="C479" s="15"/>
      <c r="D479" s="15"/>
      <c r="E479" s="15"/>
      <c r="F479" s="8"/>
      <c r="G479" s="8"/>
      <c r="H479" s="8"/>
      <c r="I479" s="8"/>
      <c r="J479" s="8"/>
      <c r="K479" s="8"/>
    </row>
    <row r="480" spans="1:11" s="9" customFormat="1" ht="13.2">
      <c r="A480" s="15"/>
      <c r="B480" s="15"/>
      <c r="C480" s="15"/>
      <c r="D480" s="15"/>
      <c r="E480" s="15"/>
      <c r="F480" s="8"/>
      <c r="G480" s="8"/>
      <c r="H480" s="8"/>
      <c r="I480" s="8"/>
      <c r="J480" s="8"/>
      <c r="K480" s="8"/>
    </row>
    <row r="481" spans="1:11" s="9" customFormat="1" ht="13.2">
      <c r="A481" s="6"/>
      <c r="B481" s="6"/>
      <c r="C481" s="6"/>
      <c r="D481" s="6"/>
      <c r="E481" s="6"/>
      <c r="F481" s="12"/>
      <c r="G481" s="12"/>
      <c r="H481" s="12"/>
      <c r="I481" s="12"/>
      <c r="J481" s="12"/>
      <c r="K481" s="12"/>
    </row>
    <row r="482" spans="1:11" s="9" customFormat="1" ht="13.2">
      <c r="A482" s="6"/>
      <c r="B482" s="6"/>
      <c r="C482" s="6"/>
      <c r="D482" s="6"/>
      <c r="E482" s="6"/>
      <c r="F482" s="12"/>
      <c r="G482" s="12"/>
      <c r="H482" s="12"/>
      <c r="I482" s="12"/>
      <c r="J482" s="12"/>
      <c r="K482" s="12"/>
    </row>
    <row r="483" spans="1:11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  <c r="K483" s="11"/>
    </row>
    <row r="484" spans="1:11" s="9" customFormat="1" ht="13.2">
      <c r="A484" s="6"/>
      <c r="B484" s="6"/>
      <c r="C484" s="6"/>
      <c r="D484" s="6"/>
      <c r="E484" s="6"/>
      <c r="F484" s="12"/>
      <c r="G484" s="12"/>
      <c r="H484" s="12"/>
      <c r="I484" s="12"/>
      <c r="J484" s="12"/>
      <c r="K484" s="12"/>
    </row>
    <row r="485" spans="1:11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  <c r="K485" s="8"/>
    </row>
    <row r="486" spans="1:11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  <c r="K486" s="8"/>
    </row>
    <row r="487" spans="1:11" s="9" customFormat="1" ht="13.2">
      <c r="A487" s="6"/>
      <c r="B487" s="6"/>
      <c r="C487" s="6"/>
      <c r="D487" s="6"/>
      <c r="E487" s="6"/>
      <c r="F487" s="11"/>
      <c r="G487" s="11"/>
      <c r="H487" s="11"/>
      <c r="I487" s="11"/>
      <c r="J487" s="11"/>
      <c r="K487" s="11"/>
    </row>
    <row r="488" spans="1:11" s="9" customFormat="1" ht="13.2">
      <c r="A488" s="6"/>
      <c r="B488" s="6"/>
      <c r="C488" s="6"/>
      <c r="D488" s="6"/>
      <c r="E488" s="6"/>
      <c r="F488" s="12"/>
      <c r="G488" s="12"/>
      <c r="H488" s="12"/>
      <c r="I488" s="12"/>
      <c r="J488" s="12"/>
      <c r="K488" s="12"/>
    </row>
    <row r="489" spans="1:11" s="9" customFormat="1" ht="13.2">
      <c r="A489" s="6"/>
      <c r="B489" s="6"/>
      <c r="C489" s="6"/>
      <c r="D489" s="6"/>
      <c r="E489" s="6"/>
      <c r="F489" s="11"/>
      <c r="G489" s="11"/>
      <c r="H489" s="11"/>
      <c r="I489" s="11"/>
      <c r="J489" s="11"/>
      <c r="K489" s="11"/>
    </row>
    <row r="490" spans="1:11" s="9" customFormat="1" ht="13.2">
      <c r="A490" s="6"/>
      <c r="B490" s="6"/>
      <c r="C490" s="6"/>
      <c r="D490" s="6"/>
      <c r="E490" s="6"/>
      <c r="F490" s="11"/>
      <c r="G490" s="11"/>
      <c r="H490" s="11"/>
      <c r="I490" s="11"/>
      <c r="J490" s="11"/>
      <c r="K490" s="11"/>
    </row>
    <row r="491" spans="1:11" s="9" customFormat="1" ht="13.2">
      <c r="A491" s="6"/>
      <c r="B491" s="6"/>
      <c r="C491" s="6"/>
      <c r="D491" s="6"/>
      <c r="E491" s="6"/>
      <c r="F491" s="11"/>
      <c r="G491" s="11"/>
      <c r="H491" s="11"/>
      <c r="I491" s="11"/>
      <c r="J491" s="11"/>
      <c r="K491" s="11"/>
    </row>
    <row r="492" spans="1:11" s="9" customFormat="1" ht="13.2">
      <c r="A492" s="6"/>
      <c r="B492" s="6"/>
      <c r="C492" s="6"/>
      <c r="D492" s="6"/>
      <c r="E492" s="6"/>
      <c r="F492" s="11"/>
      <c r="G492" s="11"/>
      <c r="H492" s="11"/>
      <c r="I492" s="11"/>
      <c r="J492" s="11"/>
      <c r="K492" s="11"/>
    </row>
    <row r="493" spans="1:11" s="9" customFormat="1" ht="13.2">
      <c r="A493" s="6"/>
      <c r="B493" s="6"/>
      <c r="C493" s="6"/>
      <c r="D493" s="6"/>
      <c r="E493" s="6"/>
      <c r="F493" s="11"/>
      <c r="G493" s="11"/>
      <c r="H493" s="11"/>
      <c r="I493" s="11"/>
      <c r="J493" s="11"/>
      <c r="K493" s="11"/>
    </row>
    <row r="494" spans="1:11" s="9" customFormat="1" ht="13.2">
      <c r="A494" s="6"/>
      <c r="B494" s="6"/>
      <c r="C494" s="6"/>
      <c r="D494" s="6"/>
      <c r="E494" s="6"/>
      <c r="F494" s="11"/>
      <c r="G494" s="11"/>
      <c r="H494" s="11"/>
      <c r="I494" s="11"/>
      <c r="J494" s="11"/>
      <c r="K494" s="11"/>
    </row>
    <row r="495" spans="1:11" s="9" customFormat="1" ht="13.2">
      <c r="A495" s="6"/>
      <c r="B495" s="6"/>
      <c r="C495" s="6"/>
      <c r="D495" s="6"/>
      <c r="E495" s="6"/>
      <c r="F495" s="11"/>
      <c r="G495" s="11"/>
      <c r="H495" s="11"/>
      <c r="I495" s="11"/>
      <c r="J495" s="11"/>
      <c r="K495" s="11"/>
    </row>
    <row r="496" spans="1:11" s="9" customFormat="1" ht="13.2">
      <c r="A496" s="6"/>
      <c r="B496" s="6"/>
      <c r="C496" s="6"/>
      <c r="D496" s="6"/>
      <c r="E496" s="6"/>
      <c r="F496" s="11"/>
      <c r="G496" s="11"/>
      <c r="H496" s="11"/>
      <c r="I496" s="11"/>
      <c r="J496" s="11"/>
      <c r="K496" s="11"/>
    </row>
    <row r="497" spans="1:11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  <c r="K497" s="8"/>
    </row>
    <row r="498" spans="1:11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  <c r="K498" s="8"/>
    </row>
    <row r="499" spans="1:11" s="9" customFormat="1" ht="13.2">
      <c r="A499" s="6"/>
      <c r="B499" s="6"/>
      <c r="C499" s="6"/>
      <c r="D499" s="6"/>
      <c r="E499" s="6"/>
      <c r="F499" s="8"/>
      <c r="G499" s="8"/>
      <c r="H499" s="8"/>
      <c r="I499" s="8"/>
      <c r="J499" s="8"/>
      <c r="K499" s="8"/>
    </row>
    <row r="500" spans="1:11" s="9" customFormat="1" ht="13.2">
      <c r="A500" s="6"/>
      <c r="B500" s="6"/>
      <c r="C500" s="6"/>
      <c r="D500" s="6"/>
      <c r="E500" s="6"/>
      <c r="F500" s="8"/>
      <c r="G500" s="8"/>
      <c r="H500" s="8"/>
      <c r="I500" s="8"/>
      <c r="J500" s="8"/>
      <c r="K500" s="8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8"/>
      <c r="G502" s="8"/>
      <c r="H502" s="8"/>
      <c r="I502" s="8"/>
      <c r="J502" s="8"/>
      <c r="K502" s="8"/>
    </row>
    <row r="503" spans="1:11" s="9" customFormat="1" ht="13.2">
      <c r="A503" s="6"/>
      <c r="B503" s="6"/>
      <c r="C503" s="6"/>
      <c r="D503" s="6"/>
      <c r="E503" s="6"/>
      <c r="F503" s="12"/>
      <c r="G503" s="12"/>
      <c r="H503" s="12"/>
      <c r="I503" s="12"/>
      <c r="J503" s="12"/>
      <c r="K503" s="12"/>
    </row>
    <row r="504" spans="1:11" s="9" customFormat="1" ht="13.2">
      <c r="A504" s="6"/>
      <c r="B504" s="6"/>
      <c r="C504" s="6"/>
      <c r="D504" s="6"/>
      <c r="E504" s="6"/>
      <c r="F504" s="10"/>
      <c r="G504" s="10"/>
      <c r="H504" s="10"/>
      <c r="I504" s="10"/>
      <c r="J504" s="10"/>
      <c r="K504" s="10"/>
    </row>
    <row r="505" spans="1:11" s="9" customFormat="1" ht="13.2">
      <c r="A505" s="6"/>
      <c r="B505" s="6"/>
      <c r="C505" s="6"/>
      <c r="D505" s="6"/>
      <c r="E505" s="6"/>
      <c r="F505" s="12"/>
      <c r="G505" s="12"/>
      <c r="H505" s="12"/>
      <c r="I505" s="12"/>
      <c r="J505" s="12"/>
      <c r="K505" s="12"/>
    </row>
    <row r="506" spans="1:11" s="9" customFormat="1" ht="13.2">
      <c r="A506" s="6"/>
      <c r="B506" s="6"/>
      <c r="C506" s="6"/>
      <c r="D506" s="6"/>
      <c r="E506" s="6"/>
      <c r="F506" s="12"/>
      <c r="G506" s="12"/>
      <c r="H506" s="12"/>
      <c r="I506" s="12"/>
      <c r="J506" s="12"/>
      <c r="K506" s="12"/>
    </row>
    <row r="507" spans="1:11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  <c r="K507" s="8"/>
    </row>
    <row r="508" spans="1:11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  <c r="K508" s="8"/>
    </row>
    <row r="509" spans="1:11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  <c r="K509" s="8"/>
    </row>
    <row r="510" spans="1:11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  <c r="K510" s="8"/>
    </row>
    <row r="511" spans="1:11" s="9" customFormat="1" ht="13.2">
      <c r="A511" s="6"/>
      <c r="B511" s="6"/>
      <c r="C511" s="6"/>
      <c r="D511" s="6"/>
      <c r="E511" s="6"/>
      <c r="F511" s="11"/>
      <c r="G511" s="11"/>
      <c r="H511" s="11"/>
      <c r="I511" s="11"/>
      <c r="J511" s="11"/>
      <c r="K511" s="11"/>
    </row>
    <row r="512" spans="1:11" s="9" customFormat="1" ht="13.2">
      <c r="A512" s="6"/>
      <c r="B512" s="6"/>
      <c r="C512" s="6"/>
      <c r="D512" s="6"/>
      <c r="E512" s="6"/>
      <c r="F512" s="12"/>
      <c r="G512" s="12"/>
      <c r="H512" s="12"/>
      <c r="I512" s="12"/>
      <c r="J512" s="12"/>
      <c r="K512" s="12"/>
    </row>
    <row r="513" spans="1:11" s="9" customFormat="1" ht="13.2">
      <c r="A513" s="6"/>
      <c r="B513" s="6"/>
      <c r="C513" s="6"/>
      <c r="D513" s="6"/>
      <c r="E513" s="6"/>
      <c r="F513" s="10"/>
      <c r="G513" s="10"/>
      <c r="H513" s="10"/>
      <c r="I513" s="10"/>
      <c r="J513" s="10"/>
      <c r="K513" s="10"/>
    </row>
    <row r="514" spans="1:11" s="9" customFormat="1" ht="13.2">
      <c r="A514" s="6"/>
      <c r="B514" s="6"/>
      <c r="C514" s="6"/>
      <c r="D514" s="6"/>
      <c r="E514" s="6"/>
      <c r="F514" s="11"/>
      <c r="G514" s="11"/>
      <c r="H514" s="11"/>
      <c r="I514" s="11"/>
      <c r="J514" s="11"/>
      <c r="K514" s="11"/>
    </row>
    <row r="515" spans="1:11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  <c r="K515" s="8"/>
    </row>
    <row r="516" spans="1:11" s="9" customFormat="1" ht="13.2">
      <c r="A516" s="6"/>
      <c r="B516" s="6"/>
      <c r="C516" s="6"/>
      <c r="D516" s="6"/>
      <c r="E516" s="6"/>
      <c r="F516" s="7"/>
      <c r="G516" s="7"/>
      <c r="H516" s="7"/>
      <c r="I516" s="7"/>
      <c r="J516" s="7"/>
      <c r="K516" s="7"/>
    </row>
    <row r="517" spans="1:11" s="9" customFormat="1" ht="13.2">
      <c r="A517" s="6"/>
      <c r="B517" s="6"/>
      <c r="C517" s="6"/>
      <c r="D517" s="6"/>
      <c r="E517" s="6"/>
      <c r="F517" s="7"/>
      <c r="G517" s="7"/>
      <c r="H517" s="7"/>
      <c r="I517" s="7"/>
      <c r="J517" s="7"/>
      <c r="K517" s="7"/>
    </row>
    <row r="518" spans="1:11" s="9" customFormat="1" ht="13.2">
      <c r="A518" s="6"/>
      <c r="B518" s="6"/>
      <c r="C518" s="6"/>
      <c r="D518" s="6"/>
      <c r="E518" s="6"/>
      <c r="F518" s="7"/>
      <c r="G518" s="7"/>
      <c r="H518" s="7"/>
      <c r="I518" s="7"/>
      <c r="J518" s="7"/>
      <c r="K518" s="7"/>
    </row>
    <row r="519" spans="1:11" s="9" customFormat="1" ht="13.2">
      <c r="A519" s="6"/>
      <c r="B519" s="6"/>
      <c r="C519" s="6"/>
      <c r="D519" s="6"/>
      <c r="E519" s="6"/>
      <c r="F519" s="7"/>
      <c r="G519" s="7"/>
      <c r="H519" s="7"/>
      <c r="I519" s="7"/>
      <c r="J519" s="7"/>
      <c r="K519" s="7"/>
    </row>
    <row r="520" spans="1:11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  <c r="K520" s="8"/>
    </row>
    <row r="521" spans="1:11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  <c r="K521" s="8"/>
    </row>
    <row r="522" spans="1:11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  <c r="K522" s="8"/>
    </row>
    <row r="523" spans="1:11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  <c r="K523" s="8"/>
    </row>
    <row r="524" spans="1:11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  <c r="K524" s="8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  <c r="K527" s="8"/>
    </row>
    <row r="528" spans="1:11" s="9" customFormat="1" ht="13.2">
      <c r="A528" s="6"/>
      <c r="B528" s="6"/>
      <c r="C528" s="6"/>
      <c r="D528" s="6"/>
      <c r="E528" s="6"/>
      <c r="F528" s="12"/>
      <c r="G528" s="12"/>
      <c r="H528" s="12"/>
      <c r="I528" s="12"/>
      <c r="J528" s="12"/>
      <c r="K528" s="12"/>
    </row>
    <row r="529" spans="1:11" s="9" customFormat="1" ht="13.2">
      <c r="A529" s="6"/>
      <c r="B529" s="6"/>
      <c r="C529" s="6"/>
      <c r="D529" s="6"/>
      <c r="E529" s="6"/>
      <c r="F529" s="11"/>
      <c r="G529" s="11"/>
      <c r="H529" s="11"/>
      <c r="I529" s="11"/>
      <c r="J529" s="11"/>
      <c r="K529" s="11"/>
    </row>
    <row r="530" spans="1:11" s="9" customFormat="1" ht="13.2">
      <c r="A530" s="6"/>
      <c r="B530" s="6"/>
      <c r="C530" s="6"/>
      <c r="D530" s="6"/>
      <c r="E530" s="6"/>
      <c r="F530" s="12"/>
      <c r="G530" s="12"/>
      <c r="H530" s="12"/>
      <c r="I530" s="12"/>
      <c r="J530" s="12"/>
      <c r="K530" s="12"/>
    </row>
    <row r="531" spans="1:11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  <c r="K531" s="8"/>
    </row>
    <row r="532" spans="1:11" s="9" customFormat="1" ht="13.2">
      <c r="A532" s="6"/>
      <c r="B532" s="6"/>
      <c r="C532" s="6"/>
      <c r="D532" s="6"/>
      <c r="E532" s="6"/>
      <c r="F532" s="12"/>
      <c r="G532" s="12"/>
      <c r="H532" s="12"/>
      <c r="I532" s="12"/>
      <c r="J532" s="12"/>
      <c r="K532" s="12"/>
    </row>
    <row r="533" spans="1:11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  <c r="K533" s="8"/>
    </row>
    <row r="534" spans="1:11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  <c r="K534" s="8"/>
    </row>
    <row r="535" spans="1:11" s="9" customFormat="1" ht="13.2">
      <c r="A535" s="6"/>
      <c r="B535" s="6"/>
      <c r="C535" s="6"/>
      <c r="D535" s="6"/>
      <c r="E535" s="6"/>
      <c r="F535" s="12"/>
      <c r="G535" s="12"/>
      <c r="H535" s="12"/>
      <c r="I535" s="12"/>
      <c r="J535" s="12"/>
      <c r="K535" s="12"/>
    </row>
    <row r="536" spans="1:11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  <c r="K536" s="8"/>
    </row>
    <row r="537" spans="1:11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  <c r="K537" s="8"/>
    </row>
    <row r="538" spans="1:11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  <c r="K538" s="11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  <c r="K540" s="8"/>
    </row>
    <row r="541" spans="1:11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  <c r="K541" s="8"/>
    </row>
    <row r="542" spans="1:11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  <c r="K542" s="11"/>
    </row>
    <row r="543" spans="1:11" s="9" customFormat="1" ht="13.2">
      <c r="A543" s="6"/>
      <c r="B543" s="6"/>
      <c r="C543" s="6"/>
      <c r="D543" s="6"/>
      <c r="E543" s="6"/>
      <c r="F543" s="8"/>
      <c r="G543" s="8"/>
      <c r="H543" s="8"/>
      <c r="I543" s="8"/>
      <c r="J543" s="8"/>
      <c r="K543" s="8"/>
    </row>
    <row r="544" spans="1:11" s="9" customFormat="1" ht="13.2">
      <c r="A544" s="6"/>
      <c r="B544" s="6"/>
      <c r="C544" s="6"/>
      <c r="D544" s="6"/>
      <c r="E544" s="6"/>
      <c r="F544" s="8"/>
      <c r="G544" s="8"/>
      <c r="H544" s="8"/>
      <c r="I544" s="8"/>
      <c r="J544" s="8"/>
      <c r="K544" s="8"/>
    </row>
    <row r="545" spans="1:11" s="9" customFormat="1" ht="13.2">
      <c r="A545" s="6"/>
      <c r="B545" s="6"/>
      <c r="C545" s="6"/>
      <c r="D545" s="6"/>
      <c r="E545" s="6"/>
      <c r="F545" s="8"/>
      <c r="G545" s="8"/>
      <c r="H545" s="8"/>
      <c r="I545" s="8"/>
      <c r="J545" s="8"/>
      <c r="K545" s="8"/>
    </row>
    <row r="546" spans="1:11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  <c r="K546" s="8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  <c r="K548" s="8"/>
    </row>
    <row r="549" spans="1:11" s="9" customFormat="1" ht="13.2">
      <c r="A549" s="6"/>
      <c r="B549" s="6"/>
      <c r="C549" s="6"/>
      <c r="D549" s="6"/>
      <c r="E549" s="6"/>
      <c r="F549" s="10"/>
      <c r="G549" s="10"/>
      <c r="H549" s="10"/>
      <c r="I549" s="10"/>
      <c r="J549" s="10"/>
      <c r="K549" s="10"/>
    </row>
    <row r="550" spans="1:11" s="9" customFormat="1" ht="13.2">
      <c r="A550" s="6"/>
      <c r="B550" s="6"/>
      <c r="C550" s="6"/>
      <c r="D550" s="6"/>
      <c r="E550" s="6"/>
      <c r="F550" s="11"/>
      <c r="G550" s="11"/>
      <c r="H550" s="11"/>
      <c r="I550" s="11"/>
      <c r="J550" s="11"/>
      <c r="K550" s="11"/>
    </row>
    <row r="551" spans="1:11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  <c r="K551" s="8"/>
    </row>
    <row r="552" spans="1:11" s="9" customFormat="1" ht="13.2">
      <c r="A552" s="6"/>
      <c r="B552" s="6"/>
      <c r="C552" s="6"/>
      <c r="D552" s="6"/>
      <c r="E552" s="6"/>
      <c r="F552" s="11"/>
      <c r="G552" s="11"/>
      <c r="H552" s="11"/>
      <c r="I552" s="11"/>
      <c r="J552" s="11"/>
      <c r="K552" s="11"/>
    </row>
    <row r="553" spans="1:11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  <c r="K553" s="8"/>
    </row>
    <row r="554" spans="1:11" s="9" customFormat="1" ht="13.2">
      <c r="A554" s="6"/>
      <c r="B554" s="6"/>
      <c r="C554" s="6"/>
      <c r="D554" s="6"/>
      <c r="E554" s="6"/>
      <c r="F554" s="8"/>
      <c r="G554" s="8"/>
      <c r="H554" s="8"/>
      <c r="I554" s="8"/>
      <c r="J554" s="8"/>
      <c r="K554" s="8"/>
    </row>
    <row r="555" spans="1:11" s="9" customFormat="1" ht="13.2">
      <c r="A555" s="6"/>
      <c r="B555" s="6"/>
      <c r="C555" s="6"/>
      <c r="D555" s="6"/>
      <c r="E555" s="6"/>
      <c r="F555" s="11"/>
      <c r="G555" s="11"/>
      <c r="H555" s="11"/>
      <c r="I555" s="11"/>
      <c r="J555" s="11"/>
      <c r="K555" s="11"/>
    </row>
    <row r="556" spans="1:11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  <c r="K556" s="11"/>
    </row>
    <row r="557" spans="1:11" s="9" customFormat="1" ht="13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spans="1:11" s="9" customFormat="1" ht="13.2">
      <c r="A558" s="6"/>
      <c r="B558" s="6"/>
      <c r="C558" s="6"/>
      <c r="D558" s="6"/>
      <c r="E558" s="6"/>
      <c r="F558" s="11"/>
      <c r="G558" s="11"/>
      <c r="H558" s="11"/>
      <c r="I558" s="11"/>
      <c r="J558" s="11"/>
      <c r="K558" s="11"/>
    </row>
    <row r="559" spans="1:11" s="9" customFormat="1" ht="13.2">
      <c r="A559" s="6"/>
      <c r="B559" s="6"/>
      <c r="C559" s="6"/>
      <c r="D559" s="6"/>
      <c r="E559" s="6"/>
      <c r="F559" s="11"/>
      <c r="G559" s="11"/>
      <c r="H559" s="11"/>
      <c r="I559" s="11"/>
      <c r="J559" s="11"/>
      <c r="K559" s="11"/>
    </row>
    <row r="560" spans="1:11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  <c r="K560" s="8"/>
    </row>
    <row r="561" spans="1:11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  <c r="K561" s="8"/>
    </row>
    <row r="562" spans="1:11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  <c r="K562" s="8"/>
    </row>
    <row r="563" spans="1:11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  <c r="K563" s="8"/>
    </row>
    <row r="564" spans="1:11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  <c r="K564" s="8"/>
    </row>
    <row r="565" spans="1:11" s="9" customFormat="1" ht="13.2">
      <c r="A565" s="6"/>
      <c r="B565" s="6"/>
      <c r="C565" s="6"/>
      <c r="D565" s="6"/>
      <c r="E565" s="6"/>
      <c r="F565" s="7"/>
      <c r="G565" s="7"/>
      <c r="H565" s="7"/>
      <c r="I565" s="7"/>
      <c r="J565" s="7"/>
      <c r="K565" s="7"/>
    </row>
    <row r="566" spans="1:11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  <c r="K566" s="7"/>
    </row>
    <row r="567" spans="1:11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  <c r="K567" s="8"/>
    </row>
    <row r="568" spans="1:11" s="9" customFormat="1" ht="13.2">
      <c r="A568" s="6"/>
      <c r="B568" s="6"/>
      <c r="C568" s="6"/>
      <c r="D568" s="6"/>
      <c r="E568" s="6"/>
      <c r="F568" s="11"/>
      <c r="G568" s="11"/>
      <c r="H568" s="11"/>
      <c r="I568" s="11"/>
      <c r="J568" s="11"/>
      <c r="K568" s="11"/>
    </row>
    <row r="569" spans="1:11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  <c r="K569" s="7"/>
    </row>
    <row r="570" spans="1:11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  <c r="K570" s="8"/>
    </row>
    <row r="571" spans="1:11" s="9" customFormat="1" ht="13.2">
      <c r="A571" s="6"/>
      <c r="B571" s="6"/>
      <c r="C571" s="6"/>
      <c r="D571" s="6"/>
      <c r="E571" s="6"/>
      <c r="F571" s="7"/>
      <c r="G571" s="7"/>
      <c r="H571" s="7"/>
      <c r="I571" s="7"/>
      <c r="J571" s="7"/>
      <c r="K571" s="7"/>
    </row>
    <row r="572" spans="1:11" s="9" customFormat="1" ht="13.2">
      <c r="A572" s="6"/>
      <c r="B572" s="6"/>
      <c r="C572" s="6"/>
      <c r="D572" s="6"/>
      <c r="E572" s="6"/>
      <c r="F572" s="7"/>
      <c r="G572" s="7"/>
      <c r="H572" s="7"/>
      <c r="I572" s="7"/>
      <c r="J572" s="7"/>
      <c r="K572" s="7"/>
    </row>
    <row r="573" spans="1:11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  <c r="K573" s="8"/>
    </row>
    <row r="574" spans="1:11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  <c r="K574" s="8"/>
    </row>
    <row r="575" spans="1:11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  <c r="K575" s="8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7"/>
      <c r="G580" s="7"/>
      <c r="H580" s="7"/>
      <c r="I580" s="7"/>
      <c r="J580" s="7"/>
      <c r="K580" s="7"/>
    </row>
    <row r="581" spans="1:11" s="9" customFormat="1" ht="13.2">
      <c r="A581" s="6"/>
      <c r="B581" s="6"/>
      <c r="C581" s="6"/>
      <c r="D581" s="6"/>
      <c r="E581" s="6"/>
      <c r="F581" s="7"/>
      <c r="G581" s="7"/>
      <c r="H581" s="7"/>
      <c r="I581" s="7"/>
      <c r="J581" s="7"/>
      <c r="K581" s="7"/>
    </row>
    <row r="582" spans="1:11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  <c r="K582" s="8"/>
    </row>
    <row r="583" spans="1:11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  <c r="K583" s="8"/>
    </row>
    <row r="584" spans="1:11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  <c r="K584" s="8"/>
    </row>
    <row r="585" spans="1:11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  <c r="K585" s="8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  <c r="K596" s="8"/>
    </row>
    <row r="597" spans="1:11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  <c r="K597" s="8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8"/>
      <c r="G608" s="8"/>
      <c r="H608" s="8"/>
      <c r="I608" s="8"/>
      <c r="J608" s="8"/>
      <c r="K608" s="8"/>
    </row>
    <row r="609" spans="1:11" s="9" customFormat="1" ht="13.2">
      <c r="A609" s="6"/>
      <c r="B609" s="6"/>
      <c r="C609" s="6"/>
      <c r="D609" s="6"/>
      <c r="E609" s="6"/>
      <c r="F609" s="10"/>
      <c r="G609" s="10"/>
      <c r="H609" s="10"/>
      <c r="I609" s="10"/>
      <c r="J609" s="10"/>
      <c r="K609" s="10"/>
    </row>
    <row r="610" spans="1:11" s="9" customFormat="1" ht="13.2">
      <c r="A610" s="6"/>
      <c r="B610" s="6"/>
      <c r="C610" s="6"/>
      <c r="D610" s="6"/>
      <c r="E610" s="6"/>
      <c r="F610" s="10"/>
      <c r="G610" s="10"/>
      <c r="H610" s="10"/>
      <c r="I610" s="10"/>
      <c r="J610" s="10"/>
      <c r="K610" s="10"/>
    </row>
    <row r="611" spans="1:11" s="9" customFormat="1" ht="13.2">
      <c r="A611" s="6"/>
      <c r="B611" s="6"/>
      <c r="C611" s="6"/>
      <c r="D611" s="6"/>
      <c r="E611" s="6"/>
      <c r="F611" s="10"/>
      <c r="G611" s="10"/>
      <c r="H611" s="10"/>
      <c r="I611" s="10"/>
      <c r="J611" s="10"/>
      <c r="K611" s="10"/>
    </row>
    <row r="612" spans="1:11" s="9" customFormat="1" ht="13.2">
      <c r="A612" s="6"/>
      <c r="B612" s="6"/>
      <c r="C612" s="6"/>
      <c r="D612" s="6"/>
      <c r="E612" s="6"/>
      <c r="F612" s="8"/>
      <c r="G612" s="8"/>
      <c r="H612" s="8"/>
      <c r="I612" s="8"/>
      <c r="J612" s="8"/>
      <c r="K612" s="8"/>
    </row>
    <row r="613" spans="1:11" s="9" customFormat="1" ht="13.2">
      <c r="A613" s="6"/>
      <c r="B613" s="6"/>
      <c r="C613" s="6"/>
      <c r="D613" s="6"/>
      <c r="E613" s="6"/>
      <c r="F613" s="8"/>
      <c r="G613" s="8"/>
      <c r="H613" s="8"/>
      <c r="I613" s="8"/>
      <c r="J613" s="8"/>
      <c r="K613" s="8"/>
    </row>
    <row r="614" spans="1:11" s="9" customFormat="1" ht="13.2">
      <c r="A614" s="6"/>
      <c r="B614" s="6"/>
      <c r="C614" s="6"/>
      <c r="D614" s="6"/>
      <c r="E614" s="6"/>
      <c r="F614" s="10"/>
      <c r="G614" s="10"/>
      <c r="H614" s="10"/>
      <c r="I614" s="10"/>
      <c r="J614" s="10"/>
      <c r="K614" s="10"/>
    </row>
    <row r="615" spans="1:11" s="9" customFormat="1" ht="13.2">
      <c r="A615" s="6"/>
      <c r="B615" s="6"/>
      <c r="C615" s="6"/>
      <c r="D615" s="6"/>
      <c r="E615" s="6"/>
      <c r="F615" s="10"/>
      <c r="G615" s="10"/>
      <c r="H615" s="10"/>
      <c r="I615" s="10"/>
      <c r="J615" s="10"/>
      <c r="K615" s="10"/>
    </row>
    <row r="616" spans="1:11" s="9" customFormat="1" ht="13.2">
      <c r="A616" s="6"/>
      <c r="B616" s="6"/>
      <c r="C616" s="6"/>
      <c r="D616" s="6"/>
      <c r="E616" s="6"/>
      <c r="F616" s="10"/>
      <c r="G616" s="10"/>
      <c r="H616" s="10"/>
      <c r="I616" s="10"/>
      <c r="J616" s="10"/>
      <c r="K616" s="10"/>
    </row>
    <row r="617" spans="1:11" s="9" customFormat="1" ht="13.2">
      <c r="A617" s="6"/>
      <c r="B617" s="6"/>
      <c r="C617" s="6"/>
      <c r="D617" s="6"/>
      <c r="E617" s="6"/>
      <c r="F617" s="8"/>
      <c r="G617" s="8"/>
      <c r="H617" s="8"/>
      <c r="I617" s="8"/>
      <c r="J617" s="8"/>
      <c r="K617" s="8"/>
    </row>
    <row r="618" spans="1:11" s="9" customFormat="1" ht="13.2">
      <c r="A618" s="6"/>
      <c r="B618" s="6"/>
      <c r="C618" s="6"/>
      <c r="D618" s="6"/>
      <c r="E618" s="6"/>
      <c r="F618" s="8"/>
      <c r="G618" s="8"/>
      <c r="H618" s="8"/>
      <c r="I618" s="8"/>
      <c r="J618" s="8"/>
      <c r="K618" s="8"/>
    </row>
    <row r="619" spans="1:11" s="9" customFormat="1" ht="13.2">
      <c r="A619" s="6"/>
      <c r="B619" s="6"/>
      <c r="C619" s="6"/>
      <c r="D619" s="6"/>
      <c r="E619" s="6"/>
      <c r="F619" s="8"/>
      <c r="G619" s="8"/>
      <c r="H619" s="8"/>
      <c r="I619" s="8"/>
      <c r="J619" s="8"/>
      <c r="K619" s="8"/>
    </row>
    <row r="620" spans="1:11" s="9" customFormat="1" ht="13.2">
      <c r="A620" s="6"/>
      <c r="B620" s="6"/>
      <c r="C620" s="6"/>
      <c r="D620" s="6"/>
      <c r="E620" s="6"/>
      <c r="F620" s="12"/>
      <c r="G620" s="12"/>
      <c r="H620" s="12"/>
      <c r="I620" s="12"/>
      <c r="J620" s="12"/>
      <c r="K620" s="12"/>
    </row>
    <row r="621" spans="1:11" s="9" customFormat="1" ht="13.2">
      <c r="A621" s="6"/>
      <c r="B621" s="6"/>
      <c r="C621" s="6"/>
      <c r="D621" s="6"/>
      <c r="E621" s="6"/>
      <c r="F621" s="12"/>
      <c r="G621" s="12"/>
      <c r="H621" s="12"/>
      <c r="I621" s="12"/>
      <c r="J621" s="12"/>
      <c r="K621" s="12"/>
    </row>
    <row r="622" spans="1:11" s="9" customFormat="1" ht="13.2">
      <c r="A622" s="6"/>
      <c r="B622" s="6"/>
      <c r="C622" s="6"/>
      <c r="D622" s="6"/>
      <c r="E622" s="6"/>
      <c r="F622" s="12"/>
      <c r="G622" s="12"/>
      <c r="H622" s="12"/>
      <c r="I622" s="12"/>
      <c r="J622" s="12"/>
      <c r="K622" s="12"/>
    </row>
    <row r="623" spans="1:11" s="9" customFormat="1" ht="13.2">
      <c r="A623" s="6"/>
      <c r="B623" s="6"/>
      <c r="C623" s="6"/>
      <c r="D623" s="6"/>
      <c r="E623" s="6"/>
      <c r="F623" s="12"/>
      <c r="G623" s="12"/>
      <c r="H623" s="12"/>
      <c r="I623" s="12"/>
      <c r="J623" s="12"/>
      <c r="K623" s="12"/>
    </row>
    <row r="624" spans="1:11" s="9" customFormat="1" ht="13.2">
      <c r="A624" s="6"/>
      <c r="B624" s="6"/>
      <c r="C624" s="6"/>
      <c r="D624" s="6"/>
      <c r="E624" s="6"/>
      <c r="F624" s="12"/>
      <c r="G624" s="12"/>
      <c r="H624" s="12"/>
      <c r="I624" s="12"/>
      <c r="J624" s="12"/>
      <c r="K624" s="12"/>
    </row>
    <row r="625" spans="1:13" s="9" customFormat="1" ht="13.2">
      <c r="A625" s="6"/>
      <c r="B625" s="6"/>
      <c r="C625" s="6"/>
      <c r="D625" s="6"/>
      <c r="E625" s="6"/>
      <c r="F625" s="12"/>
      <c r="G625" s="12"/>
      <c r="H625" s="12"/>
      <c r="I625" s="12"/>
      <c r="J625" s="12"/>
      <c r="K625" s="12"/>
    </row>
    <row r="626" spans="1:13" s="9" customFormat="1" ht="13.2">
      <c r="A626" s="6"/>
      <c r="B626" s="6"/>
      <c r="C626" s="6"/>
      <c r="D626" s="6"/>
      <c r="E626" s="6"/>
      <c r="F626" s="12"/>
      <c r="G626" s="12"/>
      <c r="H626" s="12"/>
      <c r="I626" s="12"/>
      <c r="J626" s="12"/>
      <c r="K626" s="12"/>
    </row>
    <row r="627" spans="1:13" s="9" customForma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s="9" customForma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s="9" customForma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s="9" customForma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s="9" customForma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s="9" customForma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</sheetData>
  <mergeCells count="308">
    <mergeCell ref="B38:F38"/>
    <mergeCell ref="B39:F39"/>
    <mergeCell ref="B40:F40"/>
    <mergeCell ref="B41:F41"/>
    <mergeCell ref="B42:F42"/>
    <mergeCell ref="B43:F43"/>
    <mergeCell ref="B18:F18"/>
    <mergeCell ref="B22:F22"/>
    <mergeCell ref="B24:F24"/>
    <mergeCell ref="B25:F25"/>
    <mergeCell ref="B33:F33"/>
    <mergeCell ref="B34:F34"/>
    <mergeCell ref="B35:F35"/>
    <mergeCell ref="B36:F36"/>
    <mergeCell ref="B37:F37"/>
    <mergeCell ref="A161:B161"/>
    <mergeCell ref="D161:F161"/>
    <mergeCell ref="H161:J161"/>
    <mergeCell ref="L161:M161"/>
    <mergeCell ref="A162:B162"/>
    <mergeCell ref="D162:F162"/>
    <mergeCell ref="H162:J162"/>
    <mergeCell ref="J155:L155"/>
    <mergeCell ref="B156:C157"/>
    <mergeCell ref="D156:E157"/>
    <mergeCell ref="F156:G157"/>
    <mergeCell ref="H156:I157"/>
    <mergeCell ref="J156:L157"/>
    <mergeCell ref="A151:F151"/>
    <mergeCell ref="H151:I151"/>
    <mergeCell ref="B155:C155"/>
    <mergeCell ref="D155:E155"/>
    <mergeCell ref="F155:G155"/>
    <mergeCell ref="H155:I155"/>
    <mergeCell ref="A148:F148"/>
    <mergeCell ref="H148:I148"/>
    <mergeCell ref="A149:F149"/>
    <mergeCell ref="H149:I149"/>
    <mergeCell ref="A150:F150"/>
    <mergeCell ref="H150:I150"/>
    <mergeCell ref="A145:F145"/>
    <mergeCell ref="H145:I145"/>
    <mergeCell ref="A146:F146"/>
    <mergeCell ref="H146:I146"/>
    <mergeCell ref="A147:F147"/>
    <mergeCell ref="H147:I147"/>
    <mergeCell ref="A142:F142"/>
    <mergeCell ref="H142:I142"/>
    <mergeCell ref="A143:F143"/>
    <mergeCell ref="H143:I143"/>
    <mergeCell ref="A144:F144"/>
    <mergeCell ref="H144:I144"/>
    <mergeCell ref="A139:F139"/>
    <mergeCell ref="H139:M139"/>
    <mergeCell ref="H140:J140"/>
    <mergeCell ref="L140:M140"/>
    <mergeCell ref="A141:F141"/>
    <mergeCell ref="H141:I141"/>
    <mergeCell ref="A136:F136"/>
    <mergeCell ref="H136:M136"/>
    <mergeCell ref="A137:F137"/>
    <mergeCell ref="H137:M137"/>
    <mergeCell ref="A138:F138"/>
    <mergeCell ref="H138:M138"/>
    <mergeCell ref="A133:F133"/>
    <mergeCell ref="H133:M133"/>
    <mergeCell ref="A134:F134"/>
    <mergeCell ref="H134:M134"/>
    <mergeCell ref="A135:F135"/>
    <mergeCell ref="H135:M135"/>
    <mergeCell ref="A130:F130"/>
    <mergeCell ref="H130:M130"/>
    <mergeCell ref="A131:F131"/>
    <mergeCell ref="H131:M131"/>
    <mergeCell ref="A132:F132"/>
    <mergeCell ref="H132:M132"/>
    <mergeCell ref="B126:F126"/>
    <mergeCell ref="G126:H126"/>
    <mergeCell ref="B127:F127"/>
    <mergeCell ref="G127:I127"/>
    <mergeCell ref="A129:F129"/>
    <mergeCell ref="H129:M129"/>
    <mergeCell ref="B123:F123"/>
    <mergeCell ref="G123:H123"/>
    <mergeCell ref="B124:F124"/>
    <mergeCell ref="G124:H124"/>
    <mergeCell ref="B125:F125"/>
    <mergeCell ref="G125:H125"/>
    <mergeCell ref="B118:F118"/>
    <mergeCell ref="G118:I118"/>
    <mergeCell ref="B119:F119"/>
    <mergeCell ref="G119:I119"/>
    <mergeCell ref="B120:F120"/>
    <mergeCell ref="B122:F122"/>
    <mergeCell ref="G122:H122"/>
    <mergeCell ref="B115:F115"/>
    <mergeCell ref="G115:I115"/>
    <mergeCell ref="B116:F116"/>
    <mergeCell ref="G116:I116"/>
    <mergeCell ref="B117:F117"/>
    <mergeCell ref="G117:I117"/>
    <mergeCell ref="B112:F112"/>
    <mergeCell ref="G112:I112"/>
    <mergeCell ref="B113:F113"/>
    <mergeCell ref="G113:I113"/>
    <mergeCell ref="B114:F114"/>
    <mergeCell ref="G114:I114"/>
    <mergeCell ref="B109:F109"/>
    <mergeCell ref="G109:I109"/>
    <mergeCell ref="B110:F110"/>
    <mergeCell ref="G110:I110"/>
    <mergeCell ref="B111:F111"/>
    <mergeCell ref="G111:I111"/>
    <mergeCell ref="B106:F106"/>
    <mergeCell ref="G106:I106"/>
    <mergeCell ref="B107:F107"/>
    <mergeCell ref="G107:I107"/>
    <mergeCell ref="B108:F108"/>
    <mergeCell ref="G108:I108"/>
    <mergeCell ref="B103:F103"/>
    <mergeCell ref="G103:I103"/>
    <mergeCell ref="B104:F104"/>
    <mergeCell ref="G104:I104"/>
    <mergeCell ref="B105:F105"/>
    <mergeCell ref="G105:I105"/>
    <mergeCell ref="B100:F100"/>
    <mergeCell ref="G100:I100"/>
    <mergeCell ref="B101:F101"/>
    <mergeCell ref="G101:I101"/>
    <mergeCell ref="B102:F102"/>
    <mergeCell ref="G102:I102"/>
    <mergeCell ref="B95:H95"/>
    <mergeCell ref="L95:M95"/>
    <mergeCell ref="L97:M97"/>
    <mergeCell ref="A98:A99"/>
    <mergeCell ref="B98:F99"/>
    <mergeCell ref="G98:I99"/>
    <mergeCell ref="J98:L98"/>
    <mergeCell ref="M98:M99"/>
    <mergeCell ref="B92:H92"/>
    <mergeCell ref="L92:M92"/>
    <mergeCell ref="B93:H93"/>
    <mergeCell ref="L93:M93"/>
    <mergeCell ref="B94:H94"/>
    <mergeCell ref="L94:M94"/>
    <mergeCell ref="A85:B85"/>
    <mergeCell ref="D85:F85"/>
    <mergeCell ref="H85:J85"/>
    <mergeCell ref="L85:M85"/>
    <mergeCell ref="A86:B86"/>
    <mergeCell ref="D86:F86"/>
    <mergeCell ref="H86:J86"/>
    <mergeCell ref="B79:C79"/>
    <mergeCell ref="D79:E79"/>
    <mergeCell ref="F79:G79"/>
    <mergeCell ref="H79:I79"/>
    <mergeCell ref="J79:L79"/>
    <mergeCell ref="B80:C81"/>
    <mergeCell ref="D80:E81"/>
    <mergeCell ref="F80:G81"/>
    <mergeCell ref="H80:I81"/>
    <mergeCell ref="J80:L81"/>
    <mergeCell ref="L86:M86"/>
    <mergeCell ref="A74:F74"/>
    <mergeCell ref="H74:I74"/>
    <mergeCell ref="J74:K74"/>
    <mergeCell ref="A75:F75"/>
    <mergeCell ref="H75:I75"/>
    <mergeCell ref="J75:K75"/>
    <mergeCell ref="A72:F72"/>
    <mergeCell ref="H72:I72"/>
    <mergeCell ref="J72:K72"/>
    <mergeCell ref="A73:F73"/>
    <mergeCell ref="H73:I73"/>
    <mergeCell ref="J73:K73"/>
    <mergeCell ref="A70:F70"/>
    <mergeCell ref="H70:I70"/>
    <mergeCell ref="J70:K70"/>
    <mergeCell ref="A71:F71"/>
    <mergeCell ref="H71:I71"/>
    <mergeCell ref="J71:K71"/>
    <mergeCell ref="H67:I67"/>
    <mergeCell ref="J67:K67"/>
    <mergeCell ref="A68:F68"/>
    <mergeCell ref="H68:I68"/>
    <mergeCell ref="J68:K68"/>
    <mergeCell ref="A69:F69"/>
    <mergeCell ref="H69:I69"/>
    <mergeCell ref="J69:K69"/>
    <mergeCell ref="H64:K64"/>
    <mergeCell ref="L64:M64"/>
    <mergeCell ref="A65:F65"/>
    <mergeCell ref="H65:I65"/>
    <mergeCell ref="J65:K65"/>
    <mergeCell ref="A66:F66"/>
    <mergeCell ref="H66:I66"/>
    <mergeCell ref="J66:K66"/>
    <mergeCell ref="A61:F61"/>
    <mergeCell ref="H61:M61"/>
    <mergeCell ref="A62:F62"/>
    <mergeCell ref="H62:M62"/>
    <mergeCell ref="A63:F63"/>
    <mergeCell ref="H63:M63"/>
    <mergeCell ref="A58:F58"/>
    <mergeCell ref="H58:M58"/>
    <mergeCell ref="A59:F59"/>
    <mergeCell ref="H59:M59"/>
    <mergeCell ref="A60:F60"/>
    <mergeCell ref="H60:M60"/>
    <mergeCell ref="A55:F55"/>
    <mergeCell ref="H55:M55"/>
    <mergeCell ref="A56:F56"/>
    <mergeCell ref="H56:M56"/>
    <mergeCell ref="A57:F57"/>
    <mergeCell ref="H57:M57"/>
    <mergeCell ref="B51:F51"/>
    <mergeCell ref="G51:I51"/>
    <mergeCell ref="A53:F53"/>
    <mergeCell ref="H53:M53"/>
    <mergeCell ref="A54:F54"/>
    <mergeCell ref="H54:M54"/>
    <mergeCell ref="B49:F49"/>
    <mergeCell ref="G49:H49"/>
    <mergeCell ref="J49:K49"/>
    <mergeCell ref="B50:F50"/>
    <mergeCell ref="G50:H50"/>
    <mergeCell ref="J50:K50"/>
    <mergeCell ref="B47:F47"/>
    <mergeCell ref="G47:H47"/>
    <mergeCell ref="J47:K47"/>
    <mergeCell ref="B48:F48"/>
    <mergeCell ref="G48:H48"/>
    <mergeCell ref="J48:K48"/>
    <mergeCell ref="G43:I43"/>
    <mergeCell ref="J43:K43"/>
    <mergeCell ref="B44:F44"/>
    <mergeCell ref="B46:F46"/>
    <mergeCell ref="G46:H46"/>
    <mergeCell ref="J46:K46"/>
    <mergeCell ref="G34:I34"/>
    <mergeCell ref="J34:K34"/>
    <mergeCell ref="G36:I36"/>
    <mergeCell ref="J36:K36"/>
    <mergeCell ref="J41:K41"/>
    <mergeCell ref="J42:K42"/>
    <mergeCell ref="G31:I31"/>
    <mergeCell ref="J31:K31"/>
    <mergeCell ref="G32:I32"/>
    <mergeCell ref="J32:K32"/>
    <mergeCell ref="G33:I33"/>
    <mergeCell ref="J33:K33"/>
    <mergeCell ref="G27:I27"/>
    <mergeCell ref="J27:K27"/>
    <mergeCell ref="G28:I28"/>
    <mergeCell ref="J28:K28"/>
    <mergeCell ref="B28:F28"/>
    <mergeCell ref="G24:I24"/>
    <mergeCell ref="J24:K24"/>
    <mergeCell ref="G25:I25"/>
    <mergeCell ref="J25:K25"/>
    <mergeCell ref="G26:I26"/>
    <mergeCell ref="J26:K26"/>
    <mergeCell ref="G21:I21"/>
    <mergeCell ref="J21:K21"/>
    <mergeCell ref="G22:I22"/>
    <mergeCell ref="J22:K22"/>
    <mergeCell ref="G23:I23"/>
    <mergeCell ref="J23:K23"/>
    <mergeCell ref="G18:I18"/>
    <mergeCell ref="J18:K18"/>
    <mergeCell ref="G19:I19"/>
    <mergeCell ref="J19:K19"/>
    <mergeCell ref="G20:I20"/>
    <mergeCell ref="J20:K20"/>
    <mergeCell ref="G17:I17"/>
    <mergeCell ref="J17:K17"/>
    <mergeCell ref="G11:I11"/>
    <mergeCell ref="B12:F12"/>
    <mergeCell ref="G12:I12"/>
    <mergeCell ref="G13:I13"/>
    <mergeCell ref="J13:K13"/>
    <mergeCell ref="G14:I14"/>
    <mergeCell ref="J14:K14"/>
    <mergeCell ref="B17:F17"/>
    <mergeCell ref="A29:A30"/>
    <mergeCell ref="G29:I30"/>
    <mergeCell ref="J29:K30"/>
    <mergeCell ref="L29:L30"/>
    <mergeCell ref="M29:M30"/>
    <mergeCell ref="B3:H3"/>
    <mergeCell ref="L3:M3"/>
    <mergeCell ref="L4:M4"/>
    <mergeCell ref="L5:M5"/>
    <mergeCell ref="B4:H5"/>
    <mergeCell ref="B29:F30"/>
    <mergeCell ref="B6:H6"/>
    <mergeCell ref="L6:M6"/>
    <mergeCell ref="L8:M8"/>
    <mergeCell ref="A9:A10"/>
    <mergeCell ref="B9:F10"/>
    <mergeCell ref="G9:I10"/>
    <mergeCell ref="J9:L9"/>
    <mergeCell ref="M9:M10"/>
    <mergeCell ref="J10:K10"/>
    <mergeCell ref="G15:I15"/>
    <mergeCell ref="J15:K15"/>
    <mergeCell ref="G16:I16"/>
    <mergeCell ref="J16:K16"/>
  </mergeCells>
  <printOptions horizontalCentered="1"/>
  <pageMargins left="0.31496062992126" right="0.31496062992126" top="0.35433070866141703" bottom="0.35433070866141703" header="0.31496062992126" footer="0.31496062992126"/>
  <pageSetup paperSize="151" scale="52" orientation="portrait" r:id="rId1"/>
  <rowBreaks count="1" manualBreakCount="1">
    <brk id="86" max="11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7F64-5C4F-44FA-AE86-08183E2FF34F}">
  <sheetPr>
    <tabColor rgb="FFFFC000"/>
    <pageSetUpPr fitToPage="1"/>
  </sheetPr>
  <dimension ref="A1:O631"/>
  <sheetViews>
    <sheetView view="pageBreakPreview" zoomScale="91" zoomScaleNormal="55" zoomScaleSheetLayoutView="91" zoomScalePageLayoutView="25" workbookViewId="0">
      <selection activeCell="P47" sqref="A1:XFD1048576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6.7773437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324" t="s">
        <v>334</v>
      </c>
      <c r="C4" s="324"/>
      <c r="D4" s="324"/>
      <c r="E4" s="324"/>
      <c r="F4" s="324"/>
      <c r="G4" s="324"/>
      <c r="H4" s="324"/>
      <c r="J4" s="22"/>
      <c r="K4" s="22"/>
      <c r="L4" s="555"/>
      <c r="M4" s="555"/>
    </row>
    <row r="5" spans="1:13" s="16" customFormat="1" ht="16.5" customHeight="1">
      <c r="A5" s="69"/>
      <c r="B5" s="324" t="s">
        <v>335</v>
      </c>
      <c r="C5" s="324"/>
      <c r="D5" s="324"/>
      <c r="E5" s="324"/>
      <c r="F5" s="324"/>
      <c r="G5" s="324"/>
      <c r="H5" s="324"/>
      <c r="I5" s="21" t="s">
        <v>5</v>
      </c>
      <c r="J5" s="22"/>
      <c r="K5" s="22"/>
      <c r="L5" s="557" t="s">
        <v>337</v>
      </c>
      <c r="M5" s="557"/>
    </row>
    <row r="6" spans="1:13" s="16" customFormat="1" ht="16.5" customHeight="1">
      <c r="A6" s="22" t="s">
        <v>10</v>
      </c>
      <c r="B6" s="556" t="s">
        <v>336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62"/>
      <c r="M7" s="62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5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84"/>
    </row>
    <row r="11" spans="1:13" s="2" customFormat="1" ht="16.5" customHeight="1">
      <c r="A11" s="402" t="s">
        <v>274</v>
      </c>
      <c r="B11" s="357" t="s">
        <v>103</v>
      </c>
      <c r="C11" s="392"/>
      <c r="D11" s="392"/>
      <c r="E11" s="392"/>
      <c r="F11" s="366"/>
      <c r="G11" s="733"/>
      <c r="H11" s="740"/>
      <c r="I11" s="734"/>
      <c r="J11" s="365"/>
      <c r="K11" s="366"/>
      <c r="L11" s="20"/>
      <c r="M11" s="401"/>
    </row>
    <row r="12" spans="1:13" s="2" customFormat="1" ht="19.8" customHeight="1">
      <c r="A12" s="440" t="s">
        <v>104</v>
      </c>
      <c r="B12" s="781" t="s">
        <v>262</v>
      </c>
      <c r="C12" s="782"/>
      <c r="D12" s="782"/>
      <c r="E12" s="782"/>
      <c r="F12" s="783"/>
      <c r="G12" s="733"/>
      <c r="H12" s="740"/>
      <c r="I12" s="734"/>
      <c r="J12" s="365"/>
      <c r="K12" s="366"/>
      <c r="L12" s="20"/>
      <c r="M12" s="397" t="s">
        <v>369</v>
      </c>
    </row>
    <row r="13" spans="1:13" s="326" customFormat="1" ht="16.5" customHeight="1">
      <c r="A13" s="395" t="s">
        <v>107</v>
      </c>
      <c r="B13" s="327" t="s">
        <v>351</v>
      </c>
      <c r="C13" s="328"/>
      <c r="D13" s="328"/>
      <c r="E13" s="328"/>
      <c r="F13" s="329"/>
      <c r="G13" s="735"/>
      <c r="H13" s="735"/>
      <c r="I13" s="735"/>
      <c r="J13" s="738"/>
      <c r="K13" s="739"/>
      <c r="L13" s="358"/>
      <c r="M13" s="398" t="s">
        <v>263</v>
      </c>
    </row>
    <row r="14" spans="1:13" s="18" customFormat="1" ht="16.5" customHeight="1">
      <c r="A14" s="332" t="s">
        <v>111</v>
      </c>
      <c r="B14" s="327" t="s">
        <v>112</v>
      </c>
      <c r="C14" s="328"/>
      <c r="D14" s="328"/>
      <c r="E14" s="328"/>
      <c r="F14" s="329"/>
      <c r="G14" s="735"/>
      <c r="H14" s="735"/>
      <c r="I14" s="735"/>
      <c r="J14" s="736"/>
      <c r="K14" s="737"/>
      <c r="L14" s="361"/>
      <c r="M14" s="398" t="s">
        <v>333</v>
      </c>
    </row>
    <row r="15" spans="1:13" s="326" customFormat="1" ht="16.5" customHeight="1">
      <c r="A15" s="441" t="s">
        <v>276</v>
      </c>
      <c r="B15" s="357" t="s">
        <v>352</v>
      </c>
      <c r="C15" s="328"/>
      <c r="D15" s="328"/>
      <c r="E15" s="328"/>
      <c r="F15" s="329"/>
      <c r="G15" s="735"/>
      <c r="H15" s="735"/>
      <c r="I15" s="735"/>
      <c r="J15" s="736"/>
      <c r="K15" s="737"/>
      <c r="L15" s="361"/>
      <c r="M15" s="398"/>
    </row>
    <row r="16" spans="1:13" s="18" customFormat="1" ht="16.2" customHeight="1">
      <c r="A16" s="332">
        <v>803</v>
      </c>
      <c r="B16" s="327" t="s">
        <v>139</v>
      </c>
      <c r="C16" s="328"/>
      <c r="D16" s="328"/>
      <c r="E16" s="328"/>
      <c r="F16" s="329"/>
      <c r="G16" s="735"/>
      <c r="H16" s="735"/>
      <c r="I16" s="735"/>
      <c r="J16" s="736"/>
      <c r="K16" s="737"/>
      <c r="L16" s="361"/>
      <c r="M16" s="398" t="s">
        <v>265</v>
      </c>
    </row>
    <row r="17" spans="1:13" s="326" customFormat="1" ht="16.5" customHeight="1">
      <c r="A17" s="395" t="s">
        <v>338</v>
      </c>
      <c r="B17" s="744" t="s">
        <v>118</v>
      </c>
      <c r="C17" s="745"/>
      <c r="D17" s="745"/>
      <c r="E17" s="745"/>
      <c r="F17" s="746"/>
      <c r="G17" s="735"/>
      <c r="H17" s="735"/>
      <c r="I17" s="735"/>
      <c r="J17" s="738"/>
      <c r="K17" s="739"/>
      <c r="L17" s="357"/>
      <c r="M17" s="398" t="s">
        <v>265</v>
      </c>
    </row>
    <row r="18" spans="1:13" s="18" customFormat="1" ht="16.5" customHeight="1">
      <c r="A18" s="345" t="s">
        <v>339</v>
      </c>
      <c r="B18" s="330" t="s">
        <v>353</v>
      </c>
      <c r="C18" s="344"/>
      <c r="D18" s="343"/>
      <c r="E18" s="343"/>
      <c r="F18" s="344"/>
      <c r="G18" s="735"/>
      <c r="H18" s="735"/>
      <c r="I18" s="735"/>
      <c r="J18" s="747"/>
      <c r="K18" s="748"/>
      <c r="L18" s="361"/>
      <c r="M18" s="398" t="s">
        <v>265</v>
      </c>
    </row>
    <row r="19" spans="1:13" s="326" customFormat="1" ht="16.5" customHeight="1">
      <c r="A19" s="345" t="s">
        <v>340</v>
      </c>
      <c r="B19" s="330" t="s">
        <v>354</v>
      </c>
      <c r="C19" s="344"/>
      <c r="D19" s="343"/>
      <c r="E19" s="343"/>
      <c r="F19" s="344"/>
      <c r="G19" s="735"/>
      <c r="H19" s="735"/>
      <c r="I19" s="735"/>
      <c r="J19" s="747"/>
      <c r="K19" s="748"/>
      <c r="L19" s="361"/>
      <c r="M19" s="398" t="s">
        <v>265</v>
      </c>
    </row>
    <row r="20" spans="1:13" s="326" customFormat="1" ht="16.5" customHeight="1">
      <c r="A20" s="332" t="s">
        <v>344</v>
      </c>
      <c r="B20" s="330" t="s">
        <v>355</v>
      </c>
      <c r="C20" s="329"/>
      <c r="D20" s="343"/>
      <c r="E20" s="343"/>
      <c r="F20" s="344"/>
      <c r="G20" s="735"/>
      <c r="H20" s="735"/>
      <c r="I20" s="735"/>
      <c r="J20" s="747"/>
      <c r="K20" s="748"/>
      <c r="L20" s="361"/>
      <c r="M20" s="398" t="s">
        <v>265</v>
      </c>
    </row>
    <row r="21" spans="1:13" s="18" customFormat="1" ht="16.5" customHeight="1">
      <c r="A21" s="332" t="s">
        <v>341</v>
      </c>
      <c r="B21" s="330" t="s">
        <v>356</v>
      </c>
      <c r="C21" s="329"/>
      <c r="D21" s="343"/>
      <c r="E21" s="343"/>
      <c r="F21" s="344"/>
      <c r="G21" s="735"/>
      <c r="H21" s="735"/>
      <c r="I21" s="735"/>
      <c r="J21" s="747"/>
      <c r="K21" s="748"/>
      <c r="L21" s="361"/>
      <c r="M21" s="398" t="s">
        <v>265</v>
      </c>
    </row>
    <row r="22" spans="1:13" s="326" customFormat="1" ht="16.5" customHeight="1">
      <c r="A22" s="332" t="s">
        <v>342</v>
      </c>
      <c r="B22" s="330" t="s">
        <v>357</v>
      </c>
      <c r="C22" s="329"/>
      <c r="D22" s="343"/>
      <c r="E22" s="343"/>
      <c r="F22" s="344"/>
      <c r="G22" s="735"/>
      <c r="H22" s="735"/>
      <c r="I22" s="735"/>
      <c r="J22" s="747"/>
      <c r="K22" s="748"/>
      <c r="L22" s="361"/>
      <c r="M22" s="398" t="s">
        <v>265</v>
      </c>
    </row>
    <row r="23" spans="1:13" s="18" customFormat="1" ht="16.5" customHeight="1">
      <c r="A23" s="332" t="s">
        <v>343</v>
      </c>
      <c r="B23" s="330" t="s">
        <v>358</v>
      </c>
      <c r="C23" s="329"/>
      <c r="D23" s="343"/>
      <c r="E23" s="343"/>
      <c r="F23" s="344"/>
      <c r="G23" s="735"/>
      <c r="H23" s="735"/>
      <c r="I23" s="735"/>
      <c r="J23" s="747"/>
      <c r="K23" s="748"/>
      <c r="L23" s="361"/>
      <c r="M23" s="398" t="s">
        <v>265</v>
      </c>
    </row>
    <row r="24" spans="1:13" s="326" customFormat="1" ht="16.5" customHeight="1">
      <c r="A24" s="395">
        <v>903</v>
      </c>
      <c r="B24" s="432" t="s">
        <v>319</v>
      </c>
      <c r="C24" s="394"/>
      <c r="D24" s="343"/>
      <c r="E24" s="343"/>
      <c r="F24" s="344"/>
      <c r="G24" s="735"/>
      <c r="H24" s="735"/>
      <c r="I24" s="735"/>
      <c r="J24" s="747"/>
      <c r="K24" s="748"/>
      <c r="L24" s="333"/>
      <c r="M24" s="398" t="s">
        <v>370</v>
      </c>
    </row>
    <row r="25" spans="1:13" s="18" customFormat="1" ht="16.5" customHeight="1">
      <c r="A25" s="332">
        <v>1046</v>
      </c>
      <c r="B25" s="686" t="s">
        <v>320</v>
      </c>
      <c r="C25" s="687"/>
      <c r="D25" s="687"/>
      <c r="E25" s="687"/>
      <c r="F25" s="688"/>
      <c r="G25" s="735"/>
      <c r="H25" s="735"/>
      <c r="I25" s="735"/>
      <c r="J25" s="747"/>
      <c r="K25" s="748"/>
      <c r="L25" s="333"/>
      <c r="M25" s="398" t="s">
        <v>331</v>
      </c>
    </row>
    <row r="26" spans="1:13" s="326" customFormat="1" ht="16.5" customHeight="1">
      <c r="A26" s="395" t="s">
        <v>345</v>
      </c>
      <c r="B26" s="432" t="s">
        <v>359</v>
      </c>
      <c r="C26" s="394"/>
      <c r="D26" s="343"/>
      <c r="E26" s="343"/>
      <c r="F26" s="344"/>
      <c r="G26" s="735"/>
      <c r="H26" s="735"/>
      <c r="I26" s="735"/>
      <c r="J26" s="747"/>
      <c r="K26" s="748"/>
      <c r="L26" s="333"/>
      <c r="M26" s="398" t="s">
        <v>331</v>
      </c>
    </row>
    <row r="27" spans="1:13" s="18" customFormat="1" ht="16.5" customHeight="1">
      <c r="A27" s="332">
        <v>1014</v>
      </c>
      <c r="B27" s="785" t="s">
        <v>324</v>
      </c>
      <c r="C27" s="786"/>
      <c r="D27" s="786"/>
      <c r="E27" s="786"/>
      <c r="F27" s="787"/>
      <c r="G27" s="735"/>
      <c r="H27" s="735"/>
      <c r="I27" s="735"/>
      <c r="J27" s="747"/>
      <c r="K27" s="748"/>
      <c r="L27" s="333"/>
      <c r="M27" s="398" t="s">
        <v>331</v>
      </c>
    </row>
    <row r="28" spans="1:13" s="326" customFormat="1" ht="16.5" customHeight="1">
      <c r="A28" s="395">
        <v>1016</v>
      </c>
      <c r="B28" s="775" t="s">
        <v>360</v>
      </c>
      <c r="C28" s="776"/>
      <c r="D28" s="776"/>
      <c r="E28" s="776"/>
      <c r="F28" s="777"/>
      <c r="G28" s="735"/>
      <c r="H28" s="735"/>
      <c r="I28" s="735"/>
      <c r="J28" s="747"/>
      <c r="K28" s="748"/>
      <c r="L28" s="333"/>
      <c r="M28" s="398" t="s">
        <v>331</v>
      </c>
    </row>
    <row r="29" spans="1:13" s="18" customFormat="1" ht="16.5" customHeight="1">
      <c r="A29" s="395" t="s">
        <v>346</v>
      </c>
      <c r="B29" s="432" t="s">
        <v>361</v>
      </c>
      <c r="C29" s="394"/>
      <c r="D29" s="343"/>
      <c r="E29" s="343"/>
      <c r="F29" s="344"/>
      <c r="G29" s="735"/>
      <c r="H29" s="735"/>
      <c r="I29" s="735"/>
      <c r="J29" s="747"/>
      <c r="K29" s="748"/>
      <c r="L29" s="333"/>
      <c r="M29" s="398" t="s">
        <v>331</v>
      </c>
    </row>
    <row r="30" spans="1:13" s="326" customFormat="1" ht="16.5" customHeight="1">
      <c r="A30" s="332" t="s">
        <v>347</v>
      </c>
      <c r="B30" s="330" t="s">
        <v>362</v>
      </c>
      <c r="C30" s="329"/>
      <c r="D30" s="343"/>
      <c r="E30" s="343"/>
      <c r="F30" s="344"/>
      <c r="G30" s="735"/>
      <c r="H30" s="735"/>
      <c r="I30" s="735"/>
      <c r="J30" s="747"/>
      <c r="K30" s="748"/>
      <c r="L30" s="333"/>
      <c r="M30" s="398" t="s">
        <v>331</v>
      </c>
    </row>
    <row r="31" spans="1:13" s="326" customFormat="1" ht="16.5" customHeight="1">
      <c r="A31" s="332" t="s">
        <v>348</v>
      </c>
      <c r="B31" s="330" t="s">
        <v>363</v>
      </c>
      <c r="C31" s="329"/>
      <c r="D31" s="343"/>
      <c r="E31" s="343"/>
      <c r="F31" s="344"/>
      <c r="G31" s="752"/>
      <c r="H31" s="753"/>
      <c r="I31" s="754"/>
      <c r="J31" s="747"/>
      <c r="K31" s="748"/>
      <c r="L31" s="333"/>
      <c r="M31" s="398" t="s">
        <v>331</v>
      </c>
    </row>
    <row r="32" spans="1:13" s="326" customFormat="1" ht="16.5" customHeight="1">
      <c r="A32" s="332" t="s">
        <v>349</v>
      </c>
      <c r="B32" s="330" t="s">
        <v>364</v>
      </c>
      <c r="C32" s="329"/>
      <c r="D32" s="343"/>
      <c r="E32" s="343"/>
      <c r="F32" s="344"/>
      <c r="G32" s="752"/>
      <c r="H32" s="753"/>
      <c r="I32" s="754"/>
      <c r="J32" s="747"/>
      <c r="K32" s="748"/>
      <c r="L32" s="333"/>
      <c r="M32" s="398" t="s">
        <v>333</v>
      </c>
    </row>
    <row r="33" spans="1:15" s="326" customFormat="1" ht="16.5" customHeight="1">
      <c r="A33" s="395">
        <v>1008</v>
      </c>
      <c r="B33" s="432" t="s">
        <v>365</v>
      </c>
      <c r="C33" s="394"/>
      <c r="D33" s="343"/>
      <c r="E33" s="343"/>
      <c r="F33" s="344"/>
      <c r="G33" s="752"/>
      <c r="H33" s="753"/>
      <c r="I33" s="754"/>
      <c r="J33" s="747"/>
      <c r="K33" s="748"/>
      <c r="L33" s="333"/>
      <c r="M33" s="398" t="s">
        <v>331</v>
      </c>
    </row>
    <row r="34" spans="1:15" s="326" customFormat="1" ht="16.5" customHeight="1">
      <c r="A34" s="332" t="s">
        <v>350</v>
      </c>
      <c r="B34" s="686" t="s">
        <v>366</v>
      </c>
      <c r="C34" s="687"/>
      <c r="D34" s="687"/>
      <c r="E34" s="687"/>
      <c r="F34" s="688"/>
      <c r="G34" s="367"/>
      <c r="H34" s="368"/>
      <c r="I34" s="369"/>
      <c r="J34" s="363"/>
      <c r="K34" s="364"/>
      <c r="L34" s="333"/>
      <c r="M34" s="398" t="s">
        <v>331</v>
      </c>
    </row>
    <row r="35" spans="1:15" s="326" customFormat="1" ht="16.5" customHeight="1">
      <c r="A35" s="332">
        <v>1100</v>
      </c>
      <c r="B35" s="330" t="s">
        <v>325</v>
      </c>
      <c r="C35" s="329"/>
      <c r="D35" s="343"/>
      <c r="E35" s="343"/>
      <c r="F35" s="344"/>
      <c r="G35" s="752"/>
      <c r="H35" s="753"/>
      <c r="I35" s="754"/>
      <c r="J35" s="747"/>
      <c r="K35" s="748"/>
      <c r="L35" s="333"/>
      <c r="M35" s="398" t="s">
        <v>333</v>
      </c>
    </row>
    <row r="36" spans="1:15" s="326" customFormat="1" ht="16.5" customHeight="1">
      <c r="A36" s="395">
        <v>1101</v>
      </c>
      <c r="B36" s="432" t="s">
        <v>326</v>
      </c>
      <c r="C36" s="394"/>
      <c r="D36" s="343"/>
      <c r="E36" s="343"/>
      <c r="F36" s="344"/>
      <c r="G36" s="367"/>
      <c r="H36" s="368"/>
      <c r="I36" s="369"/>
      <c r="J36" s="363"/>
      <c r="K36" s="364"/>
      <c r="L36" s="333"/>
      <c r="M36" s="398" t="s">
        <v>333</v>
      </c>
    </row>
    <row r="37" spans="1:15" s="326" customFormat="1" ht="16.5" customHeight="1">
      <c r="A37" s="332">
        <v>1102</v>
      </c>
      <c r="B37" s="330" t="s">
        <v>367</v>
      </c>
      <c r="C37" s="329"/>
      <c r="D37" s="343"/>
      <c r="E37" s="343"/>
      <c r="F37" s="344"/>
      <c r="G37" s="367"/>
      <c r="H37" s="368"/>
      <c r="I37" s="369"/>
      <c r="J37" s="363"/>
      <c r="K37" s="364"/>
      <c r="L37" s="333"/>
      <c r="M37" s="398" t="s">
        <v>333</v>
      </c>
    </row>
    <row r="38" spans="1:15" s="326" customFormat="1" ht="16.5" customHeight="1">
      <c r="A38" s="332">
        <v>1103</v>
      </c>
      <c r="B38" s="330" t="s">
        <v>328</v>
      </c>
      <c r="C38" s="329"/>
      <c r="D38" s="343"/>
      <c r="E38" s="343"/>
      <c r="F38" s="344"/>
      <c r="G38" s="367"/>
      <c r="H38" s="368"/>
      <c r="I38" s="369"/>
      <c r="J38" s="363"/>
      <c r="K38" s="364"/>
      <c r="L38" s="333"/>
      <c r="M38" s="398" t="s">
        <v>333</v>
      </c>
    </row>
    <row r="39" spans="1:15" s="326" customFormat="1" ht="16.5" customHeight="1">
      <c r="A39" s="332">
        <v>1109</v>
      </c>
      <c r="B39" s="330" t="s">
        <v>329</v>
      </c>
      <c r="C39" s="329"/>
      <c r="D39" s="343"/>
      <c r="E39" s="343"/>
      <c r="F39" s="344"/>
      <c r="G39" s="367"/>
      <c r="H39" s="368"/>
      <c r="I39" s="369"/>
      <c r="J39" s="363"/>
      <c r="K39" s="364"/>
      <c r="L39" s="333"/>
      <c r="M39" s="398" t="s">
        <v>333</v>
      </c>
      <c r="O39" s="326" t="s">
        <v>525</v>
      </c>
    </row>
    <row r="40" spans="1:15" s="326" customFormat="1" ht="16.5" customHeight="1">
      <c r="A40" s="332">
        <v>1002</v>
      </c>
      <c r="B40" s="686" t="s">
        <v>368</v>
      </c>
      <c r="C40" s="687"/>
      <c r="D40" s="687"/>
      <c r="E40" s="687"/>
      <c r="F40" s="688"/>
      <c r="G40" s="367"/>
      <c r="H40" s="368"/>
      <c r="I40" s="369"/>
      <c r="J40" s="747"/>
      <c r="K40" s="748"/>
      <c r="L40" s="333"/>
      <c r="M40" s="398" t="s">
        <v>333</v>
      </c>
    </row>
    <row r="41" spans="1:15" s="326" customFormat="1" ht="16.5" customHeight="1">
      <c r="A41" s="395"/>
      <c r="B41" s="772"/>
      <c r="C41" s="773"/>
      <c r="D41" s="773"/>
      <c r="E41" s="773"/>
      <c r="F41" s="774"/>
      <c r="G41" s="367"/>
      <c r="H41" s="368"/>
      <c r="I41" s="369"/>
      <c r="J41" s="747"/>
      <c r="K41" s="748"/>
      <c r="L41" s="333"/>
      <c r="M41" s="398"/>
    </row>
    <row r="42" spans="1:15" s="18" customFormat="1" ht="16.5" customHeight="1" thickBot="1">
      <c r="A42" s="346"/>
      <c r="B42" s="347"/>
      <c r="C42" s="400"/>
      <c r="D42" s="348"/>
      <c r="E42" s="348"/>
      <c r="F42" s="349"/>
      <c r="G42" s="757"/>
      <c r="H42" s="757"/>
      <c r="I42" s="757"/>
      <c r="J42" s="758"/>
      <c r="K42" s="759"/>
      <c r="L42" s="350"/>
      <c r="M42" s="399"/>
    </row>
    <row r="43" spans="1:15" s="18" customFormat="1" ht="16.5" customHeight="1">
      <c r="A43" s="66"/>
      <c r="B43" s="566"/>
      <c r="C43" s="566"/>
      <c r="D43" s="566"/>
      <c r="E43" s="566"/>
      <c r="F43" s="566"/>
      <c r="G43" s="66"/>
      <c r="H43" s="41"/>
      <c r="I43" s="41"/>
      <c r="J43" s="42"/>
      <c r="K43" s="42"/>
      <c r="L43" s="43"/>
      <c r="M43" s="3"/>
    </row>
    <row r="44" spans="1:15" s="18" customFormat="1" ht="16.5" customHeight="1">
      <c r="A44" s="26" t="s">
        <v>23</v>
      </c>
      <c r="B44" s="67"/>
      <c r="C44" s="67"/>
      <c r="D44" s="67"/>
      <c r="E44" s="67"/>
      <c r="F44" s="17"/>
      <c r="G44" s="17"/>
      <c r="H44" s="17"/>
      <c r="I44" s="17"/>
      <c r="J44" s="17"/>
      <c r="K44" s="17"/>
      <c r="L44" s="3"/>
      <c r="M44" s="3"/>
    </row>
    <row r="45" spans="1:15" s="25" customFormat="1" ht="16.5" customHeight="1">
      <c r="A45" s="19" t="s">
        <v>13</v>
      </c>
      <c r="B45" s="567" t="s">
        <v>14</v>
      </c>
      <c r="C45" s="567"/>
      <c r="D45" s="567"/>
      <c r="E45" s="567"/>
      <c r="F45" s="567"/>
      <c r="G45" s="568" t="s">
        <v>24</v>
      </c>
      <c r="H45" s="568"/>
      <c r="I45" s="63" t="s">
        <v>17</v>
      </c>
      <c r="J45" s="733" t="s">
        <v>25</v>
      </c>
      <c r="K45" s="734"/>
      <c r="L45" s="60" t="s">
        <v>26</v>
      </c>
      <c r="M45" s="60" t="s">
        <v>27</v>
      </c>
    </row>
    <row r="46" spans="1:15" s="18" customFormat="1" ht="16.5" customHeight="1">
      <c r="A46" s="317"/>
      <c r="B46" s="563"/>
      <c r="C46" s="563"/>
      <c r="D46" s="563"/>
      <c r="E46" s="563"/>
      <c r="F46" s="563"/>
      <c r="G46" s="564"/>
      <c r="H46" s="564"/>
      <c r="I46" s="64"/>
      <c r="J46" s="755"/>
      <c r="K46" s="756"/>
      <c r="L46" s="55"/>
      <c r="M46" s="55"/>
    </row>
    <row r="47" spans="1:15" s="52" customFormat="1" ht="16.5" customHeight="1">
      <c r="A47" s="79"/>
      <c r="B47" s="563"/>
      <c r="C47" s="563"/>
      <c r="D47" s="563"/>
      <c r="E47" s="563"/>
      <c r="F47" s="563"/>
      <c r="G47" s="564"/>
      <c r="H47" s="564"/>
      <c r="I47" s="64"/>
      <c r="J47" s="755"/>
      <c r="K47" s="756"/>
      <c r="L47" s="55"/>
      <c r="M47" s="55"/>
    </row>
    <row r="48" spans="1:15" s="52" customFormat="1" ht="16.5" customHeight="1">
      <c r="A48" s="79"/>
      <c r="B48" s="563"/>
      <c r="C48" s="563"/>
      <c r="D48" s="563"/>
      <c r="E48" s="563"/>
      <c r="F48" s="563"/>
      <c r="G48" s="564"/>
      <c r="H48" s="564"/>
      <c r="I48" s="64"/>
      <c r="J48" s="755"/>
      <c r="K48" s="756"/>
      <c r="L48" s="55"/>
      <c r="M48" s="55"/>
    </row>
    <row r="49" spans="1:13" s="52" customFormat="1" ht="16.5" customHeight="1">
      <c r="A49" s="79"/>
      <c r="B49" s="563"/>
      <c r="C49" s="563"/>
      <c r="D49" s="563"/>
      <c r="E49" s="563"/>
      <c r="F49" s="563"/>
      <c r="G49" s="564"/>
      <c r="H49" s="564"/>
      <c r="I49" s="64"/>
      <c r="J49" s="755"/>
      <c r="K49" s="756"/>
      <c r="L49" s="55"/>
      <c r="M49" s="55"/>
    </row>
    <row r="50" spans="1:13" s="52" customFormat="1" ht="16.5" customHeight="1">
      <c r="A50" s="32"/>
      <c r="B50" s="565"/>
      <c r="C50" s="565"/>
      <c r="D50" s="565"/>
      <c r="E50" s="565"/>
      <c r="F50" s="565"/>
      <c r="G50" s="565"/>
      <c r="H50" s="565"/>
      <c r="I50" s="565"/>
      <c r="J50" s="17"/>
      <c r="K50" s="17"/>
      <c r="L50" s="3"/>
      <c r="M50" s="3"/>
    </row>
    <row r="51" spans="1:13" s="51" customFormat="1" ht="16.5" customHeight="1">
      <c r="A51" s="34" t="s">
        <v>28</v>
      </c>
      <c r="B51" s="34"/>
      <c r="C51" s="34"/>
      <c r="D51" s="34"/>
      <c r="E51" s="34"/>
      <c r="F51" s="17"/>
      <c r="G51" s="38"/>
      <c r="H51" s="36" t="s">
        <v>29</v>
      </c>
      <c r="I51" s="34"/>
      <c r="J51" s="34"/>
      <c r="K51" s="34"/>
      <c r="L51" s="34"/>
      <c r="M51" s="34"/>
    </row>
    <row r="52" spans="1:13" s="51" customFormat="1" ht="16.5" customHeight="1">
      <c r="A52" s="569"/>
      <c r="B52" s="569"/>
      <c r="C52" s="569"/>
      <c r="D52" s="569"/>
      <c r="E52" s="569"/>
      <c r="F52" s="569"/>
      <c r="G52" s="56"/>
      <c r="H52" s="569"/>
      <c r="I52" s="569"/>
      <c r="J52" s="569"/>
      <c r="K52" s="569"/>
      <c r="L52" s="569"/>
      <c r="M52" s="569"/>
    </row>
    <row r="53" spans="1:13" s="51" customFormat="1" ht="16.5" customHeight="1">
      <c r="A53" s="571"/>
      <c r="B53" s="571"/>
      <c r="C53" s="571"/>
      <c r="D53" s="571"/>
      <c r="E53" s="571"/>
      <c r="F53" s="571"/>
      <c r="G53" s="56"/>
      <c r="H53" s="571"/>
      <c r="I53" s="571"/>
      <c r="J53" s="571"/>
      <c r="K53" s="571"/>
      <c r="L53" s="571"/>
      <c r="M53" s="571"/>
    </row>
    <row r="54" spans="1:13" s="51" customFormat="1" ht="16.5" customHeight="1">
      <c r="A54" s="571"/>
      <c r="B54" s="571"/>
      <c r="C54" s="571"/>
      <c r="D54" s="571"/>
      <c r="E54" s="571"/>
      <c r="F54" s="571"/>
      <c r="G54" s="57"/>
      <c r="H54" s="569"/>
      <c r="I54" s="569"/>
      <c r="J54" s="569"/>
      <c r="K54" s="569"/>
      <c r="L54" s="569"/>
      <c r="M54" s="569"/>
    </row>
    <row r="55" spans="1:13" s="51" customFormat="1" ht="16.5" customHeight="1">
      <c r="A55" s="569"/>
      <c r="B55" s="569"/>
      <c r="C55" s="569"/>
      <c r="D55" s="569"/>
      <c r="E55" s="569"/>
      <c r="F55" s="569"/>
      <c r="G55" s="57"/>
      <c r="H55" s="569"/>
      <c r="I55" s="569"/>
      <c r="J55" s="569"/>
      <c r="K55" s="569"/>
      <c r="L55" s="569"/>
      <c r="M55" s="569"/>
    </row>
    <row r="56" spans="1:13" s="51" customFormat="1" ht="16.5" customHeight="1">
      <c r="A56" s="570"/>
      <c r="B56" s="570"/>
      <c r="C56" s="570"/>
      <c r="D56" s="570"/>
      <c r="E56" s="570"/>
      <c r="F56" s="570"/>
      <c r="G56" s="39"/>
      <c r="H56" s="569"/>
      <c r="I56" s="569"/>
      <c r="J56" s="569"/>
      <c r="K56" s="569"/>
      <c r="L56" s="569"/>
      <c r="M56" s="569"/>
    </row>
    <row r="57" spans="1:13" s="3" customFormat="1" ht="16.5" customHeight="1">
      <c r="A57" s="571"/>
      <c r="B57" s="571"/>
      <c r="C57" s="571"/>
      <c r="D57" s="571"/>
      <c r="E57" s="571"/>
      <c r="F57" s="571"/>
      <c r="G57" s="56"/>
      <c r="H57" s="569"/>
      <c r="I57" s="569"/>
      <c r="J57" s="569"/>
      <c r="K57" s="569"/>
      <c r="L57" s="569"/>
      <c r="M57" s="569"/>
    </row>
    <row r="58" spans="1:13" s="3" customFormat="1" ht="16.5" customHeight="1">
      <c r="A58" s="571"/>
      <c r="B58" s="571"/>
      <c r="C58" s="571"/>
      <c r="D58" s="571"/>
      <c r="E58" s="571"/>
      <c r="F58" s="571"/>
      <c r="G58" s="57"/>
      <c r="H58" s="569"/>
      <c r="I58" s="569"/>
      <c r="J58" s="569"/>
      <c r="K58" s="569"/>
      <c r="L58" s="569"/>
      <c r="M58" s="569"/>
    </row>
    <row r="59" spans="1:13" s="3" customFormat="1" ht="16.5" customHeight="1">
      <c r="A59" s="571"/>
      <c r="B59" s="571"/>
      <c r="C59" s="571"/>
      <c r="D59" s="571"/>
      <c r="E59" s="571"/>
      <c r="F59" s="571"/>
      <c r="G59" s="56"/>
      <c r="H59" s="569"/>
      <c r="I59" s="569"/>
      <c r="J59" s="569"/>
      <c r="K59" s="569"/>
      <c r="L59" s="569"/>
      <c r="M59" s="569"/>
    </row>
    <row r="60" spans="1:13" s="3" customFormat="1" ht="16.5" customHeight="1">
      <c r="A60" s="571"/>
      <c r="B60" s="571"/>
      <c r="C60" s="571"/>
      <c r="D60" s="571"/>
      <c r="E60" s="571"/>
      <c r="F60" s="571"/>
      <c r="G60" s="56"/>
      <c r="H60" s="569"/>
      <c r="I60" s="569"/>
      <c r="J60" s="569"/>
      <c r="K60" s="569"/>
      <c r="L60" s="569"/>
      <c r="M60" s="569"/>
    </row>
    <row r="61" spans="1:13" s="3" customFormat="1" ht="16.5" customHeight="1">
      <c r="A61" s="571"/>
      <c r="B61" s="571"/>
      <c r="C61" s="571"/>
      <c r="D61" s="571"/>
      <c r="E61" s="571"/>
      <c r="F61" s="571"/>
      <c r="G61" s="57"/>
      <c r="H61" s="569"/>
      <c r="I61" s="569"/>
      <c r="J61" s="569"/>
      <c r="K61" s="569"/>
      <c r="L61" s="569"/>
      <c r="M61" s="569"/>
    </row>
    <row r="62" spans="1:13" s="3" customFormat="1" ht="16.5" customHeight="1">
      <c r="A62" s="572"/>
      <c r="B62" s="572"/>
      <c r="C62" s="572"/>
      <c r="D62" s="572"/>
      <c r="E62" s="572"/>
      <c r="F62" s="572"/>
      <c r="G62" s="57"/>
      <c r="H62" s="572"/>
      <c r="I62" s="572"/>
      <c r="J62" s="572"/>
      <c r="K62" s="572"/>
      <c r="L62" s="572"/>
      <c r="M62" s="572"/>
    </row>
    <row r="63" spans="1:13" s="3" customFormat="1" ht="16.5" customHeight="1">
      <c r="A63" s="70" t="s">
        <v>34</v>
      </c>
      <c r="B63" s="5"/>
      <c r="C63" s="4"/>
      <c r="H63" s="760" t="s">
        <v>35</v>
      </c>
      <c r="I63" s="761"/>
      <c r="J63" s="761"/>
      <c r="K63" s="762"/>
      <c r="L63" s="573" t="s">
        <v>36</v>
      </c>
      <c r="M63" s="573"/>
    </row>
    <row r="64" spans="1:13" s="3" customFormat="1" ht="16.5" customHeight="1">
      <c r="A64" s="576"/>
      <c r="B64" s="576"/>
      <c r="C64" s="576"/>
      <c r="D64" s="576"/>
      <c r="E64" s="576"/>
      <c r="F64" s="576"/>
      <c r="G64" s="71"/>
      <c r="H64" s="577" t="s">
        <v>14</v>
      </c>
      <c r="I64" s="577"/>
      <c r="J64" s="763" t="s">
        <v>24</v>
      </c>
      <c r="K64" s="764"/>
      <c r="L64" s="74" t="s">
        <v>14</v>
      </c>
      <c r="M64" s="74" t="s">
        <v>24</v>
      </c>
    </row>
    <row r="65" spans="1:13" s="3" customFormat="1" ht="16.5" customHeight="1">
      <c r="A65" s="576"/>
      <c r="B65" s="576"/>
      <c r="C65" s="576"/>
      <c r="D65" s="576"/>
      <c r="E65" s="576"/>
      <c r="F65" s="576"/>
      <c r="G65" s="72"/>
      <c r="H65" s="575"/>
      <c r="I65" s="575"/>
      <c r="J65" s="765"/>
      <c r="K65" s="766"/>
      <c r="L65" s="76"/>
      <c r="M65" s="55"/>
    </row>
    <row r="66" spans="1:13" s="3" customFormat="1" ht="16.5" customHeight="1">
      <c r="A66" s="362"/>
      <c r="B66" s="362"/>
      <c r="C66" s="362"/>
      <c r="D66" s="362"/>
      <c r="E66" s="362"/>
      <c r="F66" s="362"/>
      <c r="G66" s="72"/>
      <c r="H66" s="575"/>
      <c r="I66" s="575"/>
      <c r="J66" s="765"/>
      <c r="K66" s="766"/>
      <c r="L66" s="76"/>
      <c r="M66" s="55"/>
    </row>
    <row r="67" spans="1:13" s="3" customFormat="1" ht="16.5" customHeight="1">
      <c r="A67" s="574"/>
      <c r="B67" s="574"/>
      <c r="C67" s="574"/>
      <c r="D67" s="574"/>
      <c r="E67" s="574"/>
      <c r="F67" s="574"/>
      <c r="G67" s="72"/>
      <c r="H67" s="575"/>
      <c r="I67" s="575"/>
      <c r="J67" s="765"/>
      <c r="K67" s="766"/>
      <c r="L67" s="76"/>
      <c r="M67" s="55"/>
    </row>
    <row r="68" spans="1:13" s="3" customFormat="1" ht="16.5" customHeight="1">
      <c r="A68" s="767"/>
      <c r="B68" s="767"/>
      <c r="C68" s="767"/>
      <c r="D68" s="767"/>
      <c r="E68" s="767"/>
      <c r="F68" s="767"/>
      <c r="G68" s="72"/>
      <c r="H68" s="765"/>
      <c r="I68" s="766"/>
      <c r="J68" s="765"/>
      <c r="K68" s="766"/>
      <c r="L68" s="76"/>
      <c r="M68" s="55"/>
    </row>
    <row r="69" spans="1:13" s="3" customFormat="1" ht="16.5" customHeight="1">
      <c r="A69" s="767"/>
      <c r="B69" s="767"/>
      <c r="C69" s="767"/>
      <c r="D69" s="767"/>
      <c r="E69" s="767"/>
      <c r="F69" s="767"/>
      <c r="G69" s="72"/>
      <c r="H69" s="765"/>
      <c r="I69" s="766"/>
      <c r="J69" s="765"/>
      <c r="K69" s="766"/>
      <c r="L69" s="77"/>
      <c r="M69" s="55"/>
    </row>
    <row r="70" spans="1:13" s="3" customFormat="1" ht="70.8" customHeight="1">
      <c r="A70" s="767"/>
      <c r="B70" s="767"/>
      <c r="C70" s="767"/>
      <c r="D70" s="767"/>
      <c r="E70" s="767"/>
      <c r="F70" s="767"/>
      <c r="G70" s="72"/>
      <c r="H70" s="765"/>
      <c r="I70" s="766"/>
      <c r="J70" s="765"/>
      <c r="K70" s="766"/>
      <c r="M70" s="73"/>
    </row>
    <row r="71" spans="1:13" s="3" customFormat="1" ht="16.5" customHeight="1">
      <c r="A71" s="574"/>
      <c r="B71" s="574"/>
      <c r="C71" s="574"/>
      <c r="D71" s="574"/>
      <c r="E71" s="574"/>
      <c r="F71" s="574"/>
      <c r="G71" s="72"/>
      <c r="H71" s="575"/>
      <c r="I71" s="575"/>
      <c r="J71" s="765"/>
      <c r="K71" s="766"/>
      <c r="L71" s="77"/>
      <c r="M71" s="73"/>
    </row>
    <row r="72" spans="1:13" s="3" customFormat="1" ht="16.5" customHeight="1">
      <c r="A72" s="574"/>
      <c r="B72" s="574"/>
      <c r="C72" s="574"/>
      <c r="D72" s="574"/>
      <c r="E72" s="574"/>
      <c r="F72" s="574"/>
      <c r="G72" s="72"/>
      <c r="H72" s="575"/>
      <c r="I72" s="575"/>
      <c r="J72" s="765"/>
      <c r="K72" s="766"/>
      <c r="L72" s="77"/>
      <c r="M72" s="73"/>
    </row>
    <row r="73" spans="1:13" s="3" customFormat="1" ht="16.5" customHeight="1">
      <c r="A73" s="574"/>
      <c r="B73" s="574"/>
      <c r="C73" s="574"/>
      <c r="D73" s="574"/>
      <c r="E73" s="574"/>
      <c r="F73" s="574"/>
      <c r="G73" s="72"/>
      <c r="H73" s="575"/>
      <c r="I73" s="575"/>
      <c r="J73" s="765"/>
      <c r="K73" s="766"/>
      <c r="L73" s="77"/>
      <c r="M73" s="73"/>
    </row>
    <row r="74" spans="1:13" s="3" customFormat="1" ht="16.5" customHeight="1">
      <c r="A74" s="574"/>
      <c r="B74" s="574"/>
      <c r="C74" s="574"/>
      <c r="D74" s="574"/>
      <c r="E74" s="574"/>
      <c r="F74" s="574"/>
      <c r="G74" s="72"/>
      <c r="H74" s="575"/>
      <c r="I74" s="575"/>
      <c r="J74" s="765"/>
      <c r="K74" s="766"/>
      <c r="L74" s="77"/>
      <c r="M74" s="73"/>
    </row>
    <row r="75" spans="1:13" s="3" customFormat="1" ht="16.5" customHeight="1">
      <c r="A75" s="45"/>
      <c r="B75" s="46"/>
      <c r="C75" s="46"/>
      <c r="D75" s="46"/>
      <c r="E75" s="44"/>
      <c r="F75" s="46"/>
      <c r="G75" s="46"/>
      <c r="H75" s="46"/>
      <c r="I75" s="46"/>
      <c r="J75" s="46"/>
      <c r="K75" s="46"/>
      <c r="L75" s="47"/>
      <c r="M75" s="46"/>
    </row>
    <row r="76" spans="1:13" s="3" customFormat="1" ht="16.5" customHeight="1">
      <c r="A76" s="45" t="s">
        <v>45</v>
      </c>
      <c r="B76" s="46"/>
      <c r="C76" s="46"/>
      <c r="D76" s="46"/>
      <c r="E76" s="44"/>
      <c r="F76" s="46"/>
      <c r="G76" s="46"/>
      <c r="H76" s="46"/>
      <c r="I76" s="46"/>
      <c r="J76" s="46"/>
      <c r="K76" s="46"/>
      <c r="L76" s="47"/>
      <c r="M76" s="46"/>
    </row>
    <row r="77" spans="1:13" s="3" customFormat="1" ht="16.5" customHeight="1">
      <c r="A77" s="45"/>
      <c r="B77" s="46"/>
      <c r="C77" s="46"/>
      <c r="D77" s="46"/>
      <c r="E77" s="44"/>
      <c r="F77" s="46"/>
      <c r="G77" s="46"/>
      <c r="H77" s="46"/>
      <c r="I77" s="48"/>
      <c r="J77" s="48"/>
      <c r="K77" s="48"/>
      <c r="L77" s="47"/>
      <c r="M77" s="46"/>
    </row>
    <row r="78" spans="1:13" s="3" customFormat="1" ht="31.5" customHeight="1">
      <c r="A78" s="46" t="s">
        <v>46</v>
      </c>
      <c r="B78" s="578" t="s">
        <v>47</v>
      </c>
      <c r="C78" s="579"/>
      <c r="D78" s="578" t="s">
        <v>48</v>
      </c>
      <c r="E78" s="579"/>
      <c r="F78" s="578" t="s">
        <v>49</v>
      </c>
      <c r="G78" s="579"/>
      <c r="H78" s="578" t="s">
        <v>50</v>
      </c>
      <c r="I78" s="579"/>
      <c r="J78" s="578" t="s">
        <v>51</v>
      </c>
      <c r="K78" s="769"/>
      <c r="L78" s="579"/>
      <c r="M78" s="49"/>
    </row>
    <row r="79" spans="1:13" s="3" customFormat="1" ht="16.5" customHeight="1">
      <c r="A79" s="50"/>
      <c r="B79" s="583"/>
      <c r="C79" s="584"/>
      <c r="D79" s="587"/>
      <c r="E79" s="588"/>
      <c r="F79" s="665"/>
      <c r="G79" s="666"/>
      <c r="H79" s="665"/>
      <c r="I79" s="666"/>
      <c r="J79" s="587"/>
      <c r="K79" s="770"/>
      <c r="L79" s="588"/>
      <c r="M79" s="49"/>
    </row>
    <row r="80" spans="1:13" s="22" customFormat="1" ht="16.5" customHeight="1">
      <c r="A80" s="50"/>
      <c r="B80" s="585"/>
      <c r="C80" s="586"/>
      <c r="D80" s="589"/>
      <c r="E80" s="590"/>
      <c r="F80" s="667"/>
      <c r="G80" s="668"/>
      <c r="H80" s="667"/>
      <c r="I80" s="668"/>
      <c r="J80" s="589"/>
      <c r="K80" s="771"/>
      <c r="L80" s="590"/>
      <c r="M80" s="49"/>
    </row>
    <row r="81" spans="1:15" s="22" customFormat="1" ht="16.5" customHeight="1">
      <c r="A81" s="35"/>
      <c r="B81" s="27"/>
      <c r="C81" s="27"/>
      <c r="D81" s="27"/>
      <c r="E81" s="35"/>
      <c r="F81" s="58"/>
      <c r="G81" s="58"/>
      <c r="H81" s="58"/>
      <c r="I81" s="58"/>
      <c r="J81" s="68"/>
      <c r="K81" s="68"/>
      <c r="L81" s="68"/>
      <c r="M81" s="3"/>
    </row>
    <row r="82" spans="1:15" s="22" customFormat="1" ht="16.5" customHeight="1">
      <c r="A82" s="35" t="s">
        <v>53</v>
      </c>
      <c r="B82" s="27"/>
      <c r="C82" s="27"/>
      <c r="D82" s="35" t="s">
        <v>54</v>
      </c>
      <c r="F82" s="58"/>
      <c r="H82" s="35" t="s">
        <v>250</v>
      </c>
      <c r="I82" s="58"/>
      <c r="L82" s="68" t="s">
        <v>266</v>
      </c>
      <c r="M82" s="3"/>
    </row>
    <row r="83" spans="1:15" s="22" customFormat="1" ht="16.5" customHeight="1">
      <c r="A83" s="29"/>
      <c r="B83" s="29"/>
      <c r="C83" s="29"/>
      <c r="D83" s="29"/>
      <c r="E83" s="29"/>
      <c r="F83" s="29"/>
      <c r="H83" s="29"/>
      <c r="I83" s="29"/>
      <c r="J83" s="3"/>
      <c r="K83" s="3"/>
      <c r="L83" s="3"/>
      <c r="M83" s="3"/>
    </row>
    <row r="84" spans="1:15" s="22" customFormat="1" ht="16.5" customHeight="1">
      <c r="A84" s="673" t="s">
        <v>371</v>
      </c>
      <c r="B84" s="673"/>
      <c r="C84" s="318"/>
      <c r="D84" s="674" t="s">
        <v>296</v>
      </c>
      <c r="E84" s="674"/>
      <c r="F84" s="674"/>
      <c r="H84" s="675" t="s">
        <v>247</v>
      </c>
      <c r="I84" s="675"/>
      <c r="J84" s="675"/>
      <c r="K84" s="321"/>
      <c r="L84" s="768"/>
      <c r="M84" s="768"/>
      <c r="O84" s="218"/>
    </row>
    <row r="85" spans="1:15" s="3" customFormat="1" ht="16.5" customHeight="1">
      <c r="A85" s="663" t="s">
        <v>59</v>
      </c>
      <c r="B85" s="663"/>
      <c r="C85" s="319"/>
      <c r="D85" s="664" t="s">
        <v>60</v>
      </c>
      <c r="E85" s="664"/>
      <c r="F85" s="664"/>
      <c r="H85" s="663" t="s">
        <v>252</v>
      </c>
      <c r="I85" s="663"/>
      <c r="J85" s="663"/>
      <c r="K85" s="321"/>
      <c r="L85" s="320" t="s">
        <v>253</v>
      </c>
      <c r="M85" s="320"/>
    </row>
    <row r="86" spans="1:15" s="3" customFormat="1" ht="16.5" customHeight="1">
      <c r="A86" s="321"/>
      <c r="B86" s="321"/>
      <c r="C86" s="319"/>
      <c r="D86" s="322"/>
      <c r="E86" s="322"/>
      <c r="F86" s="322"/>
      <c r="H86" s="321"/>
      <c r="I86" s="321"/>
      <c r="J86" s="321"/>
      <c r="K86" s="321"/>
      <c r="L86" s="320"/>
      <c r="M86" s="320"/>
    </row>
    <row r="87" spans="1:15" s="3" customFormat="1" ht="16.5" customHeight="1">
      <c r="A87" s="37"/>
      <c r="B87" s="27"/>
      <c r="C87" s="27"/>
      <c r="D87" s="27"/>
      <c r="E87" s="27"/>
      <c r="F87" s="29"/>
      <c r="G87" s="29"/>
      <c r="H87" s="29"/>
      <c r="I87" s="29"/>
      <c r="J87" s="29"/>
      <c r="K87" s="29"/>
    </row>
    <row r="88" spans="1:15" s="3" customFormat="1" ht="16.5" customHeight="1">
      <c r="A88" s="37"/>
      <c r="B88" s="27"/>
      <c r="C88" s="27"/>
      <c r="D88" s="27"/>
      <c r="E88" s="27"/>
      <c r="F88" s="29"/>
      <c r="G88" s="29"/>
      <c r="H88" s="29"/>
      <c r="I88" s="29"/>
      <c r="J88" s="29"/>
      <c r="K88" s="29"/>
    </row>
    <row r="89" spans="1:15" s="3" customFormat="1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5" s="3" customFormat="1" ht="16.5" customHeight="1">
      <c r="A90" s="40"/>
      <c r="B90" s="40"/>
      <c r="C90" s="40"/>
      <c r="D90" s="40"/>
      <c r="E90" s="40"/>
      <c r="F90" s="1"/>
      <c r="G90" s="1"/>
      <c r="H90" s="1"/>
      <c r="I90" s="1"/>
      <c r="J90" s="1"/>
      <c r="K90" s="1"/>
      <c r="L90" s="1"/>
      <c r="M90" s="1"/>
    </row>
    <row r="91" spans="1:15" s="3" customFormat="1" ht="16.5" customHeight="1">
      <c r="A91" s="21" t="s">
        <v>0</v>
      </c>
      <c r="B91" s="554"/>
      <c r="C91" s="554"/>
      <c r="D91" s="554"/>
      <c r="E91" s="554"/>
      <c r="F91" s="554"/>
      <c r="G91" s="554"/>
      <c r="H91" s="554"/>
      <c r="I91" s="16"/>
      <c r="J91" s="22"/>
      <c r="K91" s="22"/>
      <c r="L91" s="555"/>
      <c r="M91" s="555"/>
    </row>
    <row r="92" spans="1:15" s="3" customFormat="1" ht="15" customHeight="1">
      <c r="A92" s="21" t="s">
        <v>2</v>
      </c>
      <c r="B92" s="556" t="s">
        <v>269</v>
      </c>
      <c r="C92" s="556"/>
      <c r="D92" s="556"/>
      <c r="E92" s="556"/>
      <c r="F92" s="556"/>
      <c r="G92" s="556"/>
      <c r="H92" s="556"/>
      <c r="I92" s="16"/>
      <c r="J92" s="22"/>
      <c r="K92" s="22"/>
      <c r="L92" s="555"/>
      <c r="M92" s="555"/>
    </row>
    <row r="93" spans="1:15" s="3" customFormat="1" ht="15" customHeight="1">
      <c r="A93" s="69"/>
      <c r="B93" s="554" t="s">
        <v>270</v>
      </c>
      <c r="C93" s="554"/>
      <c r="D93" s="554"/>
      <c r="E93" s="554"/>
      <c r="F93" s="554"/>
      <c r="G93" s="554"/>
      <c r="H93" s="554"/>
      <c r="I93" s="21" t="s">
        <v>5</v>
      </c>
      <c r="J93" s="22"/>
      <c r="K93" s="22"/>
      <c r="L93" s="557" t="s">
        <v>271</v>
      </c>
      <c r="M93" s="557"/>
    </row>
    <row r="94" spans="1:15" s="3" customFormat="1" ht="15" customHeight="1">
      <c r="A94" s="22" t="s">
        <v>10</v>
      </c>
      <c r="B94" s="556" t="s">
        <v>272</v>
      </c>
      <c r="C94" s="556"/>
      <c r="D94" s="556"/>
      <c r="E94" s="556"/>
      <c r="F94" s="556"/>
      <c r="G94" s="556"/>
      <c r="H94" s="556"/>
      <c r="I94" s="21" t="s">
        <v>8</v>
      </c>
      <c r="J94" s="21"/>
      <c r="K94" s="21"/>
      <c r="L94" s="669" t="s">
        <v>273</v>
      </c>
      <c r="M94" s="669"/>
    </row>
    <row r="95" spans="1:15" s="3" customFormat="1" ht="15" customHeight="1">
      <c r="A95" s="22"/>
      <c r="B95" s="16"/>
      <c r="C95" s="16"/>
      <c r="D95" s="16"/>
      <c r="E95" s="16"/>
      <c r="F95" s="16"/>
      <c r="G95" s="16"/>
      <c r="H95" s="16"/>
      <c r="I95" s="16"/>
      <c r="J95" s="59"/>
      <c r="K95" s="59"/>
      <c r="L95" s="62"/>
      <c r="M95" s="62"/>
    </row>
    <row r="96" spans="1:15" s="3" customFormat="1" ht="15" customHeight="1">
      <c r="A96" s="24" t="s">
        <v>12</v>
      </c>
      <c r="L96" s="555"/>
      <c r="M96" s="555"/>
    </row>
    <row r="97" spans="1:13" s="3" customFormat="1" ht="17.399999999999999">
      <c r="A97" s="552" t="s">
        <v>13</v>
      </c>
      <c r="B97" s="552" t="s">
        <v>14</v>
      </c>
      <c r="C97" s="552"/>
      <c r="D97" s="552"/>
      <c r="E97" s="552"/>
      <c r="F97" s="552"/>
      <c r="G97" s="552" t="s">
        <v>15</v>
      </c>
      <c r="H97" s="552"/>
      <c r="I97" s="552"/>
      <c r="J97" s="553" t="s">
        <v>16</v>
      </c>
      <c r="K97" s="553"/>
      <c r="L97" s="553"/>
      <c r="M97" s="552" t="s">
        <v>17</v>
      </c>
    </row>
    <row r="98" spans="1:13" s="3" customFormat="1" ht="21.9" customHeight="1">
      <c r="A98" s="552"/>
      <c r="B98" s="552"/>
      <c r="C98" s="552"/>
      <c r="D98" s="552"/>
      <c r="E98" s="552"/>
      <c r="F98" s="552"/>
      <c r="G98" s="552"/>
      <c r="H98" s="552"/>
      <c r="I98" s="552"/>
      <c r="J98" s="60" t="s">
        <v>18</v>
      </c>
      <c r="K98" s="60"/>
      <c r="L98" s="20" t="s">
        <v>19</v>
      </c>
      <c r="M98" s="552"/>
    </row>
    <row r="99" spans="1:13" s="3" customFormat="1" ht="21.9" customHeight="1">
      <c r="A99" s="79"/>
      <c r="B99" s="558"/>
      <c r="C99" s="558"/>
      <c r="D99" s="558"/>
      <c r="E99" s="558"/>
      <c r="F99" s="558"/>
      <c r="G99" s="559"/>
      <c r="H99" s="559"/>
      <c r="I99" s="559"/>
      <c r="J99" s="216"/>
      <c r="K99" s="216"/>
      <c r="L99" s="53"/>
      <c r="M99" s="55"/>
    </row>
    <row r="100" spans="1:13" s="3" customFormat="1" ht="21.9" customHeight="1">
      <c r="A100" s="215"/>
      <c r="B100" s="558"/>
      <c r="C100" s="558"/>
      <c r="D100" s="558"/>
      <c r="E100" s="558"/>
      <c r="F100" s="558"/>
      <c r="G100" s="559"/>
      <c r="H100" s="559"/>
      <c r="I100" s="559"/>
      <c r="J100" s="216"/>
      <c r="K100" s="216"/>
      <c r="L100" s="53"/>
      <c r="M100" s="55"/>
    </row>
    <row r="101" spans="1:13" s="3" customFormat="1" ht="21.9" customHeight="1">
      <c r="A101" s="215"/>
      <c r="B101" s="558"/>
      <c r="C101" s="558"/>
      <c r="D101" s="558"/>
      <c r="E101" s="558"/>
      <c r="F101" s="558"/>
      <c r="G101" s="559"/>
      <c r="H101" s="559"/>
      <c r="I101" s="559"/>
      <c r="J101" s="216"/>
      <c r="K101" s="216"/>
      <c r="L101" s="53"/>
      <c r="M101" s="55"/>
    </row>
    <row r="102" spans="1:13" s="3" customFormat="1" ht="21.9" customHeight="1">
      <c r="A102" s="215"/>
      <c r="B102" s="558"/>
      <c r="C102" s="558"/>
      <c r="D102" s="558"/>
      <c r="E102" s="558"/>
      <c r="F102" s="558"/>
      <c r="G102" s="559"/>
      <c r="H102" s="559"/>
      <c r="I102" s="559"/>
      <c r="J102" s="216"/>
      <c r="K102" s="216"/>
      <c r="L102" s="53"/>
      <c r="M102" s="55"/>
    </row>
    <row r="103" spans="1:13" s="3" customFormat="1" ht="21.9" customHeight="1">
      <c r="A103" s="215"/>
      <c r="B103" s="558"/>
      <c r="C103" s="558"/>
      <c r="D103" s="558"/>
      <c r="E103" s="558"/>
      <c r="F103" s="558"/>
      <c r="G103" s="559"/>
      <c r="H103" s="559"/>
      <c r="I103" s="559"/>
      <c r="J103" s="53"/>
      <c r="K103" s="53"/>
      <c r="L103" s="53"/>
      <c r="M103" s="55"/>
    </row>
    <row r="104" spans="1:13" s="3" customFormat="1" ht="21.9" customHeight="1">
      <c r="A104" s="54"/>
      <c r="B104" s="558"/>
      <c r="C104" s="558"/>
      <c r="D104" s="558"/>
      <c r="E104" s="558"/>
      <c r="F104" s="558"/>
      <c r="G104" s="559"/>
      <c r="H104" s="559"/>
      <c r="I104" s="559"/>
      <c r="J104" s="53"/>
      <c r="K104" s="53"/>
      <c r="L104" s="53"/>
      <c r="M104" s="55"/>
    </row>
    <row r="105" spans="1:13" s="3" customFormat="1" ht="21.9" customHeight="1">
      <c r="A105" s="54"/>
      <c r="B105" s="562"/>
      <c r="C105" s="562"/>
      <c r="D105" s="562"/>
      <c r="E105" s="562"/>
      <c r="F105" s="562"/>
      <c r="G105" s="559"/>
      <c r="H105" s="559"/>
      <c r="I105" s="559"/>
      <c r="J105" s="53"/>
      <c r="K105" s="53"/>
      <c r="L105" s="53"/>
      <c r="M105" s="55"/>
    </row>
    <row r="106" spans="1:13" s="3" customFormat="1" ht="21.9" customHeight="1">
      <c r="A106" s="54"/>
      <c r="B106" s="562"/>
      <c r="C106" s="562"/>
      <c r="D106" s="562"/>
      <c r="E106" s="562"/>
      <c r="F106" s="562"/>
      <c r="G106" s="559"/>
      <c r="H106" s="559"/>
      <c r="I106" s="559"/>
      <c r="J106" s="53"/>
      <c r="K106" s="53"/>
      <c r="L106" s="53"/>
      <c r="M106" s="55"/>
    </row>
    <row r="107" spans="1:13" s="3" customFormat="1" ht="21.9" customHeight="1">
      <c r="A107" s="61"/>
      <c r="B107" s="562"/>
      <c r="C107" s="562"/>
      <c r="D107" s="562"/>
      <c r="E107" s="562"/>
      <c r="F107" s="562"/>
      <c r="G107" s="559"/>
      <c r="H107" s="559"/>
      <c r="I107" s="559"/>
      <c r="J107" s="53"/>
      <c r="K107" s="53"/>
      <c r="L107" s="53"/>
      <c r="M107" s="55"/>
    </row>
    <row r="108" spans="1:13" s="3" customFormat="1" ht="21.9" customHeight="1">
      <c r="A108" s="61"/>
      <c r="B108" s="562"/>
      <c r="C108" s="562"/>
      <c r="D108" s="562"/>
      <c r="E108" s="562"/>
      <c r="F108" s="562"/>
      <c r="G108" s="559"/>
      <c r="H108" s="559"/>
      <c r="I108" s="559"/>
      <c r="J108" s="53"/>
      <c r="K108" s="53"/>
      <c r="L108" s="53"/>
      <c r="M108" s="55"/>
    </row>
    <row r="109" spans="1:13" s="3" customFormat="1" ht="21.9" customHeight="1">
      <c r="A109" s="61"/>
      <c r="B109" s="562"/>
      <c r="C109" s="562"/>
      <c r="D109" s="562"/>
      <c r="E109" s="562"/>
      <c r="F109" s="562"/>
      <c r="G109" s="559"/>
      <c r="H109" s="559"/>
      <c r="I109" s="559"/>
      <c r="J109" s="53"/>
      <c r="K109" s="53"/>
      <c r="L109" s="53"/>
      <c r="M109" s="55"/>
    </row>
    <row r="110" spans="1:13" s="3" customFormat="1" ht="21.9" customHeight="1">
      <c r="A110" s="61"/>
      <c r="B110" s="562"/>
      <c r="C110" s="562"/>
      <c r="D110" s="562"/>
      <c r="E110" s="562"/>
      <c r="F110" s="562"/>
      <c r="G110" s="559"/>
      <c r="H110" s="559"/>
      <c r="I110" s="559"/>
      <c r="J110" s="53"/>
      <c r="K110" s="53"/>
      <c r="L110" s="53"/>
      <c r="M110" s="55"/>
    </row>
    <row r="111" spans="1:13" s="3" customFormat="1" ht="21.9" customHeight="1">
      <c r="A111" s="61"/>
      <c r="B111" s="562"/>
      <c r="C111" s="562"/>
      <c r="D111" s="562"/>
      <c r="E111" s="562"/>
      <c r="F111" s="562"/>
      <c r="G111" s="559"/>
      <c r="H111" s="559"/>
      <c r="I111" s="559"/>
      <c r="J111" s="53"/>
      <c r="K111" s="53"/>
      <c r="L111" s="53"/>
      <c r="M111" s="55"/>
    </row>
    <row r="112" spans="1:13" s="3" customFormat="1" ht="21.9" customHeight="1">
      <c r="A112" s="61"/>
      <c r="B112" s="562"/>
      <c r="C112" s="562"/>
      <c r="D112" s="562"/>
      <c r="E112" s="562"/>
      <c r="F112" s="562"/>
      <c r="G112" s="559"/>
      <c r="H112" s="559"/>
      <c r="I112" s="559"/>
      <c r="J112" s="53"/>
      <c r="K112" s="53"/>
      <c r="L112" s="53"/>
      <c r="M112" s="55"/>
    </row>
    <row r="113" spans="1:13" s="3" customFormat="1" ht="21.9" customHeight="1">
      <c r="A113" s="61"/>
      <c r="B113" s="562"/>
      <c r="C113" s="562"/>
      <c r="D113" s="562"/>
      <c r="E113" s="562"/>
      <c r="F113" s="562"/>
      <c r="G113" s="559"/>
      <c r="H113" s="559"/>
      <c r="I113" s="559"/>
      <c r="J113" s="53"/>
      <c r="K113" s="53"/>
      <c r="L113" s="53"/>
      <c r="M113" s="55"/>
    </row>
    <row r="114" spans="1:13" s="3" customFormat="1" ht="21.9" customHeight="1">
      <c r="A114" s="61"/>
      <c r="B114" s="562"/>
      <c r="C114" s="562"/>
      <c r="D114" s="562"/>
      <c r="E114" s="562"/>
      <c r="F114" s="562"/>
      <c r="G114" s="559"/>
      <c r="H114" s="559"/>
      <c r="I114" s="559"/>
      <c r="J114" s="53"/>
      <c r="K114" s="53"/>
      <c r="L114" s="53"/>
      <c r="M114" s="55"/>
    </row>
    <row r="115" spans="1:13" s="3" customFormat="1" ht="21.9" customHeight="1">
      <c r="A115" s="61"/>
      <c r="B115" s="562"/>
      <c r="C115" s="562"/>
      <c r="D115" s="562"/>
      <c r="E115" s="562"/>
      <c r="F115" s="562"/>
      <c r="G115" s="559"/>
      <c r="H115" s="559"/>
      <c r="I115" s="559"/>
      <c r="J115" s="53"/>
      <c r="K115" s="53"/>
      <c r="L115" s="53"/>
      <c r="M115" s="55"/>
    </row>
    <row r="116" spans="1:13" s="3" customFormat="1" ht="21.9" customHeight="1">
      <c r="A116" s="61"/>
      <c r="B116" s="562"/>
      <c r="C116" s="562"/>
      <c r="D116" s="562"/>
      <c r="E116" s="562"/>
      <c r="F116" s="562"/>
      <c r="G116" s="559"/>
      <c r="H116" s="559"/>
      <c r="I116" s="559"/>
      <c r="J116" s="53"/>
      <c r="K116" s="53"/>
      <c r="L116" s="53"/>
      <c r="M116" s="55"/>
    </row>
    <row r="117" spans="1:13" s="3" customFormat="1" ht="21.9" customHeight="1">
      <c r="A117" s="61"/>
      <c r="B117" s="562"/>
      <c r="C117" s="562"/>
      <c r="D117" s="562"/>
      <c r="E117" s="562"/>
      <c r="F117" s="562"/>
      <c r="G117" s="559"/>
      <c r="H117" s="559"/>
      <c r="I117" s="559"/>
      <c r="J117" s="53"/>
      <c r="K117" s="53"/>
      <c r="L117" s="53"/>
      <c r="M117" s="55"/>
    </row>
    <row r="118" spans="1:13" s="3" customFormat="1" ht="21.9" customHeight="1">
      <c r="A118" s="61"/>
      <c r="B118" s="562"/>
      <c r="C118" s="562"/>
      <c r="D118" s="562"/>
      <c r="E118" s="562"/>
      <c r="F118" s="562"/>
      <c r="G118" s="559"/>
      <c r="H118" s="559"/>
      <c r="I118" s="559"/>
      <c r="J118" s="53"/>
      <c r="K118" s="53"/>
      <c r="L118" s="53"/>
      <c r="M118" s="55"/>
    </row>
    <row r="119" spans="1:13" s="3" customFormat="1" ht="21.9" customHeight="1">
      <c r="A119" s="66"/>
      <c r="B119" s="566"/>
      <c r="C119" s="566"/>
      <c r="D119" s="566"/>
      <c r="E119" s="566"/>
      <c r="F119" s="566"/>
      <c r="G119" s="66"/>
      <c r="H119" s="41"/>
      <c r="I119" s="41"/>
      <c r="J119" s="42"/>
      <c r="K119" s="42"/>
      <c r="L119" s="43"/>
    </row>
    <row r="120" spans="1:13" s="3" customFormat="1" ht="21.9" customHeight="1">
      <c r="A120" s="26" t="s">
        <v>23</v>
      </c>
      <c r="B120" s="67"/>
      <c r="C120" s="67"/>
      <c r="D120" s="67"/>
      <c r="E120" s="67"/>
      <c r="F120" s="17"/>
      <c r="G120" s="17"/>
      <c r="H120" s="17"/>
      <c r="I120" s="17"/>
      <c r="J120" s="17"/>
      <c r="K120" s="17"/>
    </row>
    <row r="121" spans="1:13" s="3" customFormat="1" ht="21.9" customHeight="1">
      <c r="A121" s="19" t="s">
        <v>13</v>
      </c>
      <c r="B121" s="567" t="s">
        <v>14</v>
      </c>
      <c r="C121" s="567"/>
      <c r="D121" s="567"/>
      <c r="E121" s="567"/>
      <c r="F121" s="567"/>
      <c r="G121" s="568" t="s">
        <v>24</v>
      </c>
      <c r="H121" s="568"/>
      <c r="I121" s="63" t="s">
        <v>17</v>
      </c>
      <c r="J121" s="60" t="s">
        <v>25</v>
      </c>
      <c r="K121" s="60"/>
      <c r="L121" s="60" t="s">
        <v>26</v>
      </c>
      <c r="M121" s="60" t="s">
        <v>27</v>
      </c>
    </row>
    <row r="122" spans="1:13" s="3" customFormat="1" ht="21.9" customHeight="1">
      <c r="A122" s="317"/>
      <c r="B122" s="563"/>
      <c r="C122" s="563"/>
      <c r="D122" s="563"/>
      <c r="E122" s="563"/>
      <c r="F122" s="563"/>
      <c r="G122" s="564"/>
      <c r="H122" s="564"/>
      <c r="I122" s="64"/>
      <c r="J122" s="64"/>
      <c r="K122" s="64"/>
      <c r="L122" s="55"/>
      <c r="M122" s="55"/>
    </row>
    <row r="123" spans="1:13" s="3" customFormat="1" ht="21.9" customHeight="1">
      <c r="A123" s="79"/>
      <c r="B123" s="563"/>
      <c r="C123" s="563"/>
      <c r="D123" s="563"/>
      <c r="E123" s="563"/>
      <c r="F123" s="563"/>
      <c r="G123" s="564"/>
      <c r="H123" s="564"/>
      <c r="I123" s="64"/>
      <c r="J123" s="64"/>
      <c r="K123" s="64"/>
      <c r="L123" s="55"/>
      <c r="M123" s="55"/>
    </row>
    <row r="124" spans="1:13" s="3" customFormat="1" ht="21.9" customHeight="1">
      <c r="A124" s="79"/>
      <c r="B124" s="563"/>
      <c r="C124" s="563"/>
      <c r="D124" s="563"/>
      <c r="E124" s="563"/>
      <c r="F124" s="563"/>
      <c r="G124" s="564"/>
      <c r="H124" s="564"/>
      <c r="I124" s="64"/>
      <c r="J124" s="64"/>
      <c r="K124" s="64"/>
      <c r="L124" s="55"/>
      <c r="M124" s="55"/>
    </row>
    <row r="125" spans="1:13" s="3" customFormat="1" ht="21.9" customHeight="1">
      <c r="A125" s="79"/>
      <c r="B125" s="563"/>
      <c r="C125" s="563"/>
      <c r="D125" s="563"/>
      <c r="E125" s="563"/>
      <c r="F125" s="563"/>
      <c r="G125" s="564"/>
      <c r="H125" s="564"/>
      <c r="I125" s="64"/>
      <c r="J125" s="64"/>
      <c r="K125" s="64"/>
      <c r="L125" s="55"/>
      <c r="M125" s="55"/>
    </row>
    <row r="126" spans="1:13" s="3" customFormat="1" ht="21.9" customHeight="1">
      <c r="A126" s="32"/>
      <c r="B126" s="565"/>
      <c r="C126" s="565"/>
      <c r="D126" s="565"/>
      <c r="E126" s="565"/>
      <c r="F126" s="565"/>
      <c r="G126" s="565"/>
      <c r="H126" s="565"/>
      <c r="I126" s="565"/>
      <c r="J126" s="17"/>
      <c r="K126" s="17"/>
    </row>
    <row r="127" spans="1:13" s="3" customFormat="1" ht="21.9" customHeight="1">
      <c r="A127" s="34" t="s">
        <v>28</v>
      </c>
      <c r="B127" s="34"/>
      <c r="C127" s="34"/>
      <c r="D127" s="34"/>
      <c r="E127" s="34"/>
      <c r="F127" s="17"/>
      <c r="G127" s="38"/>
      <c r="H127" s="36" t="s">
        <v>29</v>
      </c>
      <c r="I127" s="34"/>
      <c r="J127" s="34"/>
      <c r="K127" s="34"/>
      <c r="L127" s="34"/>
      <c r="M127" s="34"/>
    </row>
    <row r="128" spans="1:13" s="3" customFormat="1" ht="21.9" customHeight="1">
      <c r="A128" s="569"/>
      <c r="B128" s="569"/>
      <c r="C128" s="569"/>
      <c r="D128" s="569"/>
      <c r="E128" s="569"/>
      <c r="F128" s="569"/>
      <c r="G128" s="56"/>
      <c r="H128" s="569"/>
      <c r="I128" s="569"/>
      <c r="J128" s="569"/>
      <c r="K128" s="569"/>
      <c r="L128" s="569"/>
      <c r="M128" s="569"/>
    </row>
    <row r="129" spans="1:13" s="3" customFormat="1" ht="21.9" customHeight="1">
      <c r="A129" s="571"/>
      <c r="B129" s="571"/>
      <c r="C129" s="571"/>
      <c r="D129" s="571"/>
      <c r="E129" s="571"/>
      <c r="F129" s="571"/>
      <c r="G129" s="56"/>
      <c r="H129" s="569"/>
      <c r="I129" s="569"/>
      <c r="J129" s="569"/>
      <c r="K129" s="569"/>
      <c r="L129" s="569"/>
      <c r="M129" s="569"/>
    </row>
    <row r="130" spans="1:13" s="3" customFormat="1" ht="21.9" customHeight="1">
      <c r="A130" s="571"/>
      <c r="B130" s="571"/>
      <c r="C130" s="571"/>
      <c r="D130" s="571"/>
      <c r="E130" s="571"/>
      <c r="F130" s="571"/>
      <c r="G130" s="57"/>
      <c r="H130" s="569"/>
      <c r="I130" s="569"/>
      <c r="J130" s="569"/>
      <c r="K130" s="569"/>
      <c r="L130" s="569"/>
      <c r="M130" s="569"/>
    </row>
    <row r="131" spans="1:13" s="3" customFormat="1" ht="21.9" customHeight="1">
      <c r="A131" s="569"/>
      <c r="B131" s="569"/>
      <c r="C131" s="569"/>
      <c r="D131" s="569"/>
      <c r="E131" s="569"/>
      <c r="F131" s="569"/>
      <c r="G131" s="57"/>
      <c r="H131" s="569"/>
      <c r="I131" s="569"/>
      <c r="J131" s="569"/>
      <c r="K131" s="569"/>
      <c r="L131" s="569"/>
      <c r="M131" s="569"/>
    </row>
    <row r="132" spans="1:13" s="3" customFormat="1" ht="21.9" customHeight="1">
      <c r="A132" s="570"/>
      <c r="B132" s="570"/>
      <c r="C132" s="570"/>
      <c r="D132" s="570"/>
      <c r="E132" s="570"/>
      <c r="F132" s="570"/>
      <c r="G132" s="39"/>
      <c r="H132" s="569"/>
      <c r="I132" s="569"/>
      <c r="J132" s="569"/>
      <c r="K132" s="569"/>
      <c r="L132" s="569"/>
      <c r="M132" s="569"/>
    </row>
    <row r="133" spans="1:13" s="3" customFormat="1" ht="21.9" customHeight="1">
      <c r="A133" s="571"/>
      <c r="B133" s="571"/>
      <c r="C133" s="571"/>
      <c r="D133" s="571"/>
      <c r="E133" s="571"/>
      <c r="F133" s="571"/>
      <c r="G133" s="56"/>
      <c r="H133" s="569"/>
      <c r="I133" s="569"/>
      <c r="J133" s="569"/>
      <c r="K133" s="569"/>
      <c r="L133" s="569"/>
      <c r="M133" s="569"/>
    </row>
    <row r="134" spans="1:13" s="3" customFormat="1" ht="21.9" customHeight="1">
      <c r="A134" s="571"/>
      <c r="B134" s="571"/>
      <c r="C134" s="571"/>
      <c r="D134" s="571"/>
      <c r="E134" s="571"/>
      <c r="F134" s="571"/>
      <c r="G134" s="57"/>
      <c r="H134" s="569"/>
      <c r="I134" s="569"/>
      <c r="J134" s="569"/>
      <c r="K134" s="569"/>
      <c r="L134" s="569"/>
      <c r="M134" s="569"/>
    </row>
    <row r="135" spans="1:13" s="3" customFormat="1" ht="21.9" customHeight="1">
      <c r="A135" s="571"/>
      <c r="B135" s="571"/>
      <c r="C135" s="571"/>
      <c r="D135" s="571"/>
      <c r="E135" s="571"/>
      <c r="F135" s="571"/>
      <c r="G135" s="56"/>
      <c r="H135" s="569"/>
      <c r="I135" s="569"/>
      <c r="J135" s="569"/>
      <c r="K135" s="569"/>
      <c r="L135" s="569"/>
      <c r="M135" s="569"/>
    </row>
    <row r="136" spans="1:13" s="3" customFormat="1" ht="21.9" customHeight="1">
      <c r="A136" s="571"/>
      <c r="B136" s="571"/>
      <c r="C136" s="571"/>
      <c r="D136" s="571"/>
      <c r="E136" s="571"/>
      <c r="F136" s="571"/>
      <c r="G136" s="56"/>
      <c r="H136" s="569"/>
      <c r="I136" s="569"/>
      <c r="J136" s="569"/>
      <c r="K136" s="569"/>
      <c r="L136" s="569"/>
      <c r="M136" s="569"/>
    </row>
    <row r="137" spans="1:13" s="3" customFormat="1" ht="21.9" customHeight="1">
      <c r="A137" s="571"/>
      <c r="B137" s="571"/>
      <c r="C137" s="571"/>
      <c r="D137" s="571"/>
      <c r="E137" s="571"/>
      <c r="F137" s="571"/>
      <c r="G137" s="57"/>
      <c r="H137" s="569"/>
      <c r="I137" s="569"/>
      <c r="J137" s="569"/>
      <c r="K137" s="569"/>
      <c r="L137" s="569"/>
      <c r="M137" s="569"/>
    </row>
    <row r="138" spans="1:13" s="3" customFormat="1" ht="21.9" customHeight="1">
      <c r="A138" s="572"/>
      <c r="B138" s="572"/>
      <c r="C138" s="572"/>
      <c r="D138" s="572"/>
      <c r="E138" s="572"/>
      <c r="F138" s="572"/>
      <c r="G138" s="57"/>
      <c r="H138" s="572"/>
      <c r="I138" s="572"/>
      <c r="J138" s="572"/>
      <c r="K138" s="572"/>
      <c r="L138" s="572"/>
      <c r="M138" s="572"/>
    </row>
    <row r="139" spans="1:13" s="3" customFormat="1" ht="21.9" customHeight="1">
      <c r="A139" s="70" t="s">
        <v>34</v>
      </c>
      <c r="B139" s="5"/>
      <c r="C139" s="4"/>
      <c r="H139" s="573" t="s">
        <v>35</v>
      </c>
      <c r="I139" s="573"/>
      <c r="J139" s="573"/>
      <c r="K139" s="359"/>
      <c r="L139" s="573" t="s">
        <v>36</v>
      </c>
      <c r="M139" s="573"/>
    </row>
    <row r="140" spans="1:13" s="3" customFormat="1" ht="21.9" customHeight="1">
      <c r="A140" s="576"/>
      <c r="B140" s="576"/>
      <c r="C140" s="576"/>
      <c r="D140" s="576"/>
      <c r="E140" s="576"/>
      <c r="F140" s="576"/>
      <c r="G140" s="71"/>
      <c r="H140" s="577" t="s">
        <v>14</v>
      </c>
      <c r="I140" s="577"/>
      <c r="J140" s="74" t="s">
        <v>24</v>
      </c>
      <c r="K140" s="74"/>
      <c r="L140" s="74" t="s">
        <v>14</v>
      </c>
      <c r="M140" s="74" t="s">
        <v>24</v>
      </c>
    </row>
    <row r="141" spans="1:13" s="3" customFormat="1" ht="21.9" customHeight="1">
      <c r="A141" s="574"/>
      <c r="B141" s="574"/>
      <c r="C141" s="574"/>
      <c r="D141" s="574"/>
      <c r="E141" s="574"/>
      <c r="F141" s="574"/>
      <c r="G141" s="72"/>
      <c r="H141" s="575"/>
      <c r="I141" s="575"/>
      <c r="J141" s="55"/>
      <c r="K141" s="55"/>
      <c r="L141" s="76"/>
      <c r="M141" s="55"/>
    </row>
    <row r="142" spans="1:13" s="3" customFormat="1" ht="21.9" customHeight="1">
      <c r="A142" s="574"/>
      <c r="B142" s="574"/>
      <c r="C142" s="574"/>
      <c r="D142" s="574"/>
      <c r="E142" s="574"/>
      <c r="F142" s="574"/>
      <c r="G142" s="72"/>
      <c r="H142" s="575"/>
      <c r="I142" s="575"/>
      <c r="J142" s="55"/>
      <c r="K142" s="55"/>
      <c r="L142" s="76"/>
      <c r="M142" s="55"/>
    </row>
    <row r="143" spans="1:13" s="3" customFormat="1" ht="21.9" customHeight="1">
      <c r="A143" s="574"/>
      <c r="B143" s="574"/>
      <c r="C143" s="574"/>
      <c r="D143" s="574"/>
      <c r="E143" s="574"/>
      <c r="F143" s="574"/>
      <c r="G143" s="72"/>
      <c r="H143" s="575"/>
      <c r="I143" s="575"/>
      <c r="J143" s="55"/>
      <c r="K143" s="55"/>
      <c r="L143" s="76"/>
      <c r="M143" s="55"/>
    </row>
    <row r="144" spans="1:13" s="3" customFormat="1" ht="21.9" customHeight="1">
      <c r="A144" s="574"/>
      <c r="B144" s="574"/>
      <c r="C144" s="574"/>
      <c r="D144" s="574"/>
      <c r="E144" s="574"/>
      <c r="F144" s="574"/>
      <c r="G144" s="72"/>
      <c r="H144" s="575"/>
      <c r="I144" s="575"/>
      <c r="J144" s="55"/>
      <c r="K144" s="55"/>
      <c r="L144" s="76"/>
      <c r="M144" s="55"/>
    </row>
    <row r="145" spans="1:13" s="3" customFormat="1" ht="21.9" customHeight="1">
      <c r="A145" s="574"/>
      <c r="B145" s="574"/>
      <c r="C145" s="574"/>
      <c r="D145" s="574"/>
      <c r="E145" s="574"/>
      <c r="F145" s="574"/>
      <c r="G145" s="72"/>
      <c r="H145" s="575"/>
      <c r="I145" s="575"/>
      <c r="J145" s="55"/>
      <c r="K145" s="55"/>
      <c r="L145" s="77"/>
      <c r="M145" s="55"/>
    </row>
    <row r="146" spans="1:13" s="3" customFormat="1" ht="21.9" customHeight="1">
      <c r="A146" s="574"/>
      <c r="B146" s="574"/>
      <c r="C146" s="574"/>
      <c r="D146" s="574"/>
      <c r="E146" s="574"/>
      <c r="F146" s="574"/>
      <c r="G146" s="72"/>
      <c r="H146" s="575"/>
      <c r="I146" s="575"/>
      <c r="J146" s="73"/>
      <c r="K146" s="72"/>
      <c r="M146" s="73"/>
    </row>
    <row r="147" spans="1:13" s="3" customFormat="1" ht="21.9" customHeight="1">
      <c r="A147" s="574"/>
      <c r="B147" s="574"/>
      <c r="C147" s="574"/>
      <c r="D147" s="574"/>
      <c r="E147" s="574"/>
      <c r="F147" s="574"/>
      <c r="G147" s="72"/>
      <c r="H147" s="575"/>
      <c r="I147" s="575"/>
      <c r="J147" s="73"/>
      <c r="K147" s="73"/>
      <c r="L147" s="77"/>
      <c r="M147" s="73"/>
    </row>
    <row r="148" spans="1:13" s="3" customFormat="1" ht="21.9" customHeight="1">
      <c r="A148" s="574"/>
      <c r="B148" s="574"/>
      <c r="C148" s="574"/>
      <c r="D148" s="574"/>
      <c r="E148" s="574"/>
      <c r="F148" s="574"/>
      <c r="G148" s="72"/>
      <c r="H148" s="575"/>
      <c r="I148" s="575"/>
      <c r="J148" s="73"/>
      <c r="K148" s="73"/>
      <c r="L148" s="77"/>
      <c r="M148" s="73"/>
    </row>
    <row r="149" spans="1:13" s="3" customFormat="1" ht="21.9" customHeight="1">
      <c r="A149" s="574"/>
      <c r="B149" s="574"/>
      <c r="C149" s="574"/>
      <c r="D149" s="574"/>
      <c r="E149" s="574"/>
      <c r="F149" s="574"/>
      <c r="G149" s="72"/>
      <c r="H149" s="575"/>
      <c r="I149" s="575"/>
      <c r="J149" s="73"/>
      <c r="K149" s="73"/>
      <c r="L149" s="77"/>
      <c r="M149" s="73"/>
    </row>
    <row r="150" spans="1:13" s="3" customFormat="1" ht="21.9" customHeight="1">
      <c r="A150" s="574"/>
      <c r="B150" s="574"/>
      <c r="C150" s="574"/>
      <c r="D150" s="574"/>
      <c r="E150" s="574"/>
      <c r="F150" s="574"/>
      <c r="G150" s="72"/>
      <c r="H150" s="575"/>
      <c r="I150" s="575"/>
      <c r="J150" s="73"/>
      <c r="K150" s="73"/>
      <c r="L150" s="77"/>
      <c r="M150" s="73"/>
    </row>
    <row r="151" spans="1:13" s="3" customFormat="1" ht="21.9" customHeight="1">
      <c r="A151" s="45"/>
      <c r="B151" s="46"/>
      <c r="C151" s="46"/>
      <c r="D151" s="46"/>
      <c r="E151" s="44"/>
      <c r="F151" s="46"/>
      <c r="G151" s="46"/>
      <c r="H151" s="46"/>
      <c r="I151" s="46"/>
      <c r="J151" s="46"/>
      <c r="K151" s="46"/>
      <c r="L151" s="47"/>
      <c r="M151" s="46"/>
    </row>
    <row r="152" spans="1:13" s="3" customFormat="1" ht="21.9" customHeight="1">
      <c r="A152" s="45" t="s">
        <v>45</v>
      </c>
      <c r="B152" s="46"/>
      <c r="C152" s="46"/>
      <c r="D152" s="46"/>
      <c r="E152" s="44"/>
      <c r="F152" s="46"/>
      <c r="G152" s="46"/>
      <c r="H152" s="46"/>
      <c r="I152" s="46"/>
      <c r="J152" s="46"/>
      <c r="K152" s="46"/>
      <c r="L152" s="47"/>
      <c r="M152" s="46"/>
    </row>
    <row r="153" spans="1:13" s="3" customFormat="1" ht="21.9" customHeight="1">
      <c r="A153" s="45"/>
      <c r="B153" s="46"/>
      <c r="C153" s="46"/>
      <c r="D153" s="46"/>
      <c r="E153" s="44"/>
      <c r="F153" s="46"/>
      <c r="G153" s="46"/>
      <c r="H153" s="46"/>
      <c r="I153" s="48"/>
      <c r="J153" s="48"/>
      <c r="K153" s="48"/>
      <c r="L153" s="47"/>
      <c r="M153" s="46"/>
    </row>
    <row r="154" spans="1:13" s="3" customFormat="1" ht="21.9" customHeight="1">
      <c r="A154" s="46" t="s">
        <v>46</v>
      </c>
      <c r="B154" s="578" t="s">
        <v>47</v>
      </c>
      <c r="C154" s="579"/>
      <c r="D154" s="578" t="s">
        <v>48</v>
      </c>
      <c r="E154" s="579"/>
      <c r="F154" s="578" t="s">
        <v>49</v>
      </c>
      <c r="G154" s="579"/>
      <c r="H154" s="578" t="s">
        <v>50</v>
      </c>
      <c r="I154" s="579"/>
      <c r="J154" s="578" t="s">
        <v>51</v>
      </c>
      <c r="K154" s="769"/>
      <c r="L154" s="579"/>
      <c r="M154" s="49"/>
    </row>
    <row r="155" spans="1:13" s="3" customFormat="1" ht="21.9" customHeight="1">
      <c r="A155" s="50"/>
      <c r="B155" s="583"/>
      <c r="C155" s="584"/>
      <c r="D155" s="587"/>
      <c r="E155" s="588"/>
      <c r="F155" s="665"/>
      <c r="G155" s="666"/>
      <c r="H155" s="665"/>
      <c r="I155" s="666"/>
      <c r="J155" s="587"/>
      <c r="K155" s="770"/>
      <c r="L155" s="588"/>
      <c r="M155" s="49"/>
    </row>
    <row r="156" spans="1:13" s="3" customFormat="1" ht="21.9" customHeight="1">
      <c r="A156" s="50"/>
      <c r="B156" s="585"/>
      <c r="C156" s="586"/>
      <c r="D156" s="589"/>
      <c r="E156" s="590"/>
      <c r="F156" s="667"/>
      <c r="G156" s="668"/>
      <c r="H156" s="667"/>
      <c r="I156" s="668"/>
      <c r="J156" s="589"/>
      <c r="K156" s="771"/>
      <c r="L156" s="590"/>
      <c r="M156" s="49"/>
    </row>
    <row r="157" spans="1:13" s="3" customFormat="1" ht="21.9" customHeight="1">
      <c r="A157" s="35"/>
      <c r="B157" s="27"/>
      <c r="C157" s="27"/>
      <c r="D157" s="27"/>
      <c r="E157" s="35"/>
      <c r="F157" s="58"/>
      <c r="G157" s="58"/>
      <c r="H157" s="58"/>
      <c r="I157" s="58"/>
      <c r="J157" s="68"/>
      <c r="K157" s="68"/>
      <c r="L157" s="68"/>
    </row>
    <row r="158" spans="1:13" s="3" customFormat="1" ht="21.9" customHeight="1">
      <c r="A158" s="35" t="s">
        <v>53</v>
      </c>
      <c r="B158" s="27"/>
      <c r="C158" s="27"/>
      <c r="D158" s="35" t="s">
        <v>54</v>
      </c>
      <c r="E158" s="22"/>
      <c r="F158" s="58"/>
      <c r="G158" s="22"/>
      <c r="H158" s="35" t="s">
        <v>250</v>
      </c>
      <c r="I158" s="58"/>
      <c r="J158" s="22"/>
      <c r="K158" s="22"/>
      <c r="L158" s="68" t="s">
        <v>266</v>
      </c>
    </row>
    <row r="159" spans="1:13" s="3" customFormat="1" ht="21.9" customHeight="1">
      <c r="A159" s="29"/>
      <c r="B159" s="29"/>
      <c r="C159" s="29"/>
      <c r="D159" s="29"/>
      <c r="E159" s="29"/>
      <c r="F159" s="29"/>
      <c r="G159" s="22"/>
      <c r="H159" s="29"/>
      <c r="I159" s="29"/>
    </row>
    <row r="160" spans="1:13" s="3" customFormat="1" ht="21.9" customHeight="1">
      <c r="A160" s="580"/>
      <c r="B160" s="580"/>
      <c r="C160" s="318"/>
      <c r="D160" s="671" t="s">
        <v>267</v>
      </c>
      <c r="E160" s="671"/>
      <c r="F160" s="671"/>
      <c r="G160" s="22"/>
      <c r="H160" s="672" t="s">
        <v>247</v>
      </c>
      <c r="I160" s="672"/>
      <c r="J160" s="672"/>
      <c r="K160" s="360"/>
      <c r="L160" s="662" t="s">
        <v>268</v>
      </c>
      <c r="M160" s="662"/>
    </row>
    <row r="161" spans="1:13" s="3" customFormat="1" ht="21.9" customHeight="1">
      <c r="A161" s="663" t="s">
        <v>59</v>
      </c>
      <c r="B161" s="663"/>
      <c r="C161" s="319"/>
      <c r="D161" s="664" t="s">
        <v>60</v>
      </c>
      <c r="E161" s="664"/>
      <c r="F161" s="664"/>
      <c r="H161" s="663" t="s">
        <v>252</v>
      </c>
      <c r="I161" s="663"/>
      <c r="J161" s="663"/>
      <c r="K161" s="321"/>
      <c r="L161" s="320" t="s">
        <v>253</v>
      </c>
      <c r="M161" s="320"/>
    </row>
    <row r="162" spans="1:13" s="3" customFormat="1" ht="21.9" customHeight="1">
      <c r="A162" s="32"/>
      <c r="B162" s="32"/>
      <c r="C162" s="32"/>
      <c r="D162" s="32"/>
      <c r="E162" s="32"/>
      <c r="F162" s="31"/>
      <c r="G162" s="31"/>
      <c r="H162" s="31"/>
      <c r="I162" s="31"/>
      <c r="J162" s="31"/>
      <c r="K162" s="31"/>
    </row>
    <row r="163" spans="1:13" s="3" customFormat="1" ht="21.9" customHeight="1">
      <c r="A163" s="32"/>
      <c r="B163" s="32"/>
      <c r="C163" s="32"/>
      <c r="D163" s="32"/>
      <c r="E163" s="32"/>
      <c r="F163" s="31"/>
      <c r="G163" s="31"/>
      <c r="H163" s="31"/>
      <c r="I163" s="31"/>
      <c r="J163" s="31"/>
      <c r="K163" s="31"/>
    </row>
    <row r="164" spans="1:13" s="3" customFormat="1" ht="21.9" customHeight="1">
      <c r="A164" s="32"/>
      <c r="B164" s="32"/>
      <c r="C164" s="32"/>
      <c r="D164" s="32"/>
      <c r="E164" s="32"/>
      <c r="F164" s="33"/>
      <c r="G164" s="33"/>
      <c r="H164" s="33"/>
      <c r="I164" s="33"/>
      <c r="J164" s="33"/>
      <c r="K164" s="33"/>
    </row>
    <row r="165" spans="1:13" s="3" customFormat="1" ht="21.9" customHeight="1">
      <c r="A165" s="32"/>
      <c r="B165" s="32"/>
      <c r="C165" s="32"/>
      <c r="D165" s="32"/>
      <c r="E165" s="32"/>
      <c r="F165" s="33"/>
      <c r="G165" s="33"/>
      <c r="H165" s="33"/>
      <c r="I165" s="33"/>
      <c r="J165" s="33"/>
      <c r="K165" s="33"/>
    </row>
    <row r="166" spans="1:13" s="3" customFormat="1" ht="21.9" customHeight="1">
      <c r="A166" s="13"/>
      <c r="B166" s="13"/>
      <c r="C166" s="13"/>
      <c r="D166" s="13"/>
      <c r="E166" s="13"/>
      <c r="F166" s="14"/>
      <c r="G166" s="14"/>
      <c r="H166" s="14"/>
      <c r="I166" s="14"/>
      <c r="J166" s="14"/>
      <c r="K166" s="14"/>
      <c r="L166" s="9"/>
      <c r="M166" s="9"/>
    </row>
    <row r="167" spans="1:13" s="3" customFormat="1" ht="21.9" customHeight="1">
      <c r="A167" s="13"/>
      <c r="B167" s="13"/>
      <c r="C167" s="13"/>
      <c r="D167" s="13"/>
      <c r="E167" s="13"/>
      <c r="F167" s="14"/>
      <c r="G167" s="14"/>
      <c r="H167" s="14"/>
      <c r="I167" s="14"/>
      <c r="J167" s="14"/>
      <c r="K167" s="14"/>
      <c r="L167" s="9"/>
      <c r="M167" s="9"/>
    </row>
    <row r="168" spans="1:13" s="3" customFormat="1" ht="21.9" customHeight="1">
      <c r="A168" s="13"/>
      <c r="B168" s="13"/>
      <c r="C168" s="13"/>
      <c r="D168" s="13"/>
      <c r="E168" s="13"/>
      <c r="F168" s="14"/>
      <c r="G168" s="14"/>
      <c r="H168" s="14"/>
      <c r="I168" s="14"/>
      <c r="J168" s="14"/>
      <c r="K168" s="14"/>
      <c r="L168" s="9"/>
      <c r="M168" s="9"/>
    </row>
    <row r="169" spans="1:13" s="3" customFormat="1" ht="21.9" customHeight="1">
      <c r="A169" s="13"/>
      <c r="B169" s="13"/>
      <c r="C169" s="13"/>
      <c r="D169" s="13"/>
      <c r="E169" s="13"/>
      <c r="F169" s="14"/>
      <c r="G169" s="14"/>
      <c r="H169" s="14"/>
      <c r="I169" s="14"/>
      <c r="J169" s="14"/>
      <c r="K169" s="14"/>
      <c r="L169" s="9"/>
      <c r="M169" s="9"/>
    </row>
    <row r="170" spans="1:13" s="3" customFormat="1" ht="21.9" customHeight="1">
      <c r="A170" s="13"/>
      <c r="B170" s="13"/>
      <c r="C170" s="13"/>
      <c r="D170" s="13"/>
      <c r="E170" s="13"/>
      <c r="F170" s="14"/>
      <c r="G170" s="14"/>
      <c r="H170" s="14"/>
      <c r="I170" s="14"/>
      <c r="J170" s="14"/>
      <c r="K170" s="14"/>
      <c r="L170" s="9"/>
      <c r="M170" s="9"/>
    </row>
    <row r="171" spans="1:13" s="3" customFormat="1" ht="21.9" customHeight="1">
      <c r="A171" s="13"/>
      <c r="B171" s="13"/>
      <c r="C171" s="13"/>
      <c r="D171" s="13"/>
      <c r="E171" s="13"/>
      <c r="F171" s="10"/>
      <c r="G171" s="10"/>
      <c r="H171" s="10"/>
      <c r="I171" s="10"/>
      <c r="J171" s="10"/>
      <c r="K171" s="10"/>
      <c r="L171" s="9"/>
      <c r="M171" s="9"/>
    </row>
    <row r="172" spans="1:13" s="9" customFormat="1" ht="21.9" customHeight="1">
      <c r="A172" s="13"/>
      <c r="B172" s="13"/>
      <c r="C172" s="13"/>
      <c r="D172" s="13"/>
      <c r="E172" s="13"/>
      <c r="F172" s="14"/>
      <c r="G172" s="14"/>
      <c r="H172" s="14"/>
      <c r="I172" s="14"/>
      <c r="J172" s="14"/>
      <c r="K172" s="14"/>
    </row>
    <row r="173" spans="1:13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  <c r="K173" s="14"/>
    </row>
    <row r="174" spans="1:13" s="9" customFormat="1" ht="21.9" customHeight="1">
      <c r="A174" s="13"/>
      <c r="B174" s="13"/>
      <c r="C174" s="13"/>
      <c r="D174" s="13"/>
      <c r="E174" s="13"/>
      <c r="F174" s="14"/>
      <c r="G174" s="14"/>
      <c r="H174" s="14"/>
      <c r="I174" s="14"/>
      <c r="J174" s="14"/>
      <c r="K174" s="14"/>
    </row>
    <row r="175" spans="1:13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  <c r="K175" s="8"/>
    </row>
    <row r="176" spans="1:13" s="9" customFormat="1" ht="21.9" customHeight="1">
      <c r="A176" s="13"/>
      <c r="B176" s="13"/>
      <c r="C176" s="13"/>
      <c r="D176" s="13"/>
      <c r="E176" s="13"/>
      <c r="F176" s="14"/>
      <c r="G176" s="14"/>
      <c r="H176" s="14"/>
      <c r="I176" s="14"/>
      <c r="J176" s="14"/>
      <c r="K176" s="14"/>
    </row>
    <row r="177" spans="1:11" s="9" customFormat="1" ht="21.9" customHeight="1">
      <c r="A177" s="13"/>
      <c r="B177" s="13"/>
      <c r="C177" s="13"/>
      <c r="D177" s="13"/>
      <c r="E177" s="13"/>
      <c r="F177" s="10"/>
      <c r="G177" s="10"/>
      <c r="H177" s="10"/>
      <c r="I177" s="10"/>
      <c r="J177" s="10"/>
      <c r="K177" s="10"/>
    </row>
    <row r="178" spans="1:11" s="9" customFormat="1" ht="21.9" customHeight="1">
      <c r="A178" s="13"/>
      <c r="B178" s="13"/>
      <c r="C178" s="13"/>
      <c r="D178" s="13"/>
      <c r="E178" s="13"/>
      <c r="F178" s="12"/>
      <c r="G178" s="12"/>
      <c r="H178" s="12"/>
      <c r="I178" s="12"/>
      <c r="J178" s="12"/>
      <c r="K178" s="12"/>
    </row>
    <row r="179" spans="1:11" s="9" customFormat="1" ht="21.9" customHeight="1">
      <c r="A179" s="13"/>
      <c r="B179" s="13"/>
      <c r="C179" s="13"/>
      <c r="D179" s="13"/>
      <c r="E179" s="13"/>
      <c r="F179" s="12"/>
      <c r="G179" s="12"/>
      <c r="H179" s="12"/>
      <c r="I179" s="12"/>
      <c r="J179" s="12"/>
      <c r="K179" s="12"/>
    </row>
    <row r="180" spans="1:11" s="9" customFormat="1" ht="21.9" customHeight="1">
      <c r="A180" s="13"/>
      <c r="B180" s="13"/>
      <c r="C180" s="13"/>
      <c r="D180" s="13"/>
      <c r="E180" s="13"/>
      <c r="F180" s="12"/>
      <c r="G180" s="12"/>
      <c r="H180" s="12"/>
      <c r="I180" s="12"/>
      <c r="J180" s="12"/>
      <c r="K180" s="12"/>
    </row>
    <row r="181" spans="1:11" s="9" customFormat="1" ht="21.9" customHeight="1">
      <c r="A181" s="13"/>
      <c r="B181" s="13"/>
      <c r="C181" s="13"/>
      <c r="D181" s="13"/>
      <c r="E181" s="13"/>
      <c r="F181" s="12"/>
      <c r="G181" s="12"/>
      <c r="H181" s="12"/>
      <c r="I181" s="12"/>
      <c r="J181" s="12"/>
      <c r="K181" s="12"/>
    </row>
    <row r="182" spans="1:11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  <c r="K182" s="12"/>
    </row>
    <row r="183" spans="1:11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  <c r="K183" s="12"/>
    </row>
    <row r="184" spans="1:11" s="9" customFormat="1" ht="21.9" customHeight="1">
      <c r="A184" s="13"/>
      <c r="B184" s="13"/>
      <c r="C184" s="13"/>
      <c r="D184" s="13"/>
      <c r="E184" s="13"/>
      <c r="F184" s="14"/>
      <c r="G184" s="14"/>
      <c r="H184" s="14"/>
      <c r="I184" s="14"/>
      <c r="J184" s="14"/>
      <c r="K184" s="14"/>
    </row>
    <row r="185" spans="1:11" s="9" customFormat="1" ht="21.9" customHeight="1">
      <c r="A185" s="13"/>
      <c r="B185" s="13"/>
      <c r="C185" s="13"/>
      <c r="D185" s="13"/>
      <c r="E185" s="13"/>
      <c r="F185" s="8"/>
      <c r="G185" s="8"/>
      <c r="H185" s="8"/>
      <c r="I185" s="8"/>
      <c r="J185" s="8"/>
      <c r="K185" s="8"/>
    </row>
    <row r="186" spans="1:11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  <c r="K186" s="8"/>
    </row>
    <row r="187" spans="1:11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  <c r="K187" s="8"/>
    </row>
    <row r="188" spans="1:11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  <c r="K188" s="8"/>
    </row>
    <row r="189" spans="1:11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  <c r="K189" s="8"/>
    </row>
    <row r="190" spans="1:11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  <c r="K190" s="8"/>
    </row>
    <row r="191" spans="1:11" s="9" customFormat="1" ht="21.9" customHeight="1">
      <c r="A191" s="13"/>
      <c r="B191" s="13"/>
      <c r="C191" s="13"/>
      <c r="D191" s="13"/>
      <c r="E191" s="13"/>
      <c r="F191" s="10"/>
      <c r="G191" s="10"/>
      <c r="H191" s="10"/>
      <c r="I191" s="10"/>
      <c r="J191" s="10"/>
      <c r="K191" s="10"/>
    </row>
    <row r="192" spans="1:11" s="9" customFormat="1" ht="21.9" customHeight="1">
      <c r="A192" s="13"/>
      <c r="B192" s="13"/>
      <c r="C192" s="13"/>
      <c r="D192" s="13"/>
      <c r="E192" s="13"/>
      <c r="F192" s="10"/>
      <c r="G192" s="10"/>
      <c r="H192" s="10"/>
      <c r="I192" s="10"/>
      <c r="J192" s="10"/>
      <c r="K192" s="10"/>
    </row>
    <row r="193" spans="1:11" s="9" customFormat="1" ht="21.9" customHeight="1">
      <c r="A193" s="13"/>
      <c r="B193" s="13"/>
      <c r="C193" s="13"/>
      <c r="D193" s="13"/>
      <c r="E193" s="13"/>
      <c r="F193" s="10"/>
      <c r="G193" s="10"/>
      <c r="H193" s="10"/>
      <c r="I193" s="10"/>
      <c r="J193" s="10"/>
      <c r="K193" s="10"/>
    </row>
    <row r="194" spans="1:11" s="9" customFormat="1" ht="21.9" customHeight="1">
      <c r="A194" s="13"/>
      <c r="B194" s="13"/>
      <c r="C194" s="13"/>
      <c r="D194" s="13"/>
      <c r="E194" s="13"/>
      <c r="F194" s="10"/>
      <c r="G194" s="10"/>
      <c r="H194" s="10"/>
      <c r="I194" s="10"/>
      <c r="J194" s="10"/>
      <c r="K194" s="10"/>
    </row>
    <row r="195" spans="1:11" s="9" customFormat="1" ht="21.9" customHeight="1">
      <c r="A195" s="13"/>
      <c r="B195" s="13"/>
      <c r="C195" s="13"/>
      <c r="D195" s="13"/>
      <c r="E195" s="13"/>
      <c r="F195" s="12"/>
      <c r="G195" s="12"/>
      <c r="H195" s="12"/>
      <c r="I195" s="12"/>
      <c r="J195" s="12"/>
      <c r="K195" s="12"/>
    </row>
    <row r="196" spans="1:11" s="9" customFormat="1" ht="21.9" customHeight="1">
      <c r="A196" s="13"/>
      <c r="B196" s="13"/>
      <c r="C196" s="13"/>
      <c r="D196" s="13"/>
      <c r="E196" s="13"/>
      <c r="F196" s="12"/>
      <c r="G196" s="12"/>
      <c r="H196" s="12"/>
      <c r="I196" s="12"/>
      <c r="J196" s="12"/>
      <c r="K196" s="12"/>
    </row>
    <row r="197" spans="1:11" s="9" customFormat="1" ht="21.9" customHeight="1">
      <c r="A197" s="13"/>
      <c r="B197" s="13"/>
      <c r="C197" s="13"/>
      <c r="D197" s="13"/>
      <c r="E197" s="13"/>
      <c r="F197" s="12"/>
      <c r="G197" s="12"/>
      <c r="H197" s="12"/>
      <c r="I197" s="12"/>
      <c r="J197" s="12"/>
      <c r="K197" s="12"/>
    </row>
    <row r="198" spans="1:11" s="9" customFormat="1" ht="21.9" customHeight="1">
      <c r="A198" s="13"/>
      <c r="B198" s="13"/>
      <c r="C198" s="13"/>
      <c r="D198" s="13"/>
      <c r="E198" s="13"/>
      <c r="F198" s="8"/>
      <c r="G198" s="8"/>
      <c r="H198" s="8"/>
      <c r="I198" s="8"/>
      <c r="J198" s="8"/>
      <c r="K198" s="8"/>
    </row>
    <row r="199" spans="1:11" s="9" customFormat="1" ht="21.9" customHeight="1">
      <c r="A199" s="13"/>
      <c r="B199" s="13"/>
      <c r="C199" s="13"/>
      <c r="D199" s="13"/>
      <c r="E199" s="13"/>
      <c r="F199" s="8"/>
      <c r="G199" s="8"/>
      <c r="H199" s="8"/>
      <c r="I199" s="8"/>
      <c r="J199" s="8"/>
      <c r="K199" s="8"/>
    </row>
    <row r="200" spans="1:11" s="9" customFormat="1" ht="21.9" customHeight="1">
      <c r="A200" s="13"/>
      <c r="B200" s="13"/>
      <c r="C200" s="13"/>
      <c r="D200" s="13"/>
      <c r="E200" s="13"/>
      <c r="F200" s="12"/>
      <c r="G200" s="12"/>
      <c r="H200" s="12"/>
      <c r="I200" s="12"/>
      <c r="J200" s="12"/>
      <c r="K200" s="12"/>
    </row>
    <row r="201" spans="1:11" s="9" customFormat="1" ht="21.9" customHeight="1">
      <c r="A201" s="13"/>
      <c r="B201" s="13"/>
      <c r="C201" s="13"/>
      <c r="D201" s="13"/>
      <c r="E201" s="13"/>
      <c r="F201" s="12"/>
      <c r="G201" s="12"/>
      <c r="H201" s="12"/>
      <c r="I201" s="12"/>
      <c r="J201" s="12"/>
      <c r="K201" s="12"/>
    </row>
    <row r="202" spans="1:11" s="9" customFormat="1" ht="21.9" customHeight="1">
      <c r="A202" s="13"/>
      <c r="B202" s="13"/>
      <c r="C202" s="13"/>
      <c r="D202" s="13"/>
      <c r="E202" s="13"/>
      <c r="F202" s="8"/>
      <c r="G202" s="8"/>
      <c r="H202" s="8"/>
      <c r="I202" s="8"/>
      <c r="J202" s="8"/>
      <c r="K202" s="8"/>
    </row>
    <row r="203" spans="1:11" s="9" customFormat="1" ht="21.9" customHeight="1">
      <c r="A203" s="13"/>
      <c r="B203" s="13"/>
      <c r="C203" s="13"/>
      <c r="D203" s="13"/>
      <c r="E203" s="13"/>
      <c r="F203" s="8"/>
      <c r="G203" s="8"/>
      <c r="H203" s="8"/>
      <c r="I203" s="8"/>
      <c r="J203" s="8"/>
      <c r="K203" s="8"/>
    </row>
    <row r="204" spans="1:11" s="9" customFormat="1" ht="21.9" customHeight="1">
      <c r="A204" s="13"/>
      <c r="B204" s="13"/>
      <c r="C204" s="13"/>
      <c r="D204" s="13"/>
      <c r="E204" s="13"/>
      <c r="F204" s="8"/>
      <c r="G204" s="8"/>
      <c r="H204" s="8"/>
      <c r="I204" s="8"/>
      <c r="J204" s="8"/>
      <c r="K204" s="8"/>
    </row>
    <row r="205" spans="1:11" s="9" customFormat="1" ht="21.9" customHeight="1">
      <c r="A205" s="13"/>
      <c r="B205" s="13"/>
      <c r="C205" s="13"/>
      <c r="D205" s="13"/>
      <c r="E205" s="13"/>
      <c r="F205" s="8"/>
      <c r="G205" s="8"/>
      <c r="H205" s="8"/>
      <c r="I205" s="8"/>
      <c r="J205" s="8"/>
      <c r="K205" s="8"/>
    </row>
    <row r="206" spans="1:11" s="9" customFormat="1" ht="21.9" customHeight="1">
      <c r="A206" s="13"/>
      <c r="B206" s="13"/>
      <c r="C206" s="13"/>
      <c r="D206" s="13"/>
      <c r="E206" s="13"/>
      <c r="F206" s="8"/>
      <c r="G206" s="8"/>
      <c r="H206" s="8"/>
      <c r="I206" s="8"/>
      <c r="J206" s="8"/>
      <c r="K206" s="8"/>
    </row>
    <row r="207" spans="1:11" s="9" customFormat="1" ht="21.9" customHeight="1">
      <c r="A207" s="13"/>
      <c r="B207" s="13"/>
      <c r="C207" s="13"/>
      <c r="D207" s="13"/>
      <c r="E207" s="13"/>
      <c r="F207" s="8"/>
      <c r="G207" s="8"/>
      <c r="H207" s="8"/>
      <c r="I207" s="8"/>
      <c r="J207" s="8"/>
      <c r="K207" s="8"/>
    </row>
    <row r="208" spans="1:11" s="9" customFormat="1" ht="21.9" customHeight="1">
      <c r="A208" s="13"/>
      <c r="B208" s="13"/>
      <c r="C208" s="13"/>
      <c r="D208" s="13"/>
      <c r="E208" s="13"/>
      <c r="F208" s="11"/>
      <c r="G208" s="11"/>
      <c r="H208" s="11"/>
      <c r="I208" s="11"/>
      <c r="J208" s="11"/>
      <c r="K208" s="11"/>
    </row>
    <row r="209" spans="1:11" s="9" customFormat="1" ht="21.9" customHeight="1">
      <c r="A209" s="13"/>
      <c r="B209" s="13"/>
      <c r="C209" s="13"/>
      <c r="D209" s="13"/>
      <c r="E209" s="13"/>
      <c r="F209" s="11"/>
      <c r="G209" s="11"/>
      <c r="H209" s="11"/>
      <c r="I209" s="11"/>
      <c r="J209" s="11"/>
      <c r="K209" s="11"/>
    </row>
    <row r="210" spans="1:11" s="9" customFormat="1" ht="21.9" customHeight="1">
      <c r="A210" s="13"/>
      <c r="B210" s="13"/>
      <c r="C210" s="13"/>
      <c r="D210" s="13"/>
      <c r="E210" s="13"/>
      <c r="F210" s="11"/>
      <c r="G210" s="11"/>
      <c r="H210" s="11"/>
      <c r="I210" s="11"/>
      <c r="J210" s="11"/>
      <c r="K210" s="11"/>
    </row>
    <row r="211" spans="1:11" s="9" customFormat="1" ht="21.9" customHeight="1">
      <c r="A211" s="13"/>
      <c r="B211" s="13"/>
      <c r="C211" s="13"/>
      <c r="D211" s="13"/>
      <c r="E211" s="13"/>
      <c r="F211" s="11"/>
      <c r="G211" s="11"/>
      <c r="H211" s="11"/>
      <c r="I211" s="11"/>
      <c r="J211" s="11"/>
      <c r="K211" s="11"/>
    </row>
    <row r="212" spans="1:11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  <c r="K212" s="12"/>
    </row>
    <row r="213" spans="1:11" s="9" customFormat="1" ht="21.9" customHeight="1">
      <c r="A213" s="15"/>
      <c r="B213" s="15"/>
      <c r="C213" s="15"/>
      <c r="D213" s="15"/>
      <c r="E213" s="15"/>
      <c r="F213" s="11"/>
      <c r="G213" s="11"/>
      <c r="H213" s="11"/>
      <c r="I213" s="11"/>
      <c r="J213" s="11"/>
      <c r="K213" s="11"/>
    </row>
    <row r="214" spans="1:11" s="9" customFormat="1" ht="21.9" customHeight="1">
      <c r="A214" s="15"/>
      <c r="B214" s="15"/>
      <c r="C214" s="15"/>
      <c r="D214" s="15"/>
      <c r="E214" s="15"/>
      <c r="F214" s="12"/>
      <c r="G214" s="12"/>
      <c r="H214" s="12"/>
      <c r="I214" s="12"/>
      <c r="J214" s="12"/>
      <c r="K214" s="12"/>
    </row>
    <row r="215" spans="1:11" s="9" customFormat="1" ht="21.9" customHeight="1">
      <c r="A215" s="15"/>
      <c r="B215" s="15"/>
      <c r="C215" s="15"/>
      <c r="D215" s="15"/>
      <c r="E215" s="15"/>
      <c r="F215" s="12"/>
      <c r="G215" s="12"/>
      <c r="H215" s="12"/>
      <c r="I215" s="12"/>
      <c r="J215" s="12"/>
      <c r="K215" s="12"/>
    </row>
    <row r="216" spans="1:11" s="9" customFormat="1" ht="21.9" customHeight="1">
      <c r="A216" s="15"/>
      <c r="B216" s="15"/>
      <c r="C216" s="15"/>
      <c r="D216" s="15"/>
      <c r="E216" s="15"/>
      <c r="F216" s="12"/>
      <c r="G216" s="12"/>
      <c r="H216" s="12"/>
      <c r="I216" s="12"/>
      <c r="J216" s="12"/>
      <c r="K216" s="12"/>
    </row>
    <row r="217" spans="1:11" s="9" customFormat="1" ht="21.9" customHeight="1">
      <c r="A217" s="15"/>
      <c r="B217" s="15"/>
      <c r="C217" s="15"/>
      <c r="D217" s="15"/>
      <c r="E217" s="15"/>
      <c r="F217" s="12"/>
      <c r="G217" s="12"/>
      <c r="H217" s="12"/>
      <c r="I217" s="12"/>
      <c r="J217" s="12"/>
      <c r="K217" s="12"/>
    </row>
    <row r="218" spans="1:11" s="9" customFormat="1" ht="21.9" customHeight="1">
      <c r="A218" s="15"/>
      <c r="B218" s="15"/>
      <c r="C218" s="15"/>
      <c r="D218" s="15"/>
      <c r="E218" s="15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5"/>
      <c r="B219" s="15"/>
      <c r="C219" s="15"/>
      <c r="D219" s="15"/>
      <c r="E219" s="15"/>
      <c r="F219" s="12"/>
      <c r="G219" s="12"/>
      <c r="H219" s="12"/>
      <c r="I219" s="12"/>
      <c r="J219" s="12"/>
      <c r="K219" s="12"/>
    </row>
    <row r="220" spans="1:11" s="9" customFormat="1" ht="21.9" customHeight="1">
      <c r="A220" s="15"/>
      <c r="B220" s="15"/>
      <c r="C220" s="15"/>
      <c r="D220" s="15"/>
      <c r="E220" s="15"/>
      <c r="F220" s="8"/>
      <c r="G220" s="8"/>
      <c r="H220" s="8"/>
      <c r="I220" s="8"/>
      <c r="J220" s="8"/>
      <c r="K220" s="8"/>
    </row>
    <row r="221" spans="1:11" s="9" customFormat="1" ht="21.9" customHeight="1">
      <c r="A221" s="15"/>
      <c r="B221" s="15"/>
      <c r="C221" s="15"/>
      <c r="D221" s="15"/>
      <c r="E221" s="15"/>
      <c r="F221" s="12"/>
      <c r="G221" s="12"/>
      <c r="H221" s="12"/>
      <c r="I221" s="12"/>
      <c r="J221" s="12"/>
      <c r="K221" s="12"/>
    </row>
    <row r="222" spans="1:11" s="9" customFormat="1" ht="21.9" customHeight="1">
      <c r="A222" s="15"/>
      <c r="B222" s="15"/>
      <c r="C222" s="15"/>
      <c r="D222" s="15"/>
      <c r="E222" s="15"/>
      <c r="F222" s="12"/>
      <c r="G222" s="12"/>
      <c r="H222" s="12"/>
      <c r="I222" s="12"/>
      <c r="J222" s="12"/>
      <c r="K222" s="12"/>
    </row>
    <row r="223" spans="1:11" s="9" customFormat="1" ht="21.9" customHeight="1">
      <c r="A223" s="15"/>
      <c r="B223" s="15"/>
      <c r="C223" s="15"/>
      <c r="D223" s="15"/>
      <c r="E223" s="15"/>
      <c r="F223" s="12"/>
      <c r="G223" s="12"/>
      <c r="H223" s="12"/>
      <c r="I223" s="12"/>
      <c r="J223" s="12"/>
      <c r="K223" s="12"/>
    </row>
    <row r="224" spans="1:11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  <c r="K224" s="8"/>
    </row>
    <row r="225" spans="1:11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  <c r="K225" s="8"/>
    </row>
    <row r="226" spans="1:11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  <c r="K226" s="8"/>
    </row>
    <row r="227" spans="1:11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  <c r="K227" s="8"/>
    </row>
    <row r="228" spans="1:11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  <c r="K228" s="8"/>
    </row>
    <row r="229" spans="1:11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  <c r="K229" s="8"/>
    </row>
    <row r="230" spans="1:11" s="9" customFormat="1" ht="21.9" customHeight="1">
      <c r="A230" s="15"/>
      <c r="B230" s="15"/>
      <c r="C230" s="15"/>
      <c r="D230" s="15"/>
      <c r="E230" s="15"/>
      <c r="F230" s="11"/>
      <c r="G230" s="11"/>
      <c r="H230" s="11"/>
      <c r="I230" s="11"/>
      <c r="J230" s="11"/>
      <c r="K230" s="11"/>
    </row>
    <row r="231" spans="1:11" s="9" customFormat="1" ht="21.9" customHeight="1">
      <c r="A231" s="15"/>
      <c r="B231" s="15"/>
      <c r="C231" s="15"/>
      <c r="D231" s="15"/>
      <c r="E231" s="15"/>
      <c r="F231" s="11"/>
      <c r="G231" s="11"/>
      <c r="H231" s="11"/>
      <c r="I231" s="11"/>
      <c r="J231" s="11"/>
      <c r="K231" s="11"/>
    </row>
    <row r="232" spans="1:11" s="9" customFormat="1" ht="21.9" customHeight="1">
      <c r="A232" s="15"/>
      <c r="B232" s="15"/>
      <c r="C232" s="15"/>
      <c r="D232" s="15"/>
      <c r="E232" s="15"/>
      <c r="F232" s="11"/>
      <c r="G232" s="11"/>
      <c r="H232" s="11"/>
      <c r="I232" s="11"/>
      <c r="J232" s="11"/>
      <c r="K232" s="11"/>
    </row>
    <row r="233" spans="1:11" s="9" customFormat="1" ht="21.9" customHeight="1">
      <c r="A233" s="15"/>
      <c r="B233" s="15"/>
      <c r="C233" s="15"/>
      <c r="D233" s="15"/>
      <c r="E233" s="15"/>
      <c r="F233" s="11"/>
      <c r="G233" s="11"/>
      <c r="H233" s="11"/>
      <c r="I233" s="11"/>
      <c r="J233" s="11"/>
      <c r="K233" s="11"/>
    </row>
    <row r="234" spans="1:11" s="9" customFormat="1" ht="21.9" customHeight="1">
      <c r="A234" s="15"/>
      <c r="B234" s="15"/>
      <c r="C234" s="15"/>
      <c r="D234" s="15"/>
      <c r="E234" s="15"/>
      <c r="F234" s="11"/>
      <c r="G234" s="11"/>
      <c r="H234" s="11"/>
      <c r="I234" s="11"/>
      <c r="J234" s="11"/>
      <c r="K234" s="11"/>
    </row>
    <row r="235" spans="1:11" s="9" customFormat="1" ht="21.9" customHeight="1">
      <c r="A235" s="15"/>
      <c r="B235" s="15"/>
      <c r="C235" s="15"/>
      <c r="D235" s="15"/>
      <c r="E235" s="15"/>
      <c r="F235" s="11"/>
      <c r="G235" s="11"/>
      <c r="H235" s="11"/>
      <c r="I235" s="11"/>
      <c r="J235" s="11"/>
      <c r="K235" s="11"/>
    </row>
    <row r="236" spans="1:11" s="9" customFormat="1" ht="21.9" customHeight="1">
      <c r="A236" s="15"/>
      <c r="B236" s="15"/>
      <c r="C236" s="15"/>
      <c r="D236" s="15"/>
      <c r="E236" s="15"/>
      <c r="F236" s="8"/>
      <c r="G236" s="8"/>
      <c r="H236" s="8"/>
      <c r="I236" s="8"/>
      <c r="J236" s="8"/>
      <c r="K236" s="8"/>
    </row>
    <row r="237" spans="1:11" s="9" customFormat="1" ht="21.9" customHeight="1">
      <c r="A237" s="15"/>
      <c r="B237" s="15"/>
      <c r="C237" s="15"/>
      <c r="D237" s="15"/>
      <c r="E237" s="15"/>
      <c r="F237" s="8"/>
      <c r="G237" s="8"/>
      <c r="H237" s="8"/>
      <c r="I237" s="8"/>
      <c r="J237" s="8"/>
      <c r="K237" s="8"/>
    </row>
    <row r="238" spans="1:11" s="9" customFormat="1" ht="21.9" customHeight="1">
      <c r="A238" s="15"/>
      <c r="B238" s="15"/>
      <c r="C238" s="15"/>
      <c r="D238" s="15"/>
      <c r="E238" s="15"/>
      <c r="F238" s="8"/>
      <c r="G238" s="8"/>
      <c r="H238" s="8"/>
      <c r="I238" s="8"/>
      <c r="J238" s="8"/>
      <c r="K238" s="8"/>
    </row>
    <row r="239" spans="1:11" s="9" customFormat="1" ht="21.9" customHeight="1">
      <c r="A239" s="15"/>
      <c r="B239" s="15"/>
      <c r="C239" s="15"/>
      <c r="D239" s="15"/>
      <c r="E239" s="15"/>
      <c r="F239" s="8"/>
      <c r="G239" s="8"/>
      <c r="H239" s="8"/>
      <c r="I239" s="8"/>
      <c r="J239" s="8"/>
      <c r="K239" s="8"/>
    </row>
    <row r="240" spans="1:11" s="9" customFormat="1" ht="21.9" customHeight="1">
      <c r="A240" s="15"/>
      <c r="B240" s="15"/>
      <c r="C240" s="15"/>
      <c r="D240" s="15"/>
      <c r="E240" s="15"/>
      <c r="F240" s="8"/>
      <c r="G240" s="8"/>
      <c r="H240" s="8"/>
      <c r="I240" s="8"/>
      <c r="J240" s="8"/>
      <c r="K240" s="8"/>
    </row>
    <row r="241" spans="1:11" s="9" customFormat="1" ht="21.9" customHeight="1">
      <c r="A241" s="15"/>
      <c r="B241" s="15"/>
      <c r="C241" s="15"/>
      <c r="D241" s="15"/>
      <c r="E241" s="15"/>
      <c r="F241" s="8"/>
      <c r="G241" s="8"/>
      <c r="H241" s="8"/>
      <c r="I241" s="8"/>
      <c r="J241" s="8"/>
      <c r="K241" s="8"/>
    </row>
    <row r="242" spans="1:11" s="9" customFormat="1" ht="21.9" customHeight="1">
      <c r="A242" s="15"/>
      <c r="B242" s="15"/>
      <c r="C242" s="15"/>
      <c r="D242" s="15"/>
      <c r="E242" s="15"/>
      <c r="F242" s="8"/>
      <c r="G242" s="8"/>
      <c r="H242" s="8"/>
      <c r="I242" s="8"/>
      <c r="J242" s="8"/>
      <c r="K242" s="8"/>
    </row>
    <row r="243" spans="1:11" s="9" customFormat="1" ht="21.9" customHeight="1">
      <c r="A243" s="6"/>
      <c r="B243" s="6"/>
      <c r="C243" s="6"/>
      <c r="D243" s="6"/>
      <c r="E243" s="6"/>
      <c r="F243" s="12"/>
      <c r="G243" s="12"/>
      <c r="H243" s="12"/>
      <c r="I243" s="12"/>
      <c r="J243" s="12"/>
      <c r="K243" s="12"/>
    </row>
    <row r="244" spans="1:11" s="9" customFormat="1" ht="21.9" customHeight="1">
      <c r="A244" s="6"/>
      <c r="B244" s="6"/>
      <c r="C244" s="6"/>
      <c r="D244" s="6"/>
      <c r="E244" s="6"/>
      <c r="F244" s="12"/>
      <c r="G244" s="12"/>
      <c r="H244" s="12"/>
      <c r="I244" s="12"/>
      <c r="J244" s="12"/>
      <c r="K244" s="12"/>
    </row>
    <row r="245" spans="1:11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  <c r="K245" s="11"/>
    </row>
    <row r="246" spans="1:11" s="9" customFormat="1" ht="21.9" customHeight="1">
      <c r="A246" s="6"/>
      <c r="B246" s="6"/>
      <c r="C246" s="6"/>
      <c r="D246" s="6"/>
      <c r="E246" s="6"/>
      <c r="F246" s="12"/>
      <c r="G246" s="12"/>
      <c r="H246" s="12"/>
      <c r="I246" s="12"/>
      <c r="J246" s="12"/>
      <c r="K246" s="12"/>
    </row>
    <row r="247" spans="1:11" s="9" customFormat="1" ht="21.9" customHeight="1">
      <c r="A247" s="6"/>
      <c r="B247" s="6"/>
      <c r="C247" s="6"/>
      <c r="D247" s="6"/>
      <c r="E247" s="6"/>
      <c r="F247" s="8"/>
      <c r="G247" s="8"/>
      <c r="H247" s="8"/>
      <c r="I247" s="8"/>
      <c r="J247" s="8"/>
      <c r="K247" s="8"/>
    </row>
    <row r="248" spans="1:11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  <c r="K248" s="8"/>
    </row>
    <row r="249" spans="1:11" s="9" customFormat="1" ht="21.9" customHeight="1">
      <c r="A249" s="6"/>
      <c r="B249" s="6"/>
      <c r="C249" s="6"/>
      <c r="D249" s="6"/>
      <c r="E249" s="6"/>
      <c r="F249" s="11"/>
      <c r="G249" s="11"/>
      <c r="H249" s="11"/>
      <c r="I249" s="11"/>
      <c r="J249" s="11"/>
      <c r="K249" s="11"/>
    </row>
    <row r="250" spans="1:11" s="9" customFormat="1" ht="21.9" customHeight="1">
      <c r="A250" s="6"/>
      <c r="B250" s="6"/>
      <c r="C250" s="6"/>
      <c r="D250" s="6"/>
      <c r="E250" s="6"/>
      <c r="F250" s="12"/>
      <c r="G250" s="12"/>
      <c r="H250" s="12"/>
      <c r="I250" s="12"/>
      <c r="J250" s="12"/>
      <c r="K250" s="12"/>
    </row>
    <row r="251" spans="1:11" s="9" customFormat="1" ht="21.9" customHeight="1">
      <c r="A251" s="6"/>
      <c r="B251" s="6"/>
      <c r="C251" s="6"/>
      <c r="D251" s="6"/>
      <c r="E251" s="6"/>
      <c r="F251" s="11"/>
      <c r="G251" s="11"/>
      <c r="H251" s="11"/>
      <c r="I251" s="11"/>
      <c r="J251" s="11"/>
      <c r="K251" s="11"/>
    </row>
    <row r="252" spans="1:11" s="9" customFormat="1" ht="21.9" customHeight="1">
      <c r="A252" s="6"/>
      <c r="B252" s="6"/>
      <c r="C252" s="6"/>
      <c r="D252" s="6"/>
      <c r="E252" s="6"/>
      <c r="F252" s="11"/>
      <c r="G252" s="11"/>
      <c r="H252" s="11"/>
      <c r="I252" s="11"/>
      <c r="J252" s="11"/>
      <c r="K252" s="11"/>
    </row>
    <row r="253" spans="1:11" s="9" customFormat="1" ht="21.9" customHeight="1">
      <c r="A253" s="6"/>
      <c r="B253" s="6"/>
      <c r="C253" s="6"/>
      <c r="D253" s="6"/>
      <c r="E253" s="6"/>
      <c r="F253" s="11"/>
      <c r="G253" s="11"/>
      <c r="H253" s="11"/>
      <c r="I253" s="11"/>
      <c r="J253" s="11"/>
      <c r="K253" s="11"/>
    </row>
    <row r="254" spans="1:11" s="9" customFormat="1" ht="21.9" customHeight="1">
      <c r="A254" s="6"/>
      <c r="B254" s="6"/>
      <c r="C254" s="6"/>
      <c r="D254" s="6"/>
      <c r="E254" s="6"/>
      <c r="F254" s="11"/>
      <c r="G254" s="11"/>
      <c r="H254" s="11"/>
      <c r="I254" s="11"/>
      <c r="J254" s="11"/>
      <c r="K254" s="11"/>
    </row>
    <row r="255" spans="1:11" s="9" customFormat="1" ht="21.9" customHeight="1">
      <c r="A255" s="6"/>
      <c r="B255" s="6"/>
      <c r="C255" s="6"/>
      <c r="D255" s="6"/>
      <c r="E255" s="6"/>
      <c r="F255" s="11"/>
      <c r="G255" s="11"/>
      <c r="H255" s="11"/>
      <c r="I255" s="11"/>
      <c r="J255" s="11"/>
      <c r="K255" s="11"/>
    </row>
    <row r="256" spans="1:11" s="9" customFormat="1" ht="21.9" customHeight="1">
      <c r="A256" s="6"/>
      <c r="B256" s="6"/>
      <c r="C256" s="6"/>
      <c r="D256" s="6"/>
      <c r="E256" s="6"/>
      <c r="F256" s="11"/>
      <c r="G256" s="11"/>
      <c r="H256" s="11"/>
      <c r="I256" s="11"/>
      <c r="J256" s="11"/>
      <c r="K256" s="11"/>
    </row>
    <row r="257" spans="1:11" s="9" customFormat="1" ht="21.9" customHeight="1">
      <c r="A257" s="6"/>
      <c r="B257" s="6"/>
      <c r="C257" s="6"/>
      <c r="D257" s="6"/>
      <c r="E257" s="6"/>
      <c r="F257" s="11"/>
      <c r="G257" s="11"/>
      <c r="H257" s="11"/>
      <c r="I257" s="11"/>
      <c r="J257" s="11"/>
      <c r="K257" s="11"/>
    </row>
    <row r="258" spans="1:11" s="9" customFormat="1" ht="21.9" customHeight="1">
      <c r="A258" s="6"/>
      <c r="B258" s="6"/>
      <c r="C258" s="6"/>
      <c r="D258" s="6"/>
      <c r="E258" s="6"/>
      <c r="F258" s="11"/>
      <c r="G258" s="11"/>
      <c r="H258" s="11"/>
      <c r="I258" s="11"/>
      <c r="J258" s="11"/>
      <c r="K258" s="11"/>
    </row>
    <row r="259" spans="1:11" s="9" customFormat="1" ht="21.9" customHeight="1">
      <c r="A259" s="6"/>
      <c r="B259" s="6"/>
      <c r="C259" s="6"/>
      <c r="D259" s="6"/>
      <c r="E259" s="6"/>
      <c r="F259" s="8"/>
      <c r="G259" s="8"/>
      <c r="H259" s="8"/>
      <c r="I259" s="8"/>
      <c r="J259" s="8"/>
      <c r="K259" s="8"/>
    </row>
    <row r="260" spans="1:11" s="9" customFormat="1" ht="21.9" customHeight="1">
      <c r="A260" s="6"/>
      <c r="B260" s="6"/>
      <c r="C260" s="6"/>
      <c r="D260" s="6"/>
      <c r="E260" s="6"/>
      <c r="F260" s="8"/>
      <c r="G260" s="8"/>
      <c r="H260" s="8"/>
      <c r="I260" s="8"/>
      <c r="J260" s="8"/>
      <c r="K260" s="8"/>
    </row>
    <row r="261" spans="1:11" s="9" customFormat="1" ht="21.9" customHeight="1">
      <c r="A261" s="6"/>
      <c r="B261" s="6"/>
      <c r="C261" s="6"/>
      <c r="D261" s="6"/>
      <c r="E261" s="6"/>
      <c r="F261" s="8"/>
      <c r="G261" s="8"/>
      <c r="H261" s="8"/>
      <c r="I261" s="8"/>
      <c r="J261" s="8"/>
      <c r="K261" s="8"/>
    </row>
    <row r="262" spans="1:11" s="9" customFormat="1" ht="21.9" customHeight="1">
      <c r="A262" s="6"/>
      <c r="B262" s="6"/>
      <c r="C262" s="6"/>
      <c r="D262" s="6"/>
      <c r="E262" s="6"/>
      <c r="F262" s="8"/>
      <c r="G262" s="8"/>
      <c r="H262" s="8"/>
      <c r="I262" s="8"/>
      <c r="J262" s="8"/>
      <c r="K262" s="8"/>
    </row>
    <row r="263" spans="1:11" s="9" customFormat="1" ht="21.9" customHeight="1">
      <c r="A263" s="6"/>
      <c r="B263" s="6"/>
      <c r="C263" s="6"/>
      <c r="D263" s="6"/>
      <c r="E263" s="6"/>
      <c r="F263" s="8"/>
      <c r="G263" s="8"/>
      <c r="H263" s="8"/>
      <c r="I263" s="8"/>
      <c r="J263" s="8"/>
      <c r="K263" s="8"/>
    </row>
    <row r="264" spans="1:11" s="9" customFormat="1" ht="21.9" customHeight="1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13.2">
      <c r="A265" s="6"/>
      <c r="B265" s="6"/>
      <c r="C265" s="6"/>
      <c r="D265" s="6"/>
      <c r="E265" s="6"/>
      <c r="F265" s="12"/>
      <c r="G265" s="12"/>
      <c r="H265" s="12"/>
      <c r="I265" s="12"/>
      <c r="J265" s="12"/>
      <c r="K265" s="12"/>
    </row>
    <row r="266" spans="1:11" s="9" customFormat="1" ht="13.2">
      <c r="A266" s="6"/>
      <c r="B266" s="6"/>
      <c r="C266" s="6"/>
      <c r="D266" s="6"/>
      <c r="E266" s="6"/>
      <c r="F266" s="10"/>
      <c r="G266" s="10"/>
      <c r="H266" s="10"/>
      <c r="I266" s="10"/>
      <c r="J266" s="10"/>
      <c r="K266" s="10"/>
    </row>
    <row r="267" spans="1:11" s="9" customFormat="1" ht="13.2">
      <c r="A267" s="6"/>
      <c r="B267" s="6"/>
      <c r="C267" s="6"/>
      <c r="D267" s="6"/>
      <c r="E267" s="6"/>
      <c r="F267" s="12"/>
      <c r="G267" s="12"/>
      <c r="H267" s="12"/>
      <c r="I267" s="12"/>
      <c r="J267" s="12"/>
      <c r="K267" s="12"/>
    </row>
    <row r="268" spans="1:11" s="9" customFormat="1" ht="13.2">
      <c r="A268" s="6"/>
      <c r="B268" s="6"/>
      <c r="C268" s="6"/>
      <c r="D268" s="6"/>
      <c r="E268" s="6"/>
      <c r="F268" s="12"/>
      <c r="G268" s="12"/>
      <c r="H268" s="12"/>
      <c r="I268" s="12"/>
      <c r="J268" s="12"/>
      <c r="K268" s="12"/>
    </row>
    <row r="269" spans="1:11" s="9" customFormat="1" ht="13.2">
      <c r="A269" s="6"/>
      <c r="B269" s="6"/>
      <c r="C269" s="6"/>
      <c r="D269" s="6"/>
      <c r="E269" s="6"/>
      <c r="F269" s="8"/>
      <c r="G269" s="8"/>
      <c r="H269" s="8"/>
      <c r="I269" s="8"/>
      <c r="J269" s="8"/>
      <c r="K269" s="8"/>
    </row>
    <row r="270" spans="1:11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  <c r="K270" s="8"/>
    </row>
    <row r="271" spans="1:11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  <c r="K271" s="8"/>
    </row>
    <row r="272" spans="1:11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  <c r="K272" s="8"/>
    </row>
    <row r="273" spans="1:11" s="9" customFormat="1" ht="13.2">
      <c r="A273" s="6"/>
      <c r="B273" s="6"/>
      <c r="C273" s="6"/>
      <c r="D273" s="6"/>
      <c r="E273" s="6"/>
      <c r="F273" s="11"/>
      <c r="G273" s="11"/>
      <c r="H273" s="11"/>
      <c r="I273" s="11"/>
      <c r="J273" s="11"/>
      <c r="K273" s="11"/>
    </row>
    <row r="274" spans="1:11" s="9" customFormat="1" ht="13.2">
      <c r="A274" s="6"/>
      <c r="B274" s="6"/>
      <c r="C274" s="6"/>
      <c r="D274" s="6"/>
      <c r="E274" s="6"/>
      <c r="F274" s="12"/>
      <c r="G274" s="12"/>
      <c r="H274" s="12"/>
      <c r="I274" s="12"/>
      <c r="J274" s="12"/>
      <c r="K274" s="12"/>
    </row>
    <row r="275" spans="1:11" s="9" customFormat="1" ht="13.2">
      <c r="A275" s="6"/>
      <c r="B275" s="6"/>
      <c r="C275" s="6"/>
      <c r="D275" s="6"/>
      <c r="E275" s="6"/>
      <c r="F275" s="10"/>
      <c r="G275" s="10"/>
      <c r="H275" s="10"/>
      <c r="I275" s="10"/>
      <c r="J275" s="10"/>
      <c r="K275" s="10"/>
    </row>
    <row r="276" spans="1:11" s="9" customFormat="1" ht="13.2">
      <c r="A276" s="6"/>
      <c r="B276" s="6"/>
      <c r="C276" s="6"/>
      <c r="D276" s="6"/>
      <c r="E276" s="6"/>
      <c r="F276" s="11"/>
      <c r="G276" s="11"/>
      <c r="H276" s="11"/>
      <c r="I276" s="11"/>
      <c r="J276" s="11"/>
      <c r="K276" s="11"/>
    </row>
    <row r="277" spans="1:11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  <c r="K277" s="8"/>
    </row>
    <row r="278" spans="1:11" s="9" customFormat="1" ht="13.2">
      <c r="A278" s="6"/>
      <c r="B278" s="6"/>
      <c r="C278" s="6"/>
      <c r="D278" s="6"/>
      <c r="E278" s="6"/>
      <c r="F278" s="7"/>
      <c r="G278" s="7"/>
      <c r="H278" s="7"/>
      <c r="I278" s="7"/>
      <c r="J278" s="7"/>
      <c r="K278" s="7"/>
    </row>
    <row r="279" spans="1:11" s="9" customFormat="1" ht="13.2">
      <c r="A279" s="6"/>
      <c r="B279" s="6"/>
      <c r="C279" s="6"/>
      <c r="D279" s="6"/>
      <c r="E279" s="6"/>
      <c r="F279" s="7"/>
      <c r="G279" s="7"/>
      <c r="H279" s="7"/>
      <c r="I279" s="7"/>
      <c r="J279" s="7"/>
      <c r="K279" s="7"/>
    </row>
    <row r="280" spans="1:11" s="9" customFormat="1" ht="13.2">
      <c r="A280" s="6"/>
      <c r="B280" s="6"/>
      <c r="C280" s="6"/>
      <c r="D280" s="6"/>
      <c r="E280" s="6"/>
      <c r="F280" s="7"/>
      <c r="G280" s="7"/>
      <c r="H280" s="7"/>
      <c r="I280" s="7"/>
      <c r="J280" s="7"/>
      <c r="K280" s="7"/>
    </row>
    <row r="281" spans="1:11" s="9" customFormat="1" ht="13.2">
      <c r="A281" s="6"/>
      <c r="B281" s="6"/>
      <c r="C281" s="6"/>
      <c r="D281" s="6"/>
      <c r="E281" s="6"/>
      <c r="F281" s="7"/>
      <c r="G281" s="7"/>
      <c r="H281" s="7"/>
      <c r="I281" s="7"/>
      <c r="J281" s="7"/>
      <c r="K281" s="7"/>
    </row>
    <row r="282" spans="1:11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  <c r="K282" s="8"/>
    </row>
    <row r="283" spans="1:11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  <c r="K283" s="8"/>
    </row>
    <row r="284" spans="1:11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  <c r="K284" s="8"/>
    </row>
    <row r="285" spans="1:11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  <c r="K285" s="8"/>
    </row>
    <row r="286" spans="1:11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  <c r="K286" s="8"/>
    </row>
    <row r="287" spans="1:11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  <c r="K287" s="8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12"/>
      <c r="G290" s="12"/>
      <c r="H290" s="12"/>
      <c r="I290" s="12"/>
      <c r="J290" s="12"/>
      <c r="K290" s="12"/>
    </row>
    <row r="291" spans="1:11" s="9" customFormat="1" ht="13.2">
      <c r="A291" s="6"/>
      <c r="B291" s="6"/>
      <c r="C291" s="6"/>
      <c r="D291" s="6"/>
      <c r="E291" s="6"/>
      <c r="F291" s="11"/>
      <c r="G291" s="11"/>
      <c r="H291" s="11"/>
      <c r="I291" s="11"/>
      <c r="J291" s="11"/>
      <c r="K291" s="11"/>
    </row>
    <row r="292" spans="1:11" s="9" customFormat="1" ht="13.2">
      <c r="A292" s="6"/>
      <c r="B292" s="6"/>
      <c r="C292" s="6"/>
      <c r="D292" s="6"/>
      <c r="E292" s="6"/>
      <c r="F292" s="12"/>
      <c r="G292" s="12"/>
      <c r="H292" s="12"/>
      <c r="I292" s="12"/>
      <c r="J292" s="12"/>
      <c r="K292" s="12"/>
    </row>
    <row r="293" spans="1:11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  <c r="K293" s="8"/>
    </row>
    <row r="294" spans="1:11" s="9" customFormat="1" ht="13.2">
      <c r="A294" s="6"/>
      <c r="B294" s="6"/>
      <c r="C294" s="6"/>
      <c r="D294" s="6"/>
      <c r="E294" s="6"/>
      <c r="F294" s="12"/>
      <c r="G294" s="12"/>
      <c r="H294" s="12"/>
      <c r="I294" s="12"/>
      <c r="J294" s="12"/>
      <c r="K294" s="12"/>
    </row>
    <row r="295" spans="1:11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  <c r="K295" s="8"/>
    </row>
    <row r="296" spans="1:11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  <c r="K296" s="8"/>
    </row>
    <row r="297" spans="1:11" s="9" customFormat="1" ht="13.2">
      <c r="A297" s="6"/>
      <c r="B297" s="6"/>
      <c r="C297" s="6"/>
      <c r="D297" s="6"/>
      <c r="E297" s="6"/>
      <c r="F297" s="12"/>
      <c r="G297" s="12"/>
      <c r="H297" s="12"/>
      <c r="I297" s="12"/>
      <c r="J297" s="12"/>
      <c r="K297" s="12"/>
    </row>
    <row r="298" spans="1:11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  <c r="K298" s="8"/>
    </row>
    <row r="299" spans="1:11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  <c r="K299" s="8"/>
    </row>
    <row r="300" spans="1:11" s="9" customFormat="1" ht="13.2">
      <c r="A300" s="6"/>
      <c r="B300" s="6"/>
      <c r="C300" s="6"/>
      <c r="D300" s="6"/>
      <c r="E300" s="6"/>
      <c r="F300" s="11"/>
      <c r="G300" s="11"/>
      <c r="H300" s="11"/>
      <c r="I300" s="11"/>
      <c r="J300" s="11"/>
      <c r="K300" s="11"/>
    </row>
    <row r="301" spans="1:11" s="9" customFormat="1" ht="13.2">
      <c r="A301" s="6"/>
      <c r="B301" s="6"/>
      <c r="C301" s="6"/>
      <c r="D301" s="6"/>
      <c r="E301" s="6"/>
      <c r="F301" s="8"/>
      <c r="G301" s="8"/>
      <c r="H301" s="8"/>
      <c r="I301" s="8"/>
      <c r="J301" s="8"/>
      <c r="K301" s="8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  <c r="K303" s="8"/>
    </row>
    <row r="304" spans="1:11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  <c r="K304" s="11"/>
    </row>
    <row r="305" spans="1:11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  <c r="K305" s="8"/>
    </row>
    <row r="306" spans="1:11" s="9" customFormat="1" ht="13.2">
      <c r="A306" s="6"/>
      <c r="B306" s="6"/>
      <c r="C306" s="6"/>
      <c r="D306" s="6"/>
      <c r="E306" s="6"/>
      <c r="F306" s="8"/>
      <c r="G306" s="8"/>
      <c r="H306" s="8"/>
      <c r="I306" s="8"/>
      <c r="J306" s="8"/>
      <c r="K306" s="8"/>
    </row>
    <row r="307" spans="1:11" s="9" customFormat="1" ht="13.2">
      <c r="A307" s="6"/>
      <c r="B307" s="6"/>
      <c r="C307" s="6"/>
      <c r="D307" s="6"/>
      <c r="E307" s="6"/>
      <c r="F307" s="8"/>
      <c r="G307" s="8"/>
      <c r="H307" s="8"/>
      <c r="I307" s="8"/>
      <c r="J307" s="8"/>
      <c r="K307" s="8"/>
    </row>
    <row r="308" spans="1:11" s="9" customFormat="1" ht="13.2">
      <c r="A308" s="6"/>
      <c r="B308" s="6"/>
      <c r="C308" s="6"/>
      <c r="D308" s="6"/>
      <c r="E308" s="6"/>
      <c r="F308" s="8"/>
      <c r="G308" s="8"/>
      <c r="H308" s="8"/>
      <c r="I308" s="8"/>
      <c r="J308" s="8"/>
      <c r="K308" s="8"/>
    </row>
    <row r="309" spans="1:11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  <c r="K309" s="8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10"/>
      <c r="G311" s="10"/>
      <c r="H311" s="10"/>
      <c r="I311" s="10"/>
      <c r="J311" s="10"/>
      <c r="K311" s="10"/>
    </row>
    <row r="312" spans="1:11" s="9" customFormat="1" ht="13.2">
      <c r="A312" s="6"/>
      <c r="B312" s="6"/>
      <c r="C312" s="6"/>
      <c r="D312" s="6"/>
      <c r="E312" s="6"/>
      <c r="F312" s="11"/>
      <c r="G312" s="11"/>
      <c r="H312" s="11"/>
      <c r="I312" s="11"/>
      <c r="J312" s="11"/>
      <c r="K312" s="11"/>
    </row>
    <row r="313" spans="1:11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  <c r="K313" s="8"/>
    </row>
    <row r="314" spans="1:11" s="9" customFormat="1" ht="13.2">
      <c r="A314" s="6"/>
      <c r="B314" s="6"/>
      <c r="C314" s="6"/>
      <c r="D314" s="6"/>
      <c r="E314" s="6"/>
      <c r="F314" s="11"/>
      <c r="G314" s="11"/>
      <c r="H314" s="11"/>
      <c r="I314" s="11"/>
      <c r="J314" s="11"/>
      <c r="K314" s="11"/>
    </row>
    <row r="315" spans="1:11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  <c r="K315" s="8"/>
    </row>
    <row r="316" spans="1:11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</row>
    <row r="317" spans="1:11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  <c r="K317" s="11"/>
    </row>
    <row r="318" spans="1:11" s="9" customFormat="1" ht="13.2">
      <c r="A318" s="6"/>
      <c r="B318" s="6"/>
      <c r="C318" s="6"/>
      <c r="D318" s="6"/>
      <c r="E318" s="6"/>
      <c r="F318" s="11"/>
      <c r="G318" s="11"/>
      <c r="H318" s="11"/>
      <c r="I318" s="11"/>
      <c r="J318" s="11"/>
      <c r="K318" s="11"/>
    </row>
    <row r="319" spans="1:11" s="9" customFormat="1" ht="13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spans="1:11" s="9" customFormat="1" ht="13.2">
      <c r="A320" s="6"/>
      <c r="B320" s="6"/>
      <c r="C320" s="6"/>
      <c r="D320" s="6"/>
      <c r="E320" s="6"/>
      <c r="F320" s="11"/>
      <c r="G320" s="11"/>
      <c r="H320" s="11"/>
      <c r="I320" s="11"/>
      <c r="J320" s="11"/>
      <c r="K320" s="11"/>
    </row>
    <row r="321" spans="1:11" s="9" customFormat="1" ht="13.2">
      <c r="A321" s="6"/>
      <c r="B321" s="6"/>
      <c r="C321" s="6"/>
      <c r="D321" s="6"/>
      <c r="E321" s="6"/>
      <c r="F321" s="11"/>
      <c r="G321" s="11"/>
      <c r="H321" s="11"/>
      <c r="I321" s="11"/>
      <c r="J321" s="11"/>
      <c r="K321" s="11"/>
    </row>
    <row r="322" spans="1:11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  <c r="K322" s="8"/>
    </row>
    <row r="323" spans="1:11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  <c r="K323" s="8"/>
    </row>
    <row r="324" spans="1:11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  <c r="K324" s="8"/>
    </row>
    <row r="325" spans="1:11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  <c r="K325" s="8"/>
    </row>
    <row r="326" spans="1:11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</row>
    <row r="327" spans="1:11" s="9" customFormat="1" ht="13.2">
      <c r="A327" s="6"/>
      <c r="B327" s="6"/>
      <c r="C327" s="6"/>
      <c r="D327" s="6"/>
      <c r="E327" s="6"/>
      <c r="F327" s="7"/>
      <c r="G327" s="7"/>
      <c r="H327" s="7"/>
      <c r="I327" s="7"/>
      <c r="J327" s="7"/>
      <c r="K327" s="7"/>
    </row>
    <row r="328" spans="1:11" s="9" customFormat="1" ht="13.2">
      <c r="A328" s="6"/>
      <c r="B328" s="6"/>
      <c r="C328" s="6"/>
      <c r="D328" s="6"/>
      <c r="E328" s="6"/>
      <c r="F328" s="7"/>
      <c r="G328" s="7"/>
      <c r="H328" s="7"/>
      <c r="I328" s="7"/>
      <c r="J328" s="7"/>
      <c r="K328" s="7"/>
    </row>
    <row r="329" spans="1:11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  <c r="K329" s="8"/>
    </row>
    <row r="330" spans="1:11" s="9" customFormat="1" ht="13.2">
      <c r="A330" s="6"/>
      <c r="B330" s="6"/>
      <c r="C330" s="6"/>
      <c r="D330" s="6"/>
      <c r="E330" s="6"/>
      <c r="F330" s="11"/>
      <c r="G330" s="11"/>
      <c r="H330" s="11"/>
      <c r="I330" s="11"/>
      <c r="J330" s="11"/>
      <c r="K330" s="11"/>
    </row>
    <row r="331" spans="1:11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  <c r="K331" s="7"/>
    </row>
    <row r="332" spans="1:11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  <c r="K332" s="8"/>
    </row>
    <row r="333" spans="1:11" s="9" customFormat="1" ht="13.2">
      <c r="A333" s="6"/>
      <c r="B333" s="6"/>
      <c r="C333" s="6"/>
      <c r="D333" s="6"/>
      <c r="E333" s="6"/>
      <c r="F333" s="7"/>
      <c r="G333" s="7"/>
      <c r="H333" s="7"/>
      <c r="I333" s="7"/>
      <c r="J333" s="7"/>
      <c r="K333" s="7"/>
    </row>
    <row r="334" spans="1:11" s="9" customFormat="1" ht="13.2">
      <c r="A334" s="6"/>
      <c r="B334" s="6"/>
      <c r="C334" s="6"/>
      <c r="D334" s="6"/>
      <c r="E334" s="6"/>
      <c r="F334" s="7"/>
      <c r="G334" s="7"/>
      <c r="H334" s="7"/>
      <c r="I334" s="7"/>
      <c r="J334" s="7"/>
      <c r="K334" s="7"/>
    </row>
    <row r="335" spans="1:11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  <c r="K335" s="8"/>
    </row>
    <row r="336" spans="1:11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  <c r="K336" s="8"/>
    </row>
    <row r="337" spans="1:11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  <c r="K337" s="8"/>
    </row>
    <row r="338" spans="1:11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  <c r="K338" s="8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7"/>
      <c r="G342" s="7"/>
      <c r="H342" s="7"/>
      <c r="I342" s="7"/>
      <c r="J342" s="7"/>
      <c r="K342" s="7"/>
    </row>
    <row r="343" spans="1:11" s="9" customFormat="1" ht="13.2">
      <c r="A343" s="6"/>
      <c r="B343" s="6"/>
      <c r="C343" s="6"/>
      <c r="D343" s="6"/>
      <c r="E343" s="6"/>
      <c r="F343" s="7"/>
      <c r="G343" s="7"/>
      <c r="H343" s="7"/>
      <c r="I343" s="7"/>
      <c r="J343" s="7"/>
      <c r="K343" s="7"/>
    </row>
    <row r="344" spans="1:11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  <c r="K344" s="8"/>
    </row>
    <row r="345" spans="1:11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</row>
    <row r="346" spans="1:11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</row>
    <row r="347" spans="1:11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</row>
    <row r="348" spans="1:11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</row>
    <row r="360" spans="1:11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10"/>
      <c r="G371" s="10"/>
      <c r="H371" s="10"/>
      <c r="I371" s="10"/>
      <c r="J371" s="10"/>
      <c r="K371" s="10"/>
    </row>
    <row r="372" spans="1:11" s="9" customFormat="1" ht="13.2">
      <c r="A372" s="6"/>
      <c r="B372" s="6"/>
      <c r="C372" s="6"/>
      <c r="D372" s="6"/>
      <c r="E372" s="6"/>
      <c r="F372" s="10"/>
      <c r="G372" s="10"/>
      <c r="H372" s="10"/>
      <c r="I372" s="10"/>
      <c r="J372" s="10"/>
      <c r="K372" s="10"/>
    </row>
    <row r="373" spans="1:11" s="9" customFormat="1" ht="13.2">
      <c r="A373" s="6"/>
      <c r="B373" s="6"/>
      <c r="C373" s="6"/>
      <c r="D373" s="6"/>
      <c r="E373" s="6"/>
      <c r="F373" s="10"/>
      <c r="G373" s="10"/>
      <c r="H373" s="10"/>
      <c r="I373" s="10"/>
      <c r="J373" s="10"/>
      <c r="K373" s="10"/>
    </row>
    <row r="374" spans="1:11" s="9" customFormat="1" ht="13.2">
      <c r="A374" s="6"/>
      <c r="B374" s="6"/>
      <c r="C374" s="6"/>
      <c r="D374" s="6"/>
      <c r="E374" s="6"/>
      <c r="F374" s="8"/>
      <c r="G374" s="8"/>
      <c r="H374" s="8"/>
      <c r="I374" s="8"/>
      <c r="J374" s="8"/>
      <c r="K374" s="8"/>
    </row>
    <row r="375" spans="1:11" s="9" customFormat="1" ht="13.2">
      <c r="A375" s="6"/>
      <c r="B375" s="6"/>
      <c r="C375" s="6"/>
      <c r="D375" s="6"/>
      <c r="E375" s="6"/>
      <c r="F375" s="8"/>
      <c r="G375" s="8"/>
      <c r="H375" s="8"/>
      <c r="I375" s="8"/>
      <c r="J375" s="8"/>
      <c r="K375" s="8"/>
    </row>
    <row r="376" spans="1:11" s="9" customFormat="1" ht="13.2">
      <c r="A376" s="6"/>
      <c r="B376" s="6"/>
      <c r="C376" s="6"/>
      <c r="D376" s="6"/>
      <c r="E376" s="6"/>
      <c r="F376" s="10"/>
      <c r="G376" s="10"/>
      <c r="H376" s="10"/>
      <c r="I376" s="10"/>
      <c r="J376" s="10"/>
      <c r="K376" s="10"/>
    </row>
    <row r="377" spans="1:11" s="9" customFormat="1" ht="13.2">
      <c r="A377" s="6"/>
      <c r="B377" s="6"/>
      <c r="C377" s="6"/>
      <c r="D377" s="6"/>
      <c r="E377" s="6"/>
      <c r="F377" s="10"/>
      <c r="G377" s="10"/>
      <c r="H377" s="10"/>
      <c r="I377" s="10"/>
      <c r="J377" s="10"/>
      <c r="K377" s="10"/>
    </row>
    <row r="378" spans="1:11" s="9" customFormat="1" ht="13.2">
      <c r="A378" s="6"/>
      <c r="B378" s="6"/>
      <c r="C378" s="6"/>
      <c r="D378" s="6"/>
      <c r="E378" s="6"/>
      <c r="F378" s="10"/>
      <c r="G378" s="10"/>
      <c r="H378" s="10"/>
      <c r="I378" s="10"/>
      <c r="J378" s="10"/>
      <c r="K378" s="10"/>
    </row>
    <row r="379" spans="1:11" s="9" customFormat="1" ht="13.2">
      <c r="A379" s="6"/>
      <c r="B379" s="6"/>
      <c r="C379" s="6"/>
      <c r="D379" s="6"/>
      <c r="E379" s="6"/>
      <c r="F379" s="8"/>
      <c r="G379" s="8"/>
      <c r="H379" s="8"/>
      <c r="I379" s="8"/>
      <c r="J379" s="8"/>
      <c r="K379" s="8"/>
    </row>
    <row r="380" spans="1:11" s="9" customFormat="1" ht="13.2">
      <c r="A380" s="6"/>
      <c r="B380" s="6"/>
      <c r="C380" s="6"/>
      <c r="D380" s="6"/>
      <c r="E380" s="6"/>
      <c r="F380" s="8"/>
      <c r="G380" s="8"/>
      <c r="H380" s="8"/>
      <c r="I380" s="8"/>
      <c r="J380" s="8"/>
      <c r="K380" s="8"/>
    </row>
    <row r="381" spans="1:11" s="9" customFormat="1" ht="13.2">
      <c r="A381" s="6"/>
      <c r="B381" s="6"/>
      <c r="C381" s="6"/>
      <c r="D381" s="6"/>
      <c r="E381" s="6"/>
      <c r="F381" s="8"/>
      <c r="G381" s="8"/>
      <c r="H381" s="8"/>
      <c r="I381" s="8"/>
      <c r="J381" s="8"/>
      <c r="K381" s="8"/>
    </row>
    <row r="382" spans="1:11" s="9" customFormat="1" ht="13.2">
      <c r="A382" s="6"/>
      <c r="B382" s="6"/>
      <c r="C382" s="6"/>
      <c r="D382" s="6"/>
      <c r="E382" s="6"/>
      <c r="F382" s="12"/>
      <c r="G382" s="12"/>
      <c r="H382" s="12"/>
      <c r="I382" s="12"/>
      <c r="J382" s="12"/>
      <c r="K382" s="12"/>
    </row>
    <row r="383" spans="1:11" s="9" customFormat="1" ht="13.2">
      <c r="A383" s="13"/>
      <c r="B383" s="13"/>
      <c r="C383" s="13"/>
      <c r="D383" s="13"/>
      <c r="E383" s="13"/>
      <c r="F383" s="12"/>
      <c r="G383" s="12"/>
      <c r="H383" s="12"/>
      <c r="I383" s="12"/>
      <c r="J383" s="12"/>
      <c r="K383" s="12"/>
    </row>
    <row r="384" spans="1:11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  <c r="K384" s="12"/>
    </row>
    <row r="385" spans="1:11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  <c r="K385" s="12"/>
    </row>
    <row r="386" spans="1:11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  <c r="K386" s="12"/>
    </row>
    <row r="387" spans="1:11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  <c r="K387" s="12"/>
    </row>
    <row r="388" spans="1:11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  <c r="K388" s="12"/>
    </row>
    <row r="389" spans="1:11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  <c r="K389" s="12"/>
    </row>
    <row r="390" spans="1:11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</row>
    <row r="391" spans="1:11" s="9" customFormat="1" ht="13.2">
      <c r="A391" s="13"/>
      <c r="B391" s="13"/>
      <c r="C391" s="13"/>
      <c r="D391" s="13"/>
      <c r="E391" s="13"/>
      <c r="F391" s="11"/>
      <c r="G391" s="11"/>
      <c r="H391" s="11"/>
      <c r="I391" s="11"/>
      <c r="J391" s="11"/>
      <c r="K391" s="11"/>
    </row>
    <row r="392" spans="1:11" s="9" customFormat="1" ht="13.2">
      <c r="A392" s="13"/>
      <c r="B392" s="13"/>
      <c r="C392" s="13"/>
      <c r="D392" s="13"/>
      <c r="E392" s="13"/>
      <c r="F392" s="11"/>
      <c r="G392" s="11"/>
      <c r="H392" s="11"/>
      <c r="I392" s="11"/>
      <c r="J392" s="11"/>
      <c r="K392" s="11"/>
    </row>
    <row r="393" spans="1:11" s="9" customFormat="1" ht="13.2">
      <c r="A393" s="13"/>
      <c r="B393" s="13"/>
      <c r="C393" s="13"/>
      <c r="D393" s="13"/>
      <c r="E393" s="13"/>
      <c r="F393" s="11"/>
      <c r="G393" s="11"/>
      <c r="H393" s="11"/>
      <c r="I393" s="11"/>
      <c r="J393" s="11"/>
      <c r="K393" s="11"/>
    </row>
    <row r="394" spans="1:11" s="9" customFormat="1" ht="13.2">
      <c r="A394" s="13"/>
      <c r="B394" s="13"/>
      <c r="C394" s="13"/>
      <c r="D394" s="13"/>
      <c r="E394" s="13"/>
      <c r="F394" s="11"/>
      <c r="G394" s="11"/>
      <c r="H394" s="11"/>
      <c r="I394" s="11"/>
      <c r="J394" s="11"/>
      <c r="K394" s="11"/>
    </row>
    <row r="395" spans="1:11" s="9" customFormat="1" ht="13.2">
      <c r="A395" s="13"/>
      <c r="B395" s="13"/>
      <c r="C395" s="13"/>
      <c r="D395" s="13"/>
      <c r="E395" s="13"/>
      <c r="F395" s="12"/>
      <c r="G395" s="12"/>
      <c r="H395" s="12"/>
      <c r="I395" s="12"/>
      <c r="J395" s="12"/>
      <c r="K395" s="12"/>
    </row>
    <row r="396" spans="1:11" s="9" customFormat="1" ht="13.2">
      <c r="A396" s="13"/>
      <c r="B396" s="13"/>
      <c r="C396" s="13"/>
      <c r="D396" s="13"/>
      <c r="E396" s="13"/>
      <c r="F396" s="12"/>
      <c r="G396" s="12"/>
      <c r="H396" s="12"/>
      <c r="I396" s="12"/>
      <c r="J396" s="12"/>
      <c r="K396" s="12"/>
    </row>
    <row r="397" spans="1:11" s="9" customFormat="1" ht="13.2">
      <c r="A397" s="13"/>
      <c r="B397" s="13"/>
      <c r="C397" s="13"/>
      <c r="D397" s="13"/>
      <c r="E397" s="13"/>
      <c r="F397" s="12"/>
      <c r="G397" s="12"/>
      <c r="H397" s="12"/>
      <c r="I397" s="12"/>
      <c r="J397" s="12"/>
      <c r="K397" s="12"/>
    </row>
    <row r="398" spans="1:11" s="9" customFormat="1" ht="13.2">
      <c r="A398" s="13"/>
      <c r="B398" s="13"/>
      <c r="C398" s="13"/>
      <c r="D398" s="13"/>
      <c r="E398" s="13"/>
      <c r="F398" s="8"/>
      <c r="G398" s="8"/>
      <c r="H398" s="8"/>
      <c r="I398" s="8"/>
      <c r="J398" s="8"/>
      <c r="K398" s="8"/>
    </row>
    <row r="399" spans="1:11" s="9" customFormat="1" ht="13.2">
      <c r="A399" s="13"/>
      <c r="B399" s="13"/>
      <c r="C399" s="13"/>
      <c r="D399" s="13"/>
      <c r="E399" s="13"/>
      <c r="F399" s="12"/>
      <c r="G399" s="12"/>
      <c r="H399" s="12"/>
      <c r="I399" s="12"/>
      <c r="J399" s="12"/>
      <c r="K399" s="12"/>
    </row>
    <row r="400" spans="1:11" s="9" customFormat="1" ht="13.2">
      <c r="A400" s="13"/>
      <c r="B400" s="13"/>
      <c r="C400" s="13"/>
      <c r="D400" s="13"/>
      <c r="E400" s="13"/>
      <c r="F400" s="12"/>
      <c r="G400" s="12"/>
      <c r="H400" s="12"/>
      <c r="I400" s="12"/>
      <c r="J400" s="12"/>
      <c r="K400" s="12"/>
    </row>
    <row r="401" spans="1:11" s="9" customFormat="1" ht="13.2">
      <c r="A401" s="13"/>
      <c r="B401" s="13"/>
      <c r="C401" s="13"/>
      <c r="D401" s="13"/>
      <c r="E401" s="13"/>
      <c r="F401" s="14"/>
      <c r="G401" s="14"/>
      <c r="H401" s="14"/>
      <c r="I401" s="14"/>
      <c r="J401" s="14"/>
      <c r="K401" s="14"/>
    </row>
    <row r="402" spans="1:11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  <c r="K402" s="14"/>
    </row>
    <row r="403" spans="1:11" s="9" customFormat="1" ht="13.2">
      <c r="A403" s="13"/>
      <c r="B403" s="13"/>
      <c r="C403" s="13"/>
      <c r="D403" s="13"/>
      <c r="E403" s="13"/>
      <c r="F403" s="14"/>
      <c r="G403" s="14"/>
      <c r="H403" s="14"/>
      <c r="I403" s="14"/>
      <c r="J403" s="14"/>
      <c r="K403" s="14"/>
    </row>
    <row r="404" spans="1:11" s="9" customFormat="1" ht="13.2">
      <c r="A404" s="13"/>
      <c r="B404" s="13"/>
      <c r="C404" s="13"/>
      <c r="D404" s="13"/>
      <c r="E404" s="13"/>
      <c r="F404" s="14"/>
      <c r="G404" s="14"/>
      <c r="H404" s="14"/>
      <c r="I404" s="14"/>
      <c r="J404" s="14"/>
      <c r="K404" s="14"/>
    </row>
    <row r="405" spans="1:11" s="9" customFormat="1" ht="13.2">
      <c r="A405" s="13"/>
      <c r="B405" s="13"/>
      <c r="C405" s="13"/>
      <c r="D405" s="13"/>
      <c r="E405" s="13"/>
      <c r="F405" s="14"/>
      <c r="G405" s="14"/>
      <c r="H405" s="14"/>
      <c r="I405" s="14"/>
      <c r="J405" s="14"/>
      <c r="K405" s="14"/>
    </row>
    <row r="406" spans="1:11" s="9" customFormat="1" ht="13.2">
      <c r="A406" s="13"/>
      <c r="B406" s="13"/>
      <c r="C406" s="13"/>
      <c r="D406" s="13"/>
      <c r="E406" s="13"/>
      <c r="F406" s="14"/>
      <c r="G406" s="14"/>
      <c r="H406" s="14"/>
      <c r="I406" s="14"/>
      <c r="J406" s="14"/>
      <c r="K406" s="14"/>
    </row>
    <row r="407" spans="1:11" s="9" customFormat="1" ht="13.2">
      <c r="A407" s="13"/>
      <c r="B407" s="13"/>
      <c r="C407" s="13"/>
      <c r="D407" s="13"/>
      <c r="E407" s="13"/>
      <c r="F407" s="14"/>
      <c r="G407" s="14"/>
      <c r="H407" s="14"/>
      <c r="I407" s="14"/>
      <c r="J407" s="14"/>
      <c r="K407" s="14"/>
    </row>
    <row r="408" spans="1:11" s="9" customFormat="1" ht="13.2">
      <c r="A408" s="13"/>
      <c r="B408" s="13"/>
      <c r="C408" s="13"/>
      <c r="D408" s="13"/>
      <c r="E408" s="13"/>
      <c r="F408" s="10"/>
      <c r="G408" s="10"/>
      <c r="H408" s="10"/>
      <c r="I408" s="10"/>
      <c r="J408" s="10"/>
      <c r="K408" s="10"/>
    </row>
    <row r="409" spans="1:11" s="9" customFormat="1" ht="13.2">
      <c r="A409" s="13"/>
      <c r="B409" s="13"/>
      <c r="C409" s="13"/>
      <c r="D409" s="13"/>
      <c r="E409" s="13"/>
      <c r="F409" s="14"/>
      <c r="G409" s="14"/>
      <c r="H409" s="14"/>
      <c r="I409" s="14"/>
      <c r="J409" s="14"/>
      <c r="K409" s="14"/>
    </row>
    <row r="410" spans="1:11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  <c r="K410" s="14"/>
    </row>
    <row r="411" spans="1:11" s="9" customFormat="1" ht="13.2">
      <c r="A411" s="13"/>
      <c r="B411" s="13"/>
      <c r="C411" s="13"/>
      <c r="D411" s="13"/>
      <c r="E411" s="13"/>
      <c r="F411" s="14"/>
      <c r="G411" s="14"/>
      <c r="H411" s="14"/>
      <c r="I411" s="14"/>
      <c r="J411" s="14"/>
      <c r="K411" s="14"/>
    </row>
    <row r="412" spans="1:11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  <c r="K412" s="8"/>
    </row>
    <row r="413" spans="1:11" s="9" customFormat="1" ht="13.2">
      <c r="A413" s="13"/>
      <c r="B413" s="13"/>
      <c r="C413" s="13"/>
      <c r="D413" s="13"/>
      <c r="E413" s="13"/>
      <c r="F413" s="14"/>
      <c r="G413" s="14"/>
      <c r="H413" s="14"/>
      <c r="I413" s="14"/>
      <c r="J413" s="14"/>
      <c r="K413" s="14"/>
    </row>
    <row r="414" spans="1:11" s="9" customFormat="1" ht="13.2">
      <c r="A414" s="13"/>
      <c r="B414" s="13"/>
      <c r="C414" s="13"/>
      <c r="D414" s="13"/>
      <c r="E414" s="13"/>
      <c r="F414" s="10"/>
      <c r="G414" s="10"/>
      <c r="H414" s="10"/>
      <c r="I414" s="10"/>
      <c r="J414" s="10"/>
      <c r="K414" s="10"/>
    </row>
    <row r="415" spans="1:11" s="9" customFormat="1" ht="13.2">
      <c r="A415" s="13"/>
      <c r="B415" s="13"/>
      <c r="C415" s="13"/>
      <c r="D415" s="13"/>
      <c r="E415" s="13"/>
      <c r="F415" s="12"/>
      <c r="G415" s="12"/>
      <c r="H415" s="12"/>
      <c r="I415" s="12"/>
      <c r="J415" s="12"/>
      <c r="K415" s="12"/>
    </row>
    <row r="416" spans="1:11" s="9" customFormat="1" ht="13.2">
      <c r="A416" s="13"/>
      <c r="B416" s="13"/>
      <c r="C416" s="13"/>
      <c r="D416" s="13"/>
      <c r="E416" s="13"/>
      <c r="F416" s="12"/>
      <c r="G416" s="12"/>
      <c r="H416" s="12"/>
      <c r="I416" s="12"/>
      <c r="J416" s="12"/>
      <c r="K416" s="12"/>
    </row>
    <row r="417" spans="1:11" s="9" customFormat="1" ht="13.2">
      <c r="A417" s="13"/>
      <c r="B417" s="13"/>
      <c r="C417" s="13"/>
      <c r="D417" s="13"/>
      <c r="E417" s="13"/>
      <c r="F417" s="12"/>
      <c r="G417" s="12"/>
      <c r="H417" s="12"/>
      <c r="I417" s="12"/>
      <c r="J417" s="12"/>
      <c r="K417" s="12"/>
    </row>
    <row r="418" spans="1:11" s="9" customFormat="1" ht="13.2">
      <c r="A418" s="13"/>
      <c r="B418" s="13"/>
      <c r="C418" s="13"/>
      <c r="D418" s="13"/>
      <c r="E418" s="13"/>
      <c r="F418" s="12"/>
      <c r="G418" s="12"/>
      <c r="H418" s="12"/>
      <c r="I418" s="12"/>
      <c r="J418" s="12"/>
      <c r="K418" s="12"/>
    </row>
    <row r="419" spans="1:11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  <c r="K419" s="12"/>
    </row>
    <row r="420" spans="1:11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  <c r="K420" s="12"/>
    </row>
    <row r="421" spans="1:11" s="9" customFormat="1" ht="13.2">
      <c r="A421" s="13"/>
      <c r="B421" s="13"/>
      <c r="C421" s="13"/>
      <c r="D421" s="13"/>
      <c r="E421" s="13"/>
      <c r="F421" s="14"/>
      <c r="G421" s="14"/>
      <c r="H421" s="14"/>
      <c r="I421" s="14"/>
      <c r="J421" s="14"/>
      <c r="K421" s="14"/>
    </row>
    <row r="422" spans="1:11" s="9" customFormat="1" ht="13.2">
      <c r="A422" s="13"/>
      <c r="B422" s="13"/>
      <c r="C422" s="13"/>
      <c r="D422" s="13"/>
      <c r="E422" s="13"/>
      <c r="F422" s="8"/>
      <c r="G422" s="8"/>
      <c r="H422" s="8"/>
      <c r="I422" s="8"/>
      <c r="J422" s="8"/>
      <c r="K422" s="8"/>
    </row>
    <row r="423" spans="1:11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  <c r="K423" s="8"/>
    </row>
    <row r="424" spans="1:11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  <c r="K424" s="8"/>
    </row>
    <row r="425" spans="1:11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  <c r="K425" s="8"/>
    </row>
    <row r="426" spans="1:11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  <c r="K426" s="8"/>
    </row>
    <row r="427" spans="1:11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  <c r="K427" s="8"/>
    </row>
    <row r="428" spans="1:11" s="9" customFormat="1" ht="13.2">
      <c r="A428" s="13"/>
      <c r="B428" s="13"/>
      <c r="C428" s="13"/>
      <c r="D428" s="13"/>
      <c r="E428" s="13"/>
      <c r="F428" s="10"/>
      <c r="G428" s="10"/>
      <c r="H428" s="10"/>
      <c r="I428" s="10"/>
      <c r="J428" s="10"/>
      <c r="K428" s="10"/>
    </row>
    <row r="429" spans="1:11" s="9" customFormat="1" ht="13.2">
      <c r="A429" s="13"/>
      <c r="B429" s="13"/>
      <c r="C429" s="13"/>
      <c r="D429" s="13"/>
      <c r="E429" s="13"/>
      <c r="F429" s="10"/>
      <c r="G429" s="10"/>
      <c r="H429" s="10"/>
      <c r="I429" s="10"/>
      <c r="J429" s="10"/>
      <c r="K429" s="10"/>
    </row>
    <row r="430" spans="1:11" s="9" customFormat="1" ht="13.2">
      <c r="A430" s="13"/>
      <c r="B430" s="13"/>
      <c r="C430" s="13"/>
      <c r="D430" s="13"/>
      <c r="E430" s="13"/>
      <c r="F430" s="10"/>
      <c r="G430" s="10"/>
      <c r="H430" s="10"/>
      <c r="I430" s="10"/>
      <c r="J430" s="10"/>
      <c r="K430" s="10"/>
    </row>
    <row r="431" spans="1:11" s="9" customFormat="1" ht="13.2">
      <c r="A431" s="13"/>
      <c r="B431" s="13"/>
      <c r="C431" s="13"/>
      <c r="D431" s="13"/>
      <c r="E431" s="13"/>
      <c r="F431" s="10"/>
      <c r="G431" s="10"/>
      <c r="H431" s="10"/>
      <c r="I431" s="10"/>
      <c r="J431" s="10"/>
      <c r="K431" s="10"/>
    </row>
    <row r="432" spans="1:11" s="9" customFormat="1" ht="13.2">
      <c r="A432" s="13"/>
      <c r="B432" s="13"/>
      <c r="C432" s="13"/>
      <c r="D432" s="13"/>
      <c r="E432" s="13"/>
      <c r="F432" s="12"/>
      <c r="G432" s="12"/>
      <c r="H432" s="12"/>
      <c r="I432" s="12"/>
      <c r="J432" s="12"/>
      <c r="K432" s="12"/>
    </row>
    <row r="433" spans="1:11" s="9" customFormat="1" ht="13.2">
      <c r="A433" s="13"/>
      <c r="B433" s="13"/>
      <c r="C433" s="13"/>
      <c r="D433" s="13"/>
      <c r="E433" s="13"/>
      <c r="F433" s="12"/>
      <c r="G433" s="12"/>
      <c r="H433" s="12"/>
      <c r="I433" s="12"/>
      <c r="J433" s="12"/>
      <c r="K433" s="12"/>
    </row>
    <row r="434" spans="1:11" s="9" customFormat="1" ht="13.2">
      <c r="A434" s="13"/>
      <c r="B434" s="13"/>
      <c r="C434" s="13"/>
      <c r="D434" s="13"/>
      <c r="E434" s="13"/>
      <c r="F434" s="12"/>
      <c r="G434" s="12"/>
      <c r="H434" s="12"/>
      <c r="I434" s="12"/>
      <c r="J434" s="12"/>
      <c r="K434" s="12"/>
    </row>
    <row r="435" spans="1:11" s="9" customFormat="1" ht="13.2">
      <c r="A435" s="13"/>
      <c r="B435" s="13"/>
      <c r="C435" s="13"/>
      <c r="D435" s="13"/>
      <c r="E435" s="13"/>
      <c r="F435" s="8"/>
      <c r="G435" s="8"/>
      <c r="H435" s="8"/>
      <c r="I435" s="8"/>
      <c r="J435" s="8"/>
      <c r="K435" s="8"/>
    </row>
    <row r="436" spans="1:11" s="9" customFormat="1" ht="13.2">
      <c r="A436" s="13"/>
      <c r="B436" s="13"/>
      <c r="C436" s="13"/>
      <c r="D436" s="13"/>
      <c r="E436" s="13"/>
      <c r="F436" s="8"/>
      <c r="G436" s="8"/>
      <c r="H436" s="8"/>
      <c r="I436" s="8"/>
      <c r="J436" s="8"/>
      <c r="K436" s="8"/>
    </row>
    <row r="437" spans="1:11" s="9" customFormat="1" ht="13.2">
      <c r="A437" s="13"/>
      <c r="B437" s="13"/>
      <c r="C437" s="13"/>
      <c r="D437" s="13"/>
      <c r="E437" s="13"/>
      <c r="F437" s="12"/>
      <c r="G437" s="12"/>
      <c r="H437" s="12"/>
      <c r="I437" s="12"/>
      <c r="J437" s="12"/>
      <c r="K437" s="12"/>
    </row>
    <row r="438" spans="1:11" s="9" customFormat="1" ht="13.2">
      <c r="A438" s="13"/>
      <c r="B438" s="13"/>
      <c r="C438" s="13"/>
      <c r="D438" s="13"/>
      <c r="E438" s="13"/>
      <c r="F438" s="12"/>
      <c r="G438" s="12"/>
      <c r="H438" s="12"/>
      <c r="I438" s="12"/>
      <c r="J438" s="12"/>
      <c r="K438" s="12"/>
    </row>
    <row r="439" spans="1:11" s="9" customFormat="1" ht="13.2">
      <c r="A439" s="13"/>
      <c r="B439" s="13"/>
      <c r="C439" s="13"/>
      <c r="D439" s="13"/>
      <c r="E439" s="13"/>
      <c r="F439" s="8"/>
      <c r="G439" s="8"/>
      <c r="H439" s="8"/>
      <c r="I439" s="8"/>
      <c r="J439" s="8"/>
      <c r="K439" s="8"/>
    </row>
    <row r="440" spans="1:11" s="9" customFormat="1" ht="13.2">
      <c r="A440" s="13"/>
      <c r="B440" s="13"/>
      <c r="C440" s="13"/>
      <c r="D440" s="13"/>
      <c r="E440" s="13"/>
      <c r="F440" s="8"/>
      <c r="G440" s="8"/>
      <c r="H440" s="8"/>
      <c r="I440" s="8"/>
      <c r="J440" s="8"/>
      <c r="K440" s="8"/>
    </row>
    <row r="441" spans="1:11" s="9" customFormat="1" ht="13.2">
      <c r="A441" s="13"/>
      <c r="B441" s="13"/>
      <c r="C441" s="13"/>
      <c r="D441" s="13"/>
      <c r="E441" s="13"/>
      <c r="F441" s="8"/>
      <c r="G441" s="8"/>
      <c r="H441" s="8"/>
      <c r="I441" s="8"/>
      <c r="J441" s="8"/>
      <c r="K441" s="8"/>
    </row>
    <row r="442" spans="1:11" s="9" customFormat="1" ht="13.2">
      <c r="A442" s="13"/>
      <c r="B442" s="13"/>
      <c r="C442" s="13"/>
      <c r="D442" s="13"/>
      <c r="E442" s="13"/>
      <c r="F442" s="8"/>
      <c r="G442" s="8"/>
      <c r="H442" s="8"/>
      <c r="I442" s="8"/>
      <c r="J442" s="8"/>
      <c r="K442" s="8"/>
    </row>
    <row r="443" spans="1:11" s="9" customFormat="1" ht="13.2">
      <c r="A443" s="13"/>
      <c r="B443" s="13"/>
      <c r="C443" s="13"/>
      <c r="D443" s="13"/>
      <c r="E443" s="13"/>
      <c r="F443" s="8"/>
      <c r="G443" s="8"/>
      <c r="H443" s="8"/>
      <c r="I443" s="8"/>
      <c r="J443" s="8"/>
      <c r="K443" s="8"/>
    </row>
    <row r="444" spans="1:11" s="9" customFormat="1" ht="13.2">
      <c r="A444" s="13"/>
      <c r="B444" s="13"/>
      <c r="C444" s="13"/>
      <c r="D444" s="13"/>
      <c r="E444" s="13"/>
      <c r="F444" s="8"/>
      <c r="G444" s="8"/>
      <c r="H444" s="8"/>
      <c r="I444" s="8"/>
      <c r="J444" s="8"/>
      <c r="K444" s="8"/>
    </row>
    <row r="445" spans="1:11" s="9" customFormat="1" ht="13.2">
      <c r="A445" s="13"/>
      <c r="B445" s="13"/>
      <c r="C445" s="13"/>
      <c r="D445" s="13"/>
      <c r="E445" s="13"/>
      <c r="F445" s="11"/>
      <c r="G445" s="11"/>
      <c r="H445" s="11"/>
      <c r="I445" s="11"/>
      <c r="J445" s="11"/>
      <c r="K445" s="11"/>
    </row>
    <row r="446" spans="1:11" s="9" customFormat="1" ht="13.2">
      <c r="A446" s="13"/>
      <c r="B446" s="13"/>
      <c r="C446" s="13"/>
      <c r="D446" s="13"/>
      <c r="E446" s="13"/>
      <c r="F446" s="11"/>
      <c r="G446" s="11"/>
      <c r="H446" s="11"/>
      <c r="I446" s="11"/>
      <c r="J446" s="11"/>
      <c r="K446" s="11"/>
    </row>
    <row r="447" spans="1:11" s="9" customFormat="1" ht="13.2">
      <c r="A447" s="13"/>
      <c r="B447" s="13"/>
      <c r="C447" s="13"/>
      <c r="D447" s="13"/>
      <c r="E447" s="13"/>
      <c r="F447" s="11"/>
      <c r="G447" s="11"/>
      <c r="H447" s="11"/>
      <c r="I447" s="11"/>
      <c r="J447" s="11"/>
      <c r="K447" s="11"/>
    </row>
    <row r="448" spans="1:11" s="9" customFormat="1" ht="13.2">
      <c r="A448" s="13"/>
      <c r="B448" s="13"/>
      <c r="C448" s="13"/>
      <c r="D448" s="13"/>
      <c r="E448" s="13"/>
      <c r="F448" s="11"/>
      <c r="G448" s="11"/>
      <c r="H448" s="11"/>
      <c r="I448" s="11"/>
      <c r="J448" s="11"/>
      <c r="K448" s="11"/>
    </row>
    <row r="449" spans="1:11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  <c r="K449" s="12"/>
    </row>
    <row r="450" spans="1:11" s="9" customFormat="1" ht="13.2">
      <c r="A450" s="15"/>
      <c r="B450" s="15"/>
      <c r="C450" s="15"/>
      <c r="D450" s="15"/>
      <c r="E450" s="15"/>
      <c r="F450" s="11"/>
      <c r="G450" s="11"/>
      <c r="H450" s="11"/>
      <c r="I450" s="11"/>
      <c r="J450" s="11"/>
      <c r="K450" s="11"/>
    </row>
    <row r="451" spans="1:11" s="9" customFormat="1" ht="13.2">
      <c r="A451" s="15"/>
      <c r="B451" s="15"/>
      <c r="C451" s="15"/>
      <c r="D451" s="15"/>
      <c r="E451" s="15"/>
      <c r="F451" s="12"/>
      <c r="G451" s="12"/>
      <c r="H451" s="12"/>
      <c r="I451" s="12"/>
      <c r="J451" s="12"/>
      <c r="K451" s="12"/>
    </row>
    <row r="452" spans="1:11" s="9" customFormat="1" ht="13.2">
      <c r="A452" s="15"/>
      <c r="B452" s="15"/>
      <c r="C452" s="15"/>
      <c r="D452" s="15"/>
      <c r="E452" s="15"/>
      <c r="F452" s="12"/>
      <c r="G452" s="12"/>
      <c r="H452" s="12"/>
      <c r="I452" s="12"/>
      <c r="J452" s="12"/>
      <c r="K452" s="12"/>
    </row>
    <row r="453" spans="1:11" s="9" customFormat="1" ht="13.2">
      <c r="A453" s="15"/>
      <c r="B453" s="15"/>
      <c r="C453" s="15"/>
      <c r="D453" s="15"/>
      <c r="E453" s="15"/>
      <c r="F453" s="12"/>
      <c r="G453" s="12"/>
      <c r="H453" s="12"/>
      <c r="I453" s="12"/>
      <c r="J453" s="12"/>
      <c r="K453" s="12"/>
    </row>
    <row r="454" spans="1:11" s="9" customFormat="1" ht="13.2">
      <c r="A454" s="15"/>
      <c r="B454" s="15"/>
      <c r="C454" s="15"/>
      <c r="D454" s="15"/>
      <c r="E454" s="15"/>
      <c r="F454" s="12"/>
      <c r="G454" s="12"/>
      <c r="H454" s="12"/>
      <c r="I454" s="12"/>
      <c r="J454" s="12"/>
      <c r="K454" s="12"/>
    </row>
    <row r="455" spans="1:11" s="9" customFormat="1" ht="13.2">
      <c r="A455" s="15"/>
      <c r="B455" s="15"/>
      <c r="C455" s="15"/>
      <c r="D455" s="15"/>
      <c r="E455" s="15"/>
      <c r="F455" s="12"/>
      <c r="G455" s="12"/>
      <c r="H455" s="12"/>
      <c r="I455" s="12"/>
      <c r="J455" s="12"/>
      <c r="K455" s="12"/>
    </row>
    <row r="456" spans="1:11" s="9" customFormat="1" ht="13.2">
      <c r="A456" s="15"/>
      <c r="B456" s="15"/>
      <c r="C456" s="15"/>
      <c r="D456" s="15"/>
      <c r="E456" s="15"/>
      <c r="F456" s="12"/>
      <c r="G456" s="12"/>
      <c r="H456" s="12"/>
      <c r="I456" s="12"/>
      <c r="J456" s="12"/>
      <c r="K456" s="12"/>
    </row>
    <row r="457" spans="1:11" s="9" customFormat="1" ht="13.2">
      <c r="A457" s="15"/>
      <c r="B457" s="15"/>
      <c r="C457" s="15"/>
      <c r="D457" s="15"/>
      <c r="E457" s="15"/>
      <c r="F457" s="8"/>
      <c r="G457" s="8"/>
      <c r="H457" s="8"/>
      <c r="I457" s="8"/>
      <c r="J457" s="8"/>
      <c r="K457" s="8"/>
    </row>
    <row r="458" spans="1:11" s="9" customFormat="1" ht="13.2">
      <c r="A458" s="15"/>
      <c r="B458" s="15"/>
      <c r="C458" s="15"/>
      <c r="D458" s="15"/>
      <c r="E458" s="15"/>
      <c r="F458" s="12"/>
      <c r="G458" s="12"/>
      <c r="H458" s="12"/>
      <c r="I458" s="12"/>
      <c r="J458" s="12"/>
      <c r="K458" s="12"/>
    </row>
    <row r="459" spans="1:11" s="9" customFormat="1" ht="13.2">
      <c r="A459" s="15"/>
      <c r="B459" s="15"/>
      <c r="C459" s="15"/>
      <c r="D459" s="15"/>
      <c r="E459" s="15"/>
      <c r="F459" s="12"/>
      <c r="G459" s="12"/>
      <c r="H459" s="12"/>
      <c r="I459" s="12"/>
      <c r="J459" s="12"/>
      <c r="K459" s="12"/>
    </row>
    <row r="460" spans="1:11" s="9" customFormat="1" ht="13.2">
      <c r="A460" s="15"/>
      <c r="B460" s="15"/>
      <c r="C460" s="15"/>
      <c r="D460" s="15"/>
      <c r="E460" s="15"/>
      <c r="F460" s="12"/>
      <c r="G460" s="12"/>
      <c r="H460" s="12"/>
      <c r="I460" s="12"/>
      <c r="J460" s="12"/>
      <c r="K460" s="12"/>
    </row>
    <row r="461" spans="1:11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  <c r="K461" s="8"/>
    </row>
    <row r="462" spans="1:11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  <c r="K462" s="8"/>
    </row>
    <row r="463" spans="1:11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  <c r="K463" s="8"/>
    </row>
    <row r="464" spans="1:11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  <c r="K464" s="8"/>
    </row>
    <row r="465" spans="1:11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  <c r="K465" s="8"/>
    </row>
    <row r="466" spans="1:11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  <c r="K466" s="8"/>
    </row>
    <row r="467" spans="1:11" s="9" customFormat="1" ht="13.2">
      <c r="A467" s="15"/>
      <c r="B467" s="15"/>
      <c r="C467" s="15"/>
      <c r="D467" s="15"/>
      <c r="E467" s="15"/>
      <c r="F467" s="11"/>
      <c r="G467" s="11"/>
      <c r="H467" s="11"/>
      <c r="I467" s="11"/>
      <c r="J467" s="11"/>
      <c r="K467" s="11"/>
    </row>
    <row r="468" spans="1:11" s="9" customFormat="1" ht="13.2">
      <c r="A468" s="15"/>
      <c r="B468" s="15"/>
      <c r="C468" s="15"/>
      <c r="D468" s="15"/>
      <c r="E468" s="15"/>
      <c r="F468" s="11"/>
      <c r="G468" s="11"/>
      <c r="H468" s="11"/>
      <c r="I468" s="11"/>
      <c r="J468" s="11"/>
      <c r="K468" s="11"/>
    </row>
    <row r="469" spans="1:11" s="9" customFormat="1" ht="13.2">
      <c r="A469" s="15"/>
      <c r="B469" s="15"/>
      <c r="C469" s="15"/>
      <c r="D469" s="15"/>
      <c r="E469" s="15"/>
      <c r="F469" s="11"/>
      <c r="G469" s="11"/>
      <c r="H469" s="11"/>
      <c r="I469" s="11"/>
      <c r="J469" s="11"/>
      <c r="K469" s="11"/>
    </row>
    <row r="470" spans="1:11" s="9" customFormat="1" ht="13.2">
      <c r="A470" s="15"/>
      <c r="B470" s="15"/>
      <c r="C470" s="15"/>
      <c r="D470" s="15"/>
      <c r="E470" s="15"/>
      <c r="F470" s="11"/>
      <c r="G470" s="11"/>
      <c r="H470" s="11"/>
      <c r="I470" s="11"/>
      <c r="J470" s="11"/>
      <c r="K470" s="11"/>
    </row>
    <row r="471" spans="1:11" s="9" customFormat="1" ht="13.2">
      <c r="A471" s="15"/>
      <c r="B471" s="15"/>
      <c r="C471" s="15"/>
      <c r="D471" s="15"/>
      <c r="E471" s="15"/>
      <c r="F471" s="11"/>
      <c r="G471" s="11"/>
      <c r="H471" s="11"/>
      <c r="I471" s="11"/>
      <c r="J471" s="11"/>
      <c r="K471" s="11"/>
    </row>
    <row r="472" spans="1:11" s="9" customFormat="1" ht="13.2">
      <c r="A472" s="15"/>
      <c r="B472" s="15"/>
      <c r="C472" s="15"/>
      <c r="D472" s="15"/>
      <c r="E472" s="15"/>
      <c r="F472" s="11"/>
      <c r="G472" s="11"/>
      <c r="H472" s="11"/>
      <c r="I472" s="11"/>
      <c r="J472" s="11"/>
      <c r="K472" s="11"/>
    </row>
    <row r="473" spans="1:11" s="9" customFormat="1" ht="13.2">
      <c r="A473" s="15"/>
      <c r="B473" s="15"/>
      <c r="C473" s="15"/>
      <c r="D473" s="15"/>
      <c r="E473" s="15"/>
      <c r="F473" s="8"/>
      <c r="G473" s="8"/>
      <c r="H473" s="8"/>
      <c r="I473" s="8"/>
      <c r="J473" s="8"/>
      <c r="K473" s="8"/>
    </row>
    <row r="474" spans="1:11" s="9" customFormat="1" ht="13.2">
      <c r="A474" s="15"/>
      <c r="B474" s="15"/>
      <c r="C474" s="15"/>
      <c r="D474" s="15"/>
      <c r="E474" s="15"/>
      <c r="F474" s="8"/>
      <c r="G474" s="8"/>
      <c r="H474" s="8"/>
      <c r="I474" s="8"/>
      <c r="J474" s="8"/>
      <c r="K474" s="8"/>
    </row>
    <row r="475" spans="1:11" s="9" customFormat="1" ht="13.2">
      <c r="A475" s="15"/>
      <c r="B475" s="15"/>
      <c r="C475" s="15"/>
      <c r="D475" s="15"/>
      <c r="E475" s="15"/>
      <c r="F475" s="8"/>
      <c r="G475" s="8"/>
      <c r="H475" s="8"/>
      <c r="I475" s="8"/>
      <c r="J475" s="8"/>
      <c r="K475" s="8"/>
    </row>
    <row r="476" spans="1:11" s="9" customFormat="1" ht="13.2">
      <c r="A476" s="15"/>
      <c r="B476" s="15"/>
      <c r="C476" s="15"/>
      <c r="D476" s="15"/>
      <c r="E476" s="15"/>
      <c r="F476" s="8"/>
      <c r="G476" s="8"/>
      <c r="H476" s="8"/>
      <c r="I476" s="8"/>
      <c r="J476" s="8"/>
      <c r="K476" s="8"/>
    </row>
    <row r="477" spans="1:11" s="9" customFormat="1" ht="13.2">
      <c r="A477" s="15"/>
      <c r="B477" s="15"/>
      <c r="C477" s="15"/>
      <c r="D477" s="15"/>
      <c r="E477" s="15"/>
      <c r="F477" s="8"/>
      <c r="G477" s="8"/>
      <c r="H477" s="8"/>
      <c r="I477" s="8"/>
      <c r="J477" s="8"/>
      <c r="K477" s="8"/>
    </row>
    <row r="478" spans="1:11" s="9" customFormat="1" ht="13.2">
      <c r="A478" s="15"/>
      <c r="B478" s="15"/>
      <c r="C478" s="15"/>
      <c r="D478" s="15"/>
      <c r="E478" s="15"/>
      <c r="F478" s="8"/>
      <c r="G478" s="8"/>
      <c r="H478" s="8"/>
      <c r="I478" s="8"/>
      <c r="J478" s="8"/>
      <c r="K478" s="8"/>
    </row>
    <row r="479" spans="1:11" s="9" customFormat="1" ht="13.2">
      <c r="A479" s="15"/>
      <c r="B479" s="15"/>
      <c r="C479" s="15"/>
      <c r="D479" s="15"/>
      <c r="E479" s="15"/>
      <c r="F479" s="8"/>
      <c r="G479" s="8"/>
      <c r="H479" s="8"/>
      <c r="I479" s="8"/>
      <c r="J479" s="8"/>
      <c r="K479" s="8"/>
    </row>
    <row r="480" spans="1:11" s="9" customFormat="1" ht="13.2">
      <c r="A480" s="6"/>
      <c r="B480" s="6"/>
      <c r="C480" s="6"/>
      <c r="D480" s="6"/>
      <c r="E480" s="6"/>
      <c r="F480" s="12"/>
      <c r="G480" s="12"/>
      <c r="H480" s="12"/>
      <c r="I480" s="12"/>
      <c r="J480" s="12"/>
      <c r="K480" s="12"/>
    </row>
    <row r="481" spans="1:11" s="9" customFormat="1" ht="13.2">
      <c r="A481" s="6"/>
      <c r="B481" s="6"/>
      <c r="C481" s="6"/>
      <c r="D481" s="6"/>
      <c r="E481" s="6"/>
      <c r="F481" s="12"/>
      <c r="G481" s="12"/>
      <c r="H481" s="12"/>
      <c r="I481" s="12"/>
      <c r="J481" s="12"/>
      <c r="K481" s="12"/>
    </row>
    <row r="482" spans="1:11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  <c r="K482" s="11"/>
    </row>
    <row r="483" spans="1:11" s="9" customFormat="1" ht="13.2">
      <c r="A483" s="6"/>
      <c r="B483" s="6"/>
      <c r="C483" s="6"/>
      <c r="D483" s="6"/>
      <c r="E483" s="6"/>
      <c r="F483" s="12"/>
      <c r="G483" s="12"/>
      <c r="H483" s="12"/>
      <c r="I483" s="12"/>
      <c r="J483" s="12"/>
      <c r="K483" s="12"/>
    </row>
    <row r="484" spans="1:11" s="9" customFormat="1" ht="13.2">
      <c r="A484" s="6"/>
      <c r="B484" s="6"/>
      <c r="C484" s="6"/>
      <c r="D484" s="6"/>
      <c r="E484" s="6"/>
      <c r="F484" s="8"/>
      <c r="G484" s="8"/>
      <c r="H484" s="8"/>
      <c r="I484" s="8"/>
      <c r="J484" s="8"/>
      <c r="K484" s="8"/>
    </row>
    <row r="485" spans="1:11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  <c r="K485" s="8"/>
    </row>
    <row r="486" spans="1:11" s="9" customFormat="1" ht="13.2">
      <c r="A486" s="6"/>
      <c r="B486" s="6"/>
      <c r="C486" s="6"/>
      <c r="D486" s="6"/>
      <c r="E486" s="6"/>
      <c r="F486" s="11"/>
      <c r="G486" s="11"/>
      <c r="H486" s="11"/>
      <c r="I486" s="11"/>
      <c r="J486" s="11"/>
      <c r="K486" s="11"/>
    </row>
    <row r="487" spans="1:11" s="9" customFormat="1" ht="13.2">
      <c r="A487" s="6"/>
      <c r="B487" s="6"/>
      <c r="C487" s="6"/>
      <c r="D487" s="6"/>
      <c r="E487" s="6"/>
      <c r="F487" s="12"/>
      <c r="G487" s="12"/>
      <c r="H487" s="12"/>
      <c r="I487" s="12"/>
      <c r="J487" s="12"/>
      <c r="K487" s="12"/>
    </row>
    <row r="488" spans="1:11" s="9" customFormat="1" ht="13.2">
      <c r="A488" s="6"/>
      <c r="B488" s="6"/>
      <c r="C488" s="6"/>
      <c r="D488" s="6"/>
      <c r="E488" s="6"/>
      <c r="F488" s="11"/>
      <c r="G488" s="11"/>
      <c r="H488" s="11"/>
      <c r="I488" s="11"/>
      <c r="J488" s="11"/>
      <c r="K488" s="11"/>
    </row>
    <row r="489" spans="1:11" s="9" customFormat="1" ht="13.2">
      <c r="A489" s="6"/>
      <c r="B489" s="6"/>
      <c r="C489" s="6"/>
      <c r="D489" s="6"/>
      <c r="E489" s="6"/>
      <c r="F489" s="11"/>
      <c r="G489" s="11"/>
      <c r="H489" s="11"/>
      <c r="I489" s="11"/>
      <c r="J489" s="11"/>
      <c r="K489" s="11"/>
    </row>
    <row r="490" spans="1:11" s="9" customFormat="1" ht="13.2">
      <c r="A490" s="6"/>
      <c r="B490" s="6"/>
      <c r="C490" s="6"/>
      <c r="D490" s="6"/>
      <c r="E490" s="6"/>
      <c r="F490" s="11"/>
      <c r="G490" s="11"/>
      <c r="H490" s="11"/>
      <c r="I490" s="11"/>
      <c r="J490" s="11"/>
      <c r="K490" s="11"/>
    </row>
    <row r="491" spans="1:11" s="9" customFormat="1" ht="13.2">
      <c r="A491" s="6"/>
      <c r="B491" s="6"/>
      <c r="C491" s="6"/>
      <c r="D491" s="6"/>
      <c r="E491" s="6"/>
      <c r="F491" s="11"/>
      <c r="G491" s="11"/>
      <c r="H491" s="11"/>
      <c r="I491" s="11"/>
      <c r="J491" s="11"/>
      <c r="K491" s="11"/>
    </row>
    <row r="492" spans="1:11" s="9" customFormat="1" ht="13.2">
      <c r="A492" s="6"/>
      <c r="B492" s="6"/>
      <c r="C492" s="6"/>
      <c r="D492" s="6"/>
      <c r="E492" s="6"/>
      <c r="F492" s="11"/>
      <c r="G492" s="11"/>
      <c r="H492" s="11"/>
      <c r="I492" s="11"/>
      <c r="J492" s="11"/>
      <c r="K492" s="11"/>
    </row>
    <row r="493" spans="1:11" s="9" customFormat="1" ht="13.2">
      <c r="A493" s="6"/>
      <c r="B493" s="6"/>
      <c r="C493" s="6"/>
      <c r="D493" s="6"/>
      <c r="E493" s="6"/>
      <c r="F493" s="11"/>
      <c r="G493" s="11"/>
      <c r="H493" s="11"/>
      <c r="I493" s="11"/>
      <c r="J493" s="11"/>
      <c r="K493" s="11"/>
    </row>
    <row r="494" spans="1:11" s="9" customFormat="1" ht="13.2">
      <c r="A494" s="6"/>
      <c r="B494" s="6"/>
      <c r="C494" s="6"/>
      <c r="D494" s="6"/>
      <c r="E494" s="6"/>
      <c r="F494" s="11"/>
      <c r="G494" s="11"/>
      <c r="H494" s="11"/>
      <c r="I494" s="11"/>
      <c r="J494" s="11"/>
      <c r="K494" s="11"/>
    </row>
    <row r="495" spans="1:11" s="9" customFormat="1" ht="13.2">
      <c r="A495" s="6"/>
      <c r="B495" s="6"/>
      <c r="C495" s="6"/>
      <c r="D495" s="6"/>
      <c r="E495" s="6"/>
      <c r="F495" s="11"/>
      <c r="G495" s="11"/>
      <c r="H495" s="11"/>
      <c r="I495" s="11"/>
      <c r="J495" s="11"/>
      <c r="K495" s="11"/>
    </row>
    <row r="496" spans="1:11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  <c r="K496" s="8"/>
    </row>
    <row r="497" spans="1:11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  <c r="K497" s="8"/>
    </row>
    <row r="498" spans="1:11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  <c r="K498" s="8"/>
    </row>
    <row r="499" spans="1:11" s="9" customFormat="1" ht="13.2">
      <c r="A499" s="6"/>
      <c r="B499" s="6"/>
      <c r="C499" s="6"/>
      <c r="D499" s="6"/>
      <c r="E499" s="6"/>
      <c r="F499" s="8"/>
      <c r="G499" s="8"/>
      <c r="H499" s="8"/>
      <c r="I499" s="8"/>
      <c r="J499" s="8"/>
      <c r="K499" s="8"/>
    </row>
    <row r="500" spans="1:11" s="9" customFormat="1" ht="13.2">
      <c r="A500" s="6"/>
      <c r="B500" s="6"/>
      <c r="C500" s="6"/>
      <c r="D500" s="6"/>
      <c r="E500" s="6"/>
      <c r="F500" s="8"/>
      <c r="G500" s="8"/>
      <c r="H500" s="8"/>
      <c r="I500" s="8"/>
      <c r="J500" s="8"/>
      <c r="K500" s="8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12"/>
      <c r="G502" s="12"/>
      <c r="H502" s="12"/>
      <c r="I502" s="12"/>
      <c r="J502" s="12"/>
      <c r="K502" s="12"/>
    </row>
    <row r="503" spans="1:11" s="9" customFormat="1" ht="13.2">
      <c r="A503" s="6"/>
      <c r="B503" s="6"/>
      <c r="C503" s="6"/>
      <c r="D503" s="6"/>
      <c r="E503" s="6"/>
      <c r="F503" s="10"/>
      <c r="G503" s="10"/>
      <c r="H503" s="10"/>
      <c r="I503" s="10"/>
      <c r="J503" s="10"/>
      <c r="K503" s="10"/>
    </row>
    <row r="504" spans="1:11" s="9" customFormat="1" ht="13.2">
      <c r="A504" s="6"/>
      <c r="B504" s="6"/>
      <c r="C504" s="6"/>
      <c r="D504" s="6"/>
      <c r="E504" s="6"/>
      <c r="F504" s="12"/>
      <c r="G504" s="12"/>
      <c r="H504" s="12"/>
      <c r="I504" s="12"/>
      <c r="J504" s="12"/>
      <c r="K504" s="12"/>
    </row>
    <row r="505" spans="1:11" s="9" customFormat="1" ht="13.2">
      <c r="A505" s="6"/>
      <c r="B505" s="6"/>
      <c r="C505" s="6"/>
      <c r="D505" s="6"/>
      <c r="E505" s="6"/>
      <c r="F505" s="12"/>
      <c r="G505" s="12"/>
      <c r="H505" s="12"/>
      <c r="I505" s="12"/>
      <c r="J505" s="12"/>
      <c r="K505" s="12"/>
    </row>
    <row r="506" spans="1:11" s="9" customFormat="1" ht="13.2">
      <c r="A506" s="6"/>
      <c r="B506" s="6"/>
      <c r="C506" s="6"/>
      <c r="D506" s="6"/>
      <c r="E506" s="6"/>
      <c r="F506" s="8"/>
      <c r="G506" s="8"/>
      <c r="H506" s="8"/>
      <c r="I506" s="8"/>
      <c r="J506" s="8"/>
      <c r="K506" s="8"/>
    </row>
    <row r="507" spans="1:11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  <c r="K507" s="8"/>
    </row>
    <row r="508" spans="1:11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  <c r="K508" s="8"/>
    </row>
    <row r="509" spans="1:11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  <c r="K509" s="8"/>
    </row>
    <row r="510" spans="1:11" s="9" customFormat="1" ht="13.2">
      <c r="A510" s="6"/>
      <c r="B510" s="6"/>
      <c r="C510" s="6"/>
      <c r="D510" s="6"/>
      <c r="E510" s="6"/>
      <c r="F510" s="11"/>
      <c r="G510" s="11"/>
      <c r="H510" s="11"/>
      <c r="I510" s="11"/>
      <c r="J510" s="11"/>
      <c r="K510" s="11"/>
    </row>
    <row r="511" spans="1:11" s="9" customFormat="1" ht="13.2">
      <c r="A511" s="6"/>
      <c r="B511" s="6"/>
      <c r="C511" s="6"/>
      <c r="D511" s="6"/>
      <c r="E511" s="6"/>
      <c r="F511" s="12"/>
      <c r="G511" s="12"/>
      <c r="H511" s="12"/>
      <c r="I511" s="12"/>
      <c r="J511" s="12"/>
      <c r="K511" s="12"/>
    </row>
    <row r="512" spans="1:11" s="9" customFormat="1" ht="13.2">
      <c r="A512" s="6"/>
      <c r="B512" s="6"/>
      <c r="C512" s="6"/>
      <c r="D512" s="6"/>
      <c r="E512" s="6"/>
      <c r="F512" s="10"/>
      <c r="G512" s="10"/>
      <c r="H512" s="10"/>
      <c r="I512" s="10"/>
      <c r="J512" s="10"/>
      <c r="K512" s="10"/>
    </row>
    <row r="513" spans="1:11" s="9" customFormat="1" ht="13.2">
      <c r="A513" s="6"/>
      <c r="B513" s="6"/>
      <c r="C513" s="6"/>
      <c r="D513" s="6"/>
      <c r="E513" s="6"/>
      <c r="F513" s="11"/>
      <c r="G513" s="11"/>
      <c r="H513" s="11"/>
      <c r="I513" s="11"/>
      <c r="J513" s="11"/>
      <c r="K513" s="11"/>
    </row>
    <row r="514" spans="1:11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  <c r="K514" s="8"/>
    </row>
    <row r="515" spans="1:11" s="9" customFormat="1" ht="13.2">
      <c r="A515" s="6"/>
      <c r="B515" s="6"/>
      <c r="C515" s="6"/>
      <c r="D515" s="6"/>
      <c r="E515" s="6"/>
      <c r="F515" s="7"/>
      <c r="G515" s="7"/>
      <c r="H515" s="7"/>
      <c r="I515" s="7"/>
      <c r="J515" s="7"/>
      <c r="K515" s="7"/>
    </row>
    <row r="516" spans="1:11" s="9" customFormat="1" ht="13.2">
      <c r="A516" s="6"/>
      <c r="B516" s="6"/>
      <c r="C516" s="6"/>
      <c r="D516" s="6"/>
      <c r="E516" s="6"/>
      <c r="F516" s="7"/>
      <c r="G516" s="7"/>
      <c r="H516" s="7"/>
      <c r="I516" s="7"/>
      <c r="J516" s="7"/>
      <c r="K516" s="7"/>
    </row>
    <row r="517" spans="1:11" s="9" customFormat="1" ht="13.2">
      <c r="A517" s="6"/>
      <c r="B517" s="6"/>
      <c r="C517" s="6"/>
      <c r="D517" s="6"/>
      <c r="E517" s="6"/>
      <c r="F517" s="7"/>
      <c r="G517" s="7"/>
      <c r="H517" s="7"/>
      <c r="I517" s="7"/>
      <c r="J517" s="7"/>
      <c r="K517" s="7"/>
    </row>
    <row r="518" spans="1:11" s="9" customFormat="1" ht="13.2">
      <c r="A518" s="6"/>
      <c r="B518" s="6"/>
      <c r="C518" s="6"/>
      <c r="D518" s="6"/>
      <c r="E518" s="6"/>
      <c r="F518" s="7"/>
      <c r="G518" s="7"/>
      <c r="H518" s="7"/>
      <c r="I518" s="7"/>
      <c r="J518" s="7"/>
      <c r="K518" s="7"/>
    </row>
    <row r="519" spans="1:11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  <c r="K519" s="8"/>
    </row>
    <row r="520" spans="1:11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  <c r="K520" s="8"/>
    </row>
    <row r="521" spans="1:11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  <c r="K521" s="8"/>
    </row>
    <row r="522" spans="1:11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  <c r="K522" s="8"/>
    </row>
    <row r="523" spans="1:11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  <c r="K523" s="8"/>
    </row>
    <row r="524" spans="1:11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  <c r="K524" s="8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12"/>
      <c r="G527" s="12"/>
      <c r="H527" s="12"/>
      <c r="I527" s="12"/>
      <c r="J527" s="12"/>
      <c r="K527" s="12"/>
    </row>
    <row r="528" spans="1:11" s="9" customFormat="1" ht="13.2">
      <c r="A528" s="6"/>
      <c r="B528" s="6"/>
      <c r="C528" s="6"/>
      <c r="D528" s="6"/>
      <c r="E528" s="6"/>
      <c r="F528" s="11"/>
      <c r="G528" s="11"/>
      <c r="H528" s="11"/>
      <c r="I528" s="11"/>
      <c r="J528" s="11"/>
      <c r="K528" s="11"/>
    </row>
    <row r="529" spans="1:11" s="9" customFormat="1" ht="13.2">
      <c r="A529" s="6"/>
      <c r="B529" s="6"/>
      <c r="C529" s="6"/>
      <c r="D529" s="6"/>
      <c r="E529" s="6"/>
      <c r="F529" s="12"/>
      <c r="G529" s="12"/>
      <c r="H529" s="12"/>
      <c r="I529" s="12"/>
      <c r="J529" s="12"/>
      <c r="K529" s="12"/>
    </row>
    <row r="530" spans="1:11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  <c r="K530" s="8"/>
    </row>
    <row r="531" spans="1:11" s="9" customFormat="1" ht="13.2">
      <c r="A531" s="6"/>
      <c r="B531" s="6"/>
      <c r="C531" s="6"/>
      <c r="D531" s="6"/>
      <c r="E531" s="6"/>
      <c r="F531" s="12"/>
      <c r="G531" s="12"/>
      <c r="H531" s="12"/>
      <c r="I531" s="12"/>
      <c r="J531" s="12"/>
      <c r="K531" s="12"/>
    </row>
    <row r="532" spans="1:11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  <c r="K532" s="8"/>
    </row>
    <row r="533" spans="1:11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  <c r="K533" s="8"/>
    </row>
    <row r="534" spans="1:11" s="9" customFormat="1" ht="13.2">
      <c r="A534" s="6"/>
      <c r="B534" s="6"/>
      <c r="C534" s="6"/>
      <c r="D534" s="6"/>
      <c r="E534" s="6"/>
      <c r="F534" s="12"/>
      <c r="G534" s="12"/>
      <c r="H534" s="12"/>
      <c r="I534" s="12"/>
      <c r="J534" s="12"/>
      <c r="K534" s="12"/>
    </row>
    <row r="535" spans="1:11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  <c r="K535" s="8"/>
    </row>
    <row r="536" spans="1:11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  <c r="K536" s="8"/>
    </row>
    <row r="537" spans="1:11" s="9" customFormat="1" ht="13.2">
      <c r="A537" s="6"/>
      <c r="B537" s="6"/>
      <c r="C537" s="6"/>
      <c r="D537" s="6"/>
      <c r="E537" s="6"/>
      <c r="F537" s="11"/>
      <c r="G537" s="11"/>
      <c r="H537" s="11"/>
      <c r="I537" s="11"/>
      <c r="J537" s="11"/>
      <c r="K537" s="11"/>
    </row>
    <row r="538" spans="1:11" s="9" customFormat="1" ht="13.2">
      <c r="A538" s="6"/>
      <c r="B538" s="6"/>
      <c r="C538" s="6"/>
      <c r="D538" s="6"/>
      <c r="E538" s="6"/>
      <c r="F538" s="8"/>
      <c r="G538" s="8"/>
      <c r="H538" s="8"/>
      <c r="I538" s="8"/>
      <c r="J538" s="8"/>
      <c r="K538" s="8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  <c r="K540" s="8"/>
    </row>
    <row r="541" spans="1:11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  <c r="K541" s="11"/>
    </row>
    <row r="542" spans="1:11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  <c r="K542" s="8"/>
    </row>
    <row r="543" spans="1:11" s="9" customFormat="1" ht="13.2">
      <c r="A543" s="6"/>
      <c r="B543" s="6"/>
      <c r="C543" s="6"/>
      <c r="D543" s="6"/>
      <c r="E543" s="6"/>
      <c r="F543" s="8"/>
      <c r="G543" s="8"/>
      <c r="H543" s="8"/>
      <c r="I543" s="8"/>
      <c r="J543" s="8"/>
      <c r="K543" s="8"/>
    </row>
    <row r="544" spans="1:11" s="9" customFormat="1" ht="13.2">
      <c r="A544" s="6"/>
      <c r="B544" s="6"/>
      <c r="C544" s="6"/>
      <c r="D544" s="6"/>
      <c r="E544" s="6"/>
      <c r="F544" s="8"/>
      <c r="G544" s="8"/>
      <c r="H544" s="8"/>
      <c r="I544" s="8"/>
      <c r="J544" s="8"/>
      <c r="K544" s="8"/>
    </row>
    <row r="545" spans="1:11" s="9" customFormat="1" ht="13.2">
      <c r="A545" s="6"/>
      <c r="B545" s="6"/>
      <c r="C545" s="6"/>
      <c r="D545" s="6"/>
      <c r="E545" s="6"/>
      <c r="F545" s="8"/>
      <c r="G545" s="8"/>
      <c r="H545" s="8"/>
      <c r="I545" s="8"/>
      <c r="J545" s="8"/>
      <c r="K545" s="8"/>
    </row>
    <row r="546" spans="1:11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  <c r="K546" s="8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10"/>
      <c r="G548" s="10"/>
      <c r="H548" s="10"/>
      <c r="I548" s="10"/>
      <c r="J548" s="10"/>
      <c r="K548" s="10"/>
    </row>
    <row r="549" spans="1:11" s="9" customFormat="1" ht="13.2">
      <c r="A549" s="6"/>
      <c r="B549" s="6"/>
      <c r="C549" s="6"/>
      <c r="D549" s="6"/>
      <c r="E549" s="6"/>
      <c r="F549" s="11"/>
      <c r="G549" s="11"/>
      <c r="H549" s="11"/>
      <c r="I549" s="11"/>
      <c r="J549" s="11"/>
      <c r="K549" s="11"/>
    </row>
    <row r="550" spans="1:11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  <c r="K550" s="8"/>
    </row>
    <row r="551" spans="1:11" s="9" customFormat="1" ht="13.2">
      <c r="A551" s="6"/>
      <c r="B551" s="6"/>
      <c r="C551" s="6"/>
      <c r="D551" s="6"/>
      <c r="E551" s="6"/>
      <c r="F551" s="11"/>
      <c r="G551" s="11"/>
      <c r="H551" s="11"/>
      <c r="I551" s="11"/>
      <c r="J551" s="11"/>
      <c r="K551" s="11"/>
    </row>
    <row r="552" spans="1:11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  <c r="K552" s="8"/>
    </row>
    <row r="553" spans="1:11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  <c r="K553" s="8"/>
    </row>
    <row r="554" spans="1:11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  <c r="K554" s="11"/>
    </row>
    <row r="555" spans="1:11" s="9" customFormat="1" ht="13.2">
      <c r="A555" s="6"/>
      <c r="B555" s="6"/>
      <c r="C555" s="6"/>
      <c r="D555" s="6"/>
      <c r="E555" s="6"/>
      <c r="F555" s="11"/>
      <c r="G555" s="11"/>
      <c r="H555" s="11"/>
      <c r="I555" s="11"/>
      <c r="J555" s="11"/>
      <c r="K555" s="11"/>
    </row>
    <row r="556" spans="1:11" s="9" customFormat="1" ht="13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spans="1:11" s="9" customFormat="1" ht="13.2">
      <c r="A557" s="6"/>
      <c r="B557" s="6"/>
      <c r="C557" s="6"/>
      <c r="D557" s="6"/>
      <c r="E557" s="6"/>
      <c r="F557" s="11"/>
      <c r="G557" s="11"/>
      <c r="H557" s="11"/>
      <c r="I557" s="11"/>
      <c r="J557" s="11"/>
      <c r="K557" s="11"/>
    </row>
    <row r="558" spans="1:11" s="9" customFormat="1" ht="13.2">
      <c r="A558" s="6"/>
      <c r="B558" s="6"/>
      <c r="C558" s="6"/>
      <c r="D558" s="6"/>
      <c r="E558" s="6"/>
      <c r="F558" s="11"/>
      <c r="G558" s="11"/>
      <c r="H558" s="11"/>
      <c r="I558" s="11"/>
      <c r="J558" s="11"/>
      <c r="K558" s="11"/>
    </row>
    <row r="559" spans="1:11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  <c r="K559" s="8"/>
    </row>
    <row r="560" spans="1:11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  <c r="K560" s="8"/>
    </row>
    <row r="561" spans="1:11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  <c r="K561" s="8"/>
    </row>
    <row r="562" spans="1:11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  <c r="K562" s="8"/>
    </row>
    <row r="563" spans="1:11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  <c r="K563" s="8"/>
    </row>
    <row r="564" spans="1:11" s="9" customFormat="1" ht="13.2">
      <c r="A564" s="6"/>
      <c r="B564" s="6"/>
      <c r="C564" s="6"/>
      <c r="D564" s="6"/>
      <c r="E564" s="6"/>
      <c r="F564" s="7"/>
      <c r="G564" s="7"/>
      <c r="H564" s="7"/>
      <c r="I564" s="7"/>
      <c r="J564" s="7"/>
      <c r="K564" s="7"/>
    </row>
    <row r="565" spans="1:11" s="9" customFormat="1" ht="13.2">
      <c r="A565" s="6"/>
      <c r="B565" s="6"/>
      <c r="C565" s="6"/>
      <c r="D565" s="6"/>
      <c r="E565" s="6"/>
      <c r="F565" s="7"/>
      <c r="G565" s="7"/>
      <c r="H565" s="7"/>
      <c r="I565" s="7"/>
      <c r="J565" s="7"/>
      <c r="K565" s="7"/>
    </row>
    <row r="566" spans="1:11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  <c r="K566" s="8"/>
    </row>
    <row r="567" spans="1:11" s="9" customFormat="1" ht="13.2">
      <c r="A567" s="6"/>
      <c r="B567" s="6"/>
      <c r="C567" s="6"/>
      <c r="D567" s="6"/>
      <c r="E567" s="6"/>
      <c r="F567" s="11"/>
      <c r="G567" s="11"/>
      <c r="H567" s="11"/>
      <c r="I567" s="11"/>
      <c r="J567" s="11"/>
      <c r="K567" s="11"/>
    </row>
    <row r="568" spans="1:11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  <c r="K568" s="7"/>
    </row>
    <row r="569" spans="1:11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  <c r="K569" s="8"/>
    </row>
    <row r="570" spans="1:11" s="9" customFormat="1" ht="13.2">
      <c r="A570" s="6"/>
      <c r="B570" s="6"/>
      <c r="C570" s="6"/>
      <c r="D570" s="6"/>
      <c r="E570" s="6"/>
      <c r="F570" s="7"/>
      <c r="G570" s="7"/>
      <c r="H570" s="7"/>
      <c r="I570" s="7"/>
      <c r="J570" s="7"/>
      <c r="K570" s="7"/>
    </row>
    <row r="571" spans="1:11" s="9" customFormat="1" ht="13.2">
      <c r="A571" s="6"/>
      <c r="B571" s="6"/>
      <c r="C571" s="6"/>
      <c r="D571" s="6"/>
      <c r="E571" s="6"/>
      <c r="F571" s="7"/>
      <c r="G571" s="7"/>
      <c r="H571" s="7"/>
      <c r="I571" s="7"/>
      <c r="J571" s="7"/>
      <c r="K571" s="7"/>
    </row>
    <row r="572" spans="1:11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  <c r="K572" s="8"/>
    </row>
    <row r="573" spans="1:11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  <c r="K573" s="8"/>
    </row>
    <row r="574" spans="1:11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  <c r="K574" s="8"/>
    </row>
    <row r="575" spans="1:11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  <c r="K575" s="8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7"/>
      <c r="G579" s="7"/>
      <c r="H579" s="7"/>
      <c r="I579" s="7"/>
      <c r="J579" s="7"/>
      <c r="K579" s="7"/>
    </row>
    <row r="580" spans="1:11" s="9" customFormat="1" ht="13.2">
      <c r="A580" s="6"/>
      <c r="B580" s="6"/>
      <c r="C580" s="6"/>
      <c r="D580" s="6"/>
      <c r="E580" s="6"/>
      <c r="F580" s="7"/>
      <c r="G580" s="7"/>
      <c r="H580" s="7"/>
      <c r="I580" s="7"/>
      <c r="J580" s="7"/>
      <c r="K580" s="7"/>
    </row>
    <row r="581" spans="1:11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  <c r="K581" s="8"/>
    </row>
    <row r="582" spans="1:11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  <c r="K582" s="8"/>
    </row>
    <row r="583" spans="1:11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  <c r="K583" s="8"/>
    </row>
    <row r="584" spans="1:11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  <c r="K584" s="8"/>
    </row>
    <row r="585" spans="1:11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  <c r="K585" s="8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  <c r="K596" s="8"/>
    </row>
    <row r="597" spans="1:11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  <c r="K597" s="8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10"/>
      <c r="G608" s="10"/>
      <c r="H608" s="10"/>
      <c r="I608" s="10"/>
      <c r="J608" s="10"/>
      <c r="K608" s="10"/>
    </row>
    <row r="609" spans="1:11" s="9" customFormat="1" ht="13.2">
      <c r="A609" s="6"/>
      <c r="B609" s="6"/>
      <c r="C609" s="6"/>
      <c r="D609" s="6"/>
      <c r="E609" s="6"/>
      <c r="F609" s="10"/>
      <c r="G609" s="10"/>
      <c r="H609" s="10"/>
      <c r="I609" s="10"/>
      <c r="J609" s="10"/>
      <c r="K609" s="10"/>
    </row>
    <row r="610" spans="1:11" s="9" customFormat="1" ht="13.2">
      <c r="A610" s="6"/>
      <c r="B610" s="6"/>
      <c r="C610" s="6"/>
      <c r="D610" s="6"/>
      <c r="E610" s="6"/>
      <c r="F610" s="10"/>
      <c r="G610" s="10"/>
      <c r="H610" s="10"/>
      <c r="I610" s="10"/>
      <c r="J610" s="10"/>
      <c r="K610" s="10"/>
    </row>
    <row r="611" spans="1:11" s="9" customFormat="1" ht="13.2">
      <c r="A611" s="6"/>
      <c r="B611" s="6"/>
      <c r="C611" s="6"/>
      <c r="D611" s="6"/>
      <c r="E611" s="6"/>
      <c r="F611" s="8"/>
      <c r="G611" s="8"/>
      <c r="H611" s="8"/>
      <c r="I611" s="8"/>
      <c r="J611" s="8"/>
      <c r="K611" s="8"/>
    </row>
    <row r="612" spans="1:11" s="9" customFormat="1" ht="13.2">
      <c r="A612" s="6"/>
      <c r="B612" s="6"/>
      <c r="C612" s="6"/>
      <c r="D612" s="6"/>
      <c r="E612" s="6"/>
      <c r="F612" s="8"/>
      <c r="G612" s="8"/>
      <c r="H612" s="8"/>
      <c r="I612" s="8"/>
      <c r="J612" s="8"/>
      <c r="K612" s="8"/>
    </row>
    <row r="613" spans="1:11" s="9" customFormat="1" ht="13.2">
      <c r="A613" s="6"/>
      <c r="B613" s="6"/>
      <c r="C613" s="6"/>
      <c r="D613" s="6"/>
      <c r="E613" s="6"/>
      <c r="F613" s="10"/>
      <c r="G613" s="10"/>
      <c r="H613" s="10"/>
      <c r="I613" s="10"/>
      <c r="J613" s="10"/>
      <c r="K613" s="10"/>
    </row>
    <row r="614" spans="1:11" s="9" customFormat="1" ht="13.2">
      <c r="A614" s="6"/>
      <c r="B614" s="6"/>
      <c r="C614" s="6"/>
      <c r="D614" s="6"/>
      <c r="E614" s="6"/>
      <c r="F614" s="10"/>
      <c r="G614" s="10"/>
      <c r="H614" s="10"/>
      <c r="I614" s="10"/>
      <c r="J614" s="10"/>
      <c r="K614" s="10"/>
    </row>
    <row r="615" spans="1:11" s="9" customFormat="1" ht="13.2">
      <c r="A615" s="6"/>
      <c r="B615" s="6"/>
      <c r="C615" s="6"/>
      <c r="D615" s="6"/>
      <c r="E615" s="6"/>
      <c r="F615" s="10"/>
      <c r="G615" s="10"/>
      <c r="H615" s="10"/>
      <c r="I615" s="10"/>
      <c r="J615" s="10"/>
      <c r="K615" s="10"/>
    </row>
    <row r="616" spans="1:11" s="9" customFormat="1" ht="13.2">
      <c r="A616" s="6"/>
      <c r="B616" s="6"/>
      <c r="C616" s="6"/>
      <c r="D616" s="6"/>
      <c r="E616" s="6"/>
      <c r="F616" s="8"/>
      <c r="G616" s="8"/>
      <c r="H616" s="8"/>
      <c r="I616" s="8"/>
      <c r="J616" s="8"/>
      <c r="K616" s="8"/>
    </row>
    <row r="617" spans="1:11" s="9" customFormat="1" ht="13.2">
      <c r="A617" s="6"/>
      <c r="B617" s="6"/>
      <c r="C617" s="6"/>
      <c r="D617" s="6"/>
      <c r="E617" s="6"/>
      <c r="F617" s="8"/>
      <c r="G617" s="8"/>
      <c r="H617" s="8"/>
      <c r="I617" s="8"/>
      <c r="J617" s="8"/>
      <c r="K617" s="8"/>
    </row>
    <row r="618" spans="1:11" s="9" customFormat="1" ht="13.2">
      <c r="A618" s="6"/>
      <c r="B618" s="6"/>
      <c r="C618" s="6"/>
      <c r="D618" s="6"/>
      <c r="E618" s="6"/>
      <c r="F618" s="8"/>
      <c r="G618" s="8"/>
      <c r="H618" s="8"/>
      <c r="I618" s="8"/>
      <c r="J618" s="8"/>
      <c r="K618" s="8"/>
    </row>
    <row r="619" spans="1:11" s="9" customFormat="1" ht="13.2">
      <c r="A619" s="6"/>
      <c r="B619" s="6"/>
      <c r="C619" s="6"/>
      <c r="D619" s="6"/>
      <c r="E619" s="6"/>
      <c r="F619" s="12"/>
      <c r="G619" s="12"/>
      <c r="H619" s="12"/>
      <c r="I619" s="12"/>
      <c r="J619" s="12"/>
      <c r="K619" s="12"/>
    </row>
    <row r="620" spans="1:11" s="9" customFormat="1" ht="13.2">
      <c r="A620" s="6"/>
      <c r="B620" s="6"/>
      <c r="C620" s="6"/>
      <c r="D620" s="6"/>
      <c r="E620" s="6"/>
      <c r="F620" s="12"/>
      <c r="G620" s="12"/>
      <c r="H620" s="12"/>
      <c r="I620" s="12"/>
      <c r="J620" s="12"/>
      <c r="K620" s="12"/>
    </row>
    <row r="621" spans="1:11" s="9" customFormat="1" ht="13.2">
      <c r="A621" s="6"/>
      <c r="B621" s="6"/>
      <c r="C621" s="6"/>
      <c r="D621" s="6"/>
      <c r="E621" s="6"/>
      <c r="F621" s="12"/>
      <c r="G621" s="12"/>
      <c r="H621" s="12"/>
      <c r="I621" s="12"/>
      <c r="J621" s="12"/>
      <c r="K621" s="12"/>
    </row>
    <row r="622" spans="1:11" s="9" customFormat="1" ht="13.2">
      <c r="A622" s="6"/>
      <c r="B622" s="6"/>
      <c r="C622" s="6"/>
      <c r="D622" s="6"/>
      <c r="E622" s="6"/>
      <c r="F622" s="12"/>
      <c r="G622" s="12"/>
      <c r="H622" s="12"/>
      <c r="I622" s="12"/>
      <c r="J622" s="12"/>
      <c r="K622" s="12"/>
    </row>
    <row r="623" spans="1:11" s="9" customFormat="1" ht="13.2">
      <c r="A623" s="6"/>
      <c r="B623" s="6"/>
      <c r="C623" s="6"/>
      <c r="D623" s="6"/>
      <c r="E623" s="6"/>
      <c r="F623" s="12"/>
      <c r="G623" s="12"/>
      <c r="H623" s="12"/>
      <c r="I623" s="12"/>
      <c r="J623" s="12"/>
      <c r="K623" s="12"/>
    </row>
    <row r="624" spans="1:11" s="9" customFormat="1" ht="13.2">
      <c r="A624" s="6"/>
      <c r="B624" s="6"/>
      <c r="C624" s="6"/>
      <c r="D624" s="6"/>
      <c r="E624" s="6"/>
      <c r="F624" s="12"/>
      <c r="G624" s="12"/>
      <c r="H624" s="12"/>
      <c r="I624" s="12"/>
      <c r="J624" s="12"/>
      <c r="K624" s="12"/>
    </row>
    <row r="625" spans="1:13" s="9" customFormat="1" ht="13.2">
      <c r="A625" s="6"/>
      <c r="B625" s="6"/>
      <c r="C625" s="6"/>
      <c r="D625" s="6"/>
      <c r="E625" s="6"/>
      <c r="F625" s="12"/>
      <c r="G625" s="12"/>
      <c r="H625" s="12"/>
      <c r="I625" s="12"/>
      <c r="J625" s="12"/>
      <c r="K625" s="12"/>
    </row>
    <row r="626" spans="1:13" s="9" customForma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s="9" customForma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s="9" customForma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s="9" customForma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s="9" customForma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s="9" customForma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</sheetData>
  <mergeCells count="292">
    <mergeCell ref="B17:F17"/>
    <mergeCell ref="B28:F28"/>
    <mergeCell ref="B34:F34"/>
    <mergeCell ref="B40:F40"/>
    <mergeCell ref="B41:F41"/>
    <mergeCell ref="A160:B160"/>
    <mergeCell ref="D160:F160"/>
    <mergeCell ref="H160:J160"/>
    <mergeCell ref="L160:M160"/>
    <mergeCell ref="A150:F150"/>
    <mergeCell ref="H150:I150"/>
    <mergeCell ref="A147:F147"/>
    <mergeCell ref="H147:I147"/>
    <mergeCell ref="A148:F148"/>
    <mergeCell ref="H148:I148"/>
    <mergeCell ref="A149:F149"/>
    <mergeCell ref="H149:I149"/>
    <mergeCell ref="A144:F144"/>
    <mergeCell ref="H144:I144"/>
    <mergeCell ref="A145:F145"/>
    <mergeCell ref="H145:I145"/>
    <mergeCell ref="A146:F146"/>
    <mergeCell ref="H146:I146"/>
    <mergeCell ref="A141:F141"/>
    <mergeCell ref="A161:B161"/>
    <mergeCell ref="D161:F161"/>
    <mergeCell ref="H161:J161"/>
    <mergeCell ref="J154:L154"/>
    <mergeCell ref="B155:C156"/>
    <mergeCell ref="D155:E156"/>
    <mergeCell ref="F155:G156"/>
    <mergeCell ref="H155:I156"/>
    <mergeCell ref="J155:L156"/>
    <mergeCell ref="B154:C154"/>
    <mergeCell ref="D154:E154"/>
    <mergeCell ref="F154:G154"/>
    <mergeCell ref="H154:I154"/>
    <mergeCell ref="H141:I141"/>
    <mergeCell ref="A142:F142"/>
    <mergeCell ref="H142:I142"/>
    <mergeCell ref="A143:F143"/>
    <mergeCell ref="H143:I143"/>
    <mergeCell ref="A138:F138"/>
    <mergeCell ref="H138:M138"/>
    <mergeCell ref="H139:J139"/>
    <mergeCell ref="L139:M139"/>
    <mergeCell ref="A140:F140"/>
    <mergeCell ref="H140:I140"/>
    <mergeCell ref="A135:F135"/>
    <mergeCell ref="H135:M135"/>
    <mergeCell ref="A136:F136"/>
    <mergeCell ref="H136:M136"/>
    <mergeCell ref="A137:F137"/>
    <mergeCell ref="H137:M137"/>
    <mergeCell ref="A132:F132"/>
    <mergeCell ref="H132:M132"/>
    <mergeCell ref="A133:F133"/>
    <mergeCell ref="H133:M133"/>
    <mergeCell ref="A134:F134"/>
    <mergeCell ref="H134:M134"/>
    <mergeCell ref="A129:F129"/>
    <mergeCell ref="H129:M129"/>
    <mergeCell ref="A130:F130"/>
    <mergeCell ref="H130:M130"/>
    <mergeCell ref="A131:F131"/>
    <mergeCell ref="H131:M131"/>
    <mergeCell ref="B125:F125"/>
    <mergeCell ref="G125:H125"/>
    <mergeCell ref="B126:F126"/>
    <mergeCell ref="G126:I126"/>
    <mergeCell ref="A128:F128"/>
    <mergeCell ref="H128:M128"/>
    <mergeCell ref="B122:F122"/>
    <mergeCell ref="G122:H122"/>
    <mergeCell ref="B123:F123"/>
    <mergeCell ref="G123:H123"/>
    <mergeCell ref="B124:F124"/>
    <mergeCell ref="G124:H124"/>
    <mergeCell ref="B117:F117"/>
    <mergeCell ref="G117:I117"/>
    <mergeCell ref="B118:F118"/>
    <mergeCell ref="G118:I118"/>
    <mergeCell ref="B119:F119"/>
    <mergeCell ref="B121:F121"/>
    <mergeCell ref="G121:H121"/>
    <mergeCell ref="B114:F114"/>
    <mergeCell ref="G114:I114"/>
    <mergeCell ref="B115:F115"/>
    <mergeCell ref="G115:I115"/>
    <mergeCell ref="B116:F116"/>
    <mergeCell ref="G116:I116"/>
    <mergeCell ref="B111:F111"/>
    <mergeCell ref="G111:I111"/>
    <mergeCell ref="B112:F112"/>
    <mergeCell ref="G112:I112"/>
    <mergeCell ref="B113:F113"/>
    <mergeCell ref="G113:I113"/>
    <mergeCell ref="B108:F108"/>
    <mergeCell ref="G108:I108"/>
    <mergeCell ref="B109:F109"/>
    <mergeCell ref="G109:I109"/>
    <mergeCell ref="B110:F110"/>
    <mergeCell ref="G110:I110"/>
    <mergeCell ref="B105:F105"/>
    <mergeCell ref="G105:I105"/>
    <mergeCell ref="B106:F106"/>
    <mergeCell ref="G106:I106"/>
    <mergeCell ref="B107:F107"/>
    <mergeCell ref="G107:I107"/>
    <mergeCell ref="B102:F102"/>
    <mergeCell ref="G102:I102"/>
    <mergeCell ref="B103:F103"/>
    <mergeCell ref="G103:I103"/>
    <mergeCell ref="B104:F104"/>
    <mergeCell ref="G104:I104"/>
    <mergeCell ref="B99:F99"/>
    <mergeCell ref="G99:I99"/>
    <mergeCell ref="B100:F100"/>
    <mergeCell ref="G100:I100"/>
    <mergeCell ref="B101:F101"/>
    <mergeCell ref="G101:I101"/>
    <mergeCell ref="B94:H94"/>
    <mergeCell ref="L94:M94"/>
    <mergeCell ref="L96:M96"/>
    <mergeCell ref="A97:A98"/>
    <mergeCell ref="B97:F98"/>
    <mergeCell ref="G97:I98"/>
    <mergeCell ref="J97:L97"/>
    <mergeCell ref="M97:M98"/>
    <mergeCell ref="B91:H91"/>
    <mergeCell ref="L91:M91"/>
    <mergeCell ref="B92:H92"/>
    <mergeCell ref="L92:M92"/>
    <mergeCell ref="B93:H93"/>
    <mergeCell ref="L93:M93"/>
    <mergeCell ref="A84:B84"/>
    <mergeCell ref="D84:F84"/>
    <mergeCell ref="H84:J84"/>
    <mergeCell ref="L84:M84"/>
    <mergeCell ref="A85:B85"/>
    <mergeCell ref="D85:F85"/>
    <mergeCell ref="H85:J85"/>
    <mergeCell ref="B78:C78"/>
    <mergeCell ref="D78:E78"/>
    <mergeCell ref="F78:G78"/>
    <mergeCell ref="H78:I78"/>
    <mergeCell ref="J78:L78"/>
    <mergeCell ref="B79:C80"/>
    <mergeCell ref="D79:E80"/>
    <mergeCell ref="F79:G80"/>
    <mergeCell ref="H79:I80"/>
    <mergeCell ref="J79:L80"/>
    <mergeCell ref="A72:F72"/>
    <mergeCell ref="H72:I72"/>
    <mergeCell ref="A73:F73"/>
    <mergeCell ref="H73:I73"/>
    <mergeCell ref="A74:F74"/>
    <mergeCell ref="H74:I74"/>
    <mergeCell ref="A69:F69"/>
    <mergeCell ref="H69:I69"/>
    <mergeCell ref="A70:F70"/>
    <mergeCell ref="H70:I70"/>
    <mergeCell ref="A71:F71"/>
    <mergeCell ref="H71:I71"/>
    <mergeCell ref="H66:I66"/>
    <mergeCell ref="A67:F67"/>
    <mergeCell ref="H67:I67"/>
    <mergeCell ref="A68:F68"/>
    <mergeCell ref="H68:I68"/>
    <mergeCell ref="L63:M63"/>
    <mergeCell ref="A64:F64"/>
    <mergeCell ref="H64:I64"/>
    <mergeCell ref="A65:F65"/>
    <mergeCell ref="H65:I65"/>
    <mergeCell ref="H63:K63"/>
    <mergeCell ref="J64:K64"/>
    <mergeCell ref="J65:K65"/>
    <mergeCell ref="J66:K66"/>
    <mergeCell ref="J67:K67"/>
    <mergeCell ref="J68:K68"/>
    <mergeCell ref="A60:F60"/>
    <mergeCell ref="H60:M60"/>
    <mergeCell ref="A61:F61"/>
    <mergeCell ref="H61:M61"/>
    <mergeCell ref="A62:F62"/>
    <mergeCell ref="H62:M62"/>
    <mergeCell ref="A57:F57"/>
    <mergeCell ref="H57:M57"/>
    <mergeCell ref="A58:F58"/>
    <mergeCell ref="H58:M58"/>
    <mergeCell ref="A59:F59"/>
    <mergeCell ref="H59:M59"/>
    <mergeCell ref="A54:F54"/>
    <mergeCell ref="H54:M54"/>
    <mergeCell ref="A55:F55"/>
    <mergeCell ref="H55:M55"/>
    <mergeCell ref="A56:F56"/>
    <mergeCell ref="H56:M56"/>
    <mergeCell ref="B50:F50"/>
    <mergeCell ref="G50:I50"/>
    <mergeCell ref="A52:F52"/>
    <mergeCell ref="H52:M52"/>
    <mergeCell ref="A53:F53"/>
    <mergeCell ref="H53:M53"/>
    <mergeCell ref="B47:F47"/>
    <mergeCell ref="G47:H47"/>
    <mergeCell ref="B25:F25"/>
    <mergeCell ref="B27:F27"/>
    <mergeCell ref="B48:F48"/>
    <mergeCell ref="G48:H48"/>
    <mergeCell ref="B49:F49"/>
    <mergeCell ref="G49:H49"/>
    <mergeCell ref="G42:I42"/>
    <mergeCell ref="B43:F43"/>
    <mergeCell ref="B45:F45"/>
    <mergeCell ref="G45:H45"/>
    <mergeCell ref="B46:F46"/>
    <mergeCell ref="G46:H46"/>
    <mergeCell ref="G15:I15"/>
    <mergeCell ref="G16:I16"/>
    <mergeCell ref="G17:I17"/>
    <mergeCell ref="G18:I18"/>
    <mergeCell ref="G31:I31"/>
    <mergeCell ref="G32:I32"/>
    <mergeCell ref="G33:I33"/>
    <mergeCell ref="G35:I35"/>
    <mergeCell ref="G25:I25"/>
    <mergeCell ref="G26:I26"/>
    <mergeCell ref="G27:I27"/>
    <mergeCell ref="G28:I28"/>
    <mergeCell ref="G29:I29"/>
    <mergeCell ref="G30:I30"/>
    <mergeCell ref="L8:M8"/>
    <mergeCell ref="A9:A10"/>
    <mergeCell ref="B9:F10"/>
    <mergeCell ref="G9:I10"/>
    <mergeCell ref="J9:L9"/>
    <mergeCell ref="M9:M10"/>
    <mergeCell ref="B3:H3"/>
    <mergeCell ref="L3:M3"/>
    <mergeCell ref="L4:M4"/>
    <mergeCell ref="L5:M5"/>
    <mergeCell ref="B6:H6"/>
    <mergeCell ref="L6:M6"/>
    <mergeCell ref="J10:K10"/>
    <mergeCell ref="J69:K69"/>
    <mergeCell ref="J70:K70"/>
    <mergeCell ref="J71:K71"/>
    <mergeCell ref="J72:K72"/>
    <mergeCell ref="J73:K73"/>
    <mergeCell ref="J74:K74"/>
    <mergeCell ref="J45:K45"/>
    <mergeCell ref="J46:K46"/>
    <mergeCell ref="J47:K47"/>
    <mergeCell ref="J48:K48"/>
    <mergeCell ref="J49:K49"/>
    <mergeCell ref="J40:K40"/>
    <mergeCell ref="J41:K41"/>
    <mergeCell ref="J42:K42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B12:F12"/>
    <mergeCell ref="G12:I12"/>
    <mergeCell ref="G11:I11"/>
    <mergeCell ref="J31:K31"/>
    <mergeCell ref="J32:K32"/>
    <mergeCell ref="J33:K33"/>
    <mergeCell ref="J35:K35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G19:I19"/>
    <mergeCell ref="G20:I20"/>
    <mergeCell ref="G21:I21"/>
    <mergeCell ref="G22:I22"/>
    <mergeCell ref="G23:I23"/>
    <mergeCell ref="G24:I24"/>
    <mergeCell ref="G13:I13"/>
    <mergeCell ref="G14:I14"/>
  </mergeCells>
  <printOptions horizontalCentered="1"/>
  <pageMargins left="0.31496062992126" right="0.31496062992126" top="0.35433070866141703" bottom="0.35433070866141703" header="0.31496062992126" footer="0.31496062992126"/>
  <pageSetup paperSize="14" scale="59" orientation="portrait" r:id="rId1"/>
  <rowBreaks count="1" manualBreakCount="1">
    <brk id="85" max="11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1C4D-2F7B-4B81-AB2A-58948EA33049}">
  <sheetPr>
    <tabColor rgb="FFFFC000"/>
    <pageSetUpPr fitToPage="1"/>
  </sheetPr>
  <dimension ref="A1:O648"/>
  <sheetViews>
    <sheetView view="pageBreakPreview" zoomScale="99" zoomScaleNormal="55" zoomScaleSheetLayoutView="99" zoomScalePageLayoutView="25" workbookViewId="0">
      <selection activeCell="N13" sqref="N13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9.2187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554" t="s">
        <v>456</v>
      </c>
      <c r="C4" s="554"/>
      <c r="D4" s="554"/>
      <c r="E4" s="554"/>
      <c r="F4" s="554"/>
      <c r="G4" s="554"/>
      <c r="H4" s="554"/>
      <c r="J4" s="22"/>
      <c r="K4" s="22"/>
      <c r="L4" s="555"/>
      <c r="M4" s="555"/>
    </row>
    <row r="5" spans="1:13" s="16" customFormat="1" ht="16.5" customHeight="1">
      <c r="A5" s="69"/>
      <c r="B5" s="554"/>
      <c r="C5" s="554"/>
      <c r="D5" s="554"/>
      <c r="E5" s="554"/>
      <c r="F5" s="554"/>
      <c r="G5" s="554"/>
      <c r="H5" s="554"/>
      <c r="I5" s="21" t="s">
        <v>5</v>
      </c>
      <c r="J5" s="22"/>
      <c r="K5" s="22"/>
      <c r="L5" s="557" t="s">
        <v>337</v>
      </c>
      <c r="M5" s="557"/>
    </row>
    <row r="6" spans="1:13" s="16" customFormat="1" ht="16.5" customHeight="1">
      <c r="A6" s="22" t="s">
        <v>10</v>
      </c>
      <c r="B6" s="556" t="s">
        <v>428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404"/>
      <c r="M7" s="404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5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84"/>
    </row>
    <row r="11" spans="1:13" s="326" customFormat="1" ht="16.5" customHeight="1">
      <c r="A11" s="396" t="s">
        <v>274</v>
      </c>
      <c r="B11" s="424" t="s">
        <v>103</v>
      </c>
      <c r="C11" s="427"/>
      <c r="D11" s="427"/>
      <c r="E11" s="427"/>
      <c r="F11" s="428"/>
      <c r="G11" s="735"/>
      <c r="H11" s="735"/>
      <c r="I11" s="735"/>
      <c r="J11" s="738"/>
      <c r="K11" s="739"/>
      <c r="L11" s="358"/>
      <c r="M11" s="435"/>
    </row>
    <row r="12" spans="1:13" s="18" customFormat="1" ht="16.5" customHeight="1">
      <c r="A12" s="444" t="s">
        <v>104</v>
      </c>
      <c r="B12" s="795" t="s">
        <v>262</v>
      </c>
      <c r="C12" s="796"/>
      <c r="D12" s="796"/>
      <c r="E12" s="796"/>
      <c r="F12" s="797"/>
      <c r="G12" s="709"/>
      <c r="H12" s="710"/>
      <c r="I12" s="711"/>
      <c r="J12" s="798"/>
      <c r="K12" s="799"/>
      <c r="L12" s="447"/>
      <c r="M12" s="448" t="s">
        <v>106</v>
      </c>
    </row>
    <row r="13" spans="1:13" s="326" customFormat="1" ht="16.5" customHeight="1">
      <c r="A13" s="395" t="s">
        <v>107</v>
      </c>
      <c r="B13" s="429" t="s">
        <v>310</v>
      </c>
      <c r="C13" s="430"/>
      <c r="D13" s="430"/>
      <c r="E13" s="430"/>
      <c r="F13" s="394"/>
      <c r="G13" s="735"/>
      <c r="H13" s="735"/>
      <c r="I13" s="735"/>
      <c r="J13" s="736"/>
      <c r="K13" s="737"/>
      <c r="L13" s="418"/>
      <c r="M13" s="436" t="s">
        <v>263</v>
      </c>
    </row>
    <row r="14" spans="1:13" s="18" customFormat="1" ht="16.2" customHeight="1">
      <c r="A14" s="395" t="s">
        <v>111</v>
      </c>
      <c r="B14" s="744" t="s">
        <v>112</v>
      </c>
      <c r="C14" s="745"/>
      <c r="D14" s="745"/>
      <c r="E14" s="745"/>
      <c r="F14" s="394"/>
      <c r="G14" s="735"/>
      <c r="H14" s="735"/>
      <c r="I14" s="735"/>
      <c r="J14" s="736"/>
      <c r="K14" s="737"/>
      <c r="L14" s="418"/>
      <c r="M14" s="436" t="s">
        <v>263</v>
      </c>
    </row>
    <row r="15" spans="1:13" s="326" customFormat="1" ht="16.5" customHeight="1">
      <c r="A15" s="396" t="s">
        <v>276</v>
      </c>
      <c r="B15" s="792" t="s">
        <v>352</v>
      </c>
      <c r="C15" s="793"/>
      <c r="D15" s="793"/>
      <c r="E15" s="793"/>
      <c r="F15" s="794"/>
      <c r="G15" s="735"/>
      <c r="H15" s="735"/>
      <c r="I15" s="735"/>
      <c r="J15" s="738"/>
      <c r="K15" s="739"/>
      <c r="L15" s="357"/>
      <c r="M15" s="437"/>
    </row>
    <row r="16" spans="1:13" s="18" customFormat="1" ht="16.5" customHeight="1">
      <c r="A16" s="431" t="s">
        <v>457</v>
      </c>
      <c r="B16" s="432" t="s">
        <v>470</v>
      </c>
      <c r="C16" s="433"/>
      <c r="D16" s="434"/>
      <c r="E16" s="434"/>
      <c r="F16" s="433"/>
      <c r="G16" s="735"/>
      <c r="H16" s="735"/>
      <c r="I16" s="735"/>
      <c r="J16" s="747"/>
      <c r="K16" s="748"/>
      <c r="L16" s="418"/>
      <c r="M16" s="438" t="s">
        <v>331</v>
      </c>
    </row>
    <row r="17" spans="1:13" s="326" customFormat="1" ht="16.5" customHeight="1">
      <c r="A17" s="431">
        <v>627</v>
      </c>
      <c r="B17" s="432" t="s">
        <v>471</v>
      </c>
      <c r="C17" s="433"/>
      <c r="D17" s="434"/>
      <c r="E17" s="434"/>
      <c r="F17" s="433"/>
      <c r="G17" s="735"/>
      <c r="H17" s="735"/>
      <c r="I17" s="735"/>
      <c r="J17" s="747"/>
      <c r="K17" s="748"/>
      <c r="L17" s="418"/>
      <c r="M17" s="438" t="s">
        <v>263</v>
      </c>
    </row>
    <row r="18" spans="1:13" s="326" customFormat="1" ht="16.5" customHeight="1">
      <c r="A18" s="395" t="s">
        <v>458</v>
      </c>
      <c r="B18" s="432" t="s">
        <v>472</v>
      </c>
      <c r="C18" s="394"/>
      <c r="D18" s="434"/>
      <c r="E18" s="434"/>
      <c r="F18" s="433"/>
      <c r="G18" s="735"/>
      <c r="H18" s="735"/>
      <c r="I18" s="735"/>
      <c r="J18" s="747"/>
      <c r="K18" s="748"/>
      <c r="L18" s="418"/>
      <c r="M18" s="436" t="s">
        <v>331</v>
      </c>
    </row>
    <row r="19" spans="1:13" s="18" customFormat="1" ht="16.5" customHeight="1">
      <c r="A19" s="395" t="s">
        <v>459</v>
      </c>
      <c r="B19" s="432" t="s">
        <v>472</v>
      </c>
      <c r="C19" s="394"/>
      <c r="D19" s="434"/>
      <c r="E19" s="434"/>
      <c r="F19" s="433"/>
      <c r="G19" s="735"/>
      <c r="H19" s="735"/>
      <c r="I19" s="735"/>
      <c r="J19" s="747"/>
      <c r="K19" s="748"/>
      <c r="L19" s="418"/>
      <c r="M19" s="436" t="s">
        <v>106</v>
      </c>
    </row>
    <row r="20" spans="1:13" s="326" customFormat="1" ht="16.5" customHeight="1">
      <c r="A20" s="395" t="s">
        <v>460</v>
      </c>
      <c r="B20" s="432" t="s">
        <v>473</v>
      </c>
      <c r="C20" s="394"/>
      <c r="D20" s="434"/>
      <c r="E20" s="434"/>
      <c r="F20" s="433"/>
      <c r="G20" s="735"/>
      <c r="H20" s="735"/>
      <c r="I20" s="735"/>
      <c r="J20" s="747"/>
      <c r="K20" s="748"/>
      <c r="L20" s="418"/>
      <c r="M20" s="436" t="s">
        <v>263</v>
      </c>
    </row>
    <row r="21" spans="1:13" s="326" customFormat="1" ht="16.5" customHeight="1">
      <c r="A21" s="395">
        <v>803</v>
      </c>
      <c r="B21" s="432" t="s">
        <v>139</v>
      </c>
      <c r="C21" s="394"/>
      <c r="D21" s="434"/>
      <c r="E21" s="434"/>
      <c r="F21" s="433"/>
      <c r="G21" s="420"/>
      <c r="H21" s="420"/>
      <c r="I21" s="420"/>
      <c r="J21" s="418"/>
      <c r="K21" s="419"/>
      <c r="L21" s="418"/>
      <c r="M21" s="436" t="s">
        <v>265</v>
      </c>
    </row>
    <row r="22" spans="1:13" s="18" customFormat="1" ht="16.5" customHeight="1">
      <c r="A22" s="395" t="s">
        <v>311</v>
      </c>
      <c r="B22" s="775" t="s">
        <v>118</v>
      </c>
      <c r="C22" s="776"/>
      <c r="D22" s="776"/>
      <c r="E22" s="776"/>
      <c r="F22" s="777"/>
      <c r="G22" s="735"/>
      <c r="H22" s="735"/>
      <c r="I22" s="735"/>
      <c r="J22" s="747"/>
      <c r="K22" s="748"/>
      <c r="L22" s="418"/>
      <c r="M22" s="436" t="s">
        <v>265</v>
      </c>
    </row>
    <row r="23" spans="1:13" s="326" customFormat="1" ht="16.5" customHeight="1">
      <c r="A23" s="395" t="s">
        <v>312</v>
      </c>
      <c r="B23" s="775" t="s">
        <v>439</v>
      </c>
      <c r="C23" s="776"/>
      <c r="D23" s="776"/>
      <c r="E23" s="776"/>
      <c r="F23" s="777"/>
      <c r="G23" s="735"/>
      <c r="H23" s="735"/>
      <c r="I23" s="735"/>
      <c r="J23" s="747"/>
      <c r="K23" s="748"/>
      <c r="L23" s="333"/>
      <c r="M23" s="436" t="s">
        <v>265</v>
      </c>
    </row>
    <row r="24" spans="1:13" s="18" customFormat="1" ht="16.5" customHeight="1">
      <c r="A24" s="395" t="s">
        <v>405</v>
      </c>
      <c r="B24" s="432" t="s">
        <v>474</v>
      </c>
      <c r="C24" s="394"/>
      <c r="D24" s="434"/>
      <c r="E24" s="434"/>
      <c r="F24" s="433"/>
      <c r="G24" s="735"/>
      <c r="H24" s="735"/>
      <c r="I24" s="735"/>
      <c r="J24" s="747"/>
      <c r="K24" s="748"/>
      <c r="L24" s="333"/>
      <c r="M24" s="436" t="s">
        <v>265</v>
      </c>
    </row>
    <row r="25" spans="1:13" s="326" customFormat="1" ht="16.5" customHeight="1">
      <c r="A25" s="395" t="s">
        <v>406</v>
      </c>
      <c r="B25" s="432" t="s">
        <v>475</v>
      </c>
      <c r="C25" s="394"/>
      <c r="D25" s="434"/>
      <c r="E25" s="434"/>
      <c r="F25" s="433"/>
      <c r="G25" s="735"/>
      <c r="H25" s="735"/>
      <c r="I25" s="735"/>
      <c r="J25" s="747"/>
      <c r="K25" s="748"/>
      <c r="L25" s="333"/>
      <c r="M25" s="435" t="s">
        <v>265</v>
      </c>
    </row>
    <row r="26" spans="1:13" s="18" customFormat="1" ht="16.5" customHeight="1">
      <c r="A26" s="395" t="s">
        <v>407</v>
      </c>
      <c r="B26" s="749" t="s">
        <v>476</v>
      </c>
      <c r="C26" s="750"/>
      <c r="D26" s="750"/>
      <c r="E26" s="750"/>
      <c r="F26" s="751"/>
      <c r="G26" s="735"/>
      <c r="H26" s="735"/>
      <c r="I26" s="735"/>
      <c r="J26" s="747"/>
      <c r="K26" s="748"/>
      <c r="L26" s="333"/>
      <c r="M26" s="435" t="s">
        <v>265</v>
      </c>
    </row>
    <row r="27" spans="1:13" s="326" customFormat="1" ht="18" customHeight="1">
      <c r="A27" s="395" t="s">
        <v>461</v>
      </c>
      <c r="B27" s="749" t="s">
        <v>477</v>
      </c>
      <c r="C27" s="750"/>
      <c r="D27" s="750"/>
      <c r="E27" s="750"/>
      <c r="F27" s="751"/>
      <c r="G27" s="735"/>
      <c r="H27" s="735"/>
      <c r="I27" s="735"/>
      <c r="J27" s="747"/>
      <c r="K27" s="748"/>
      <c r="L27" s="333"/>
      <c r="M27" s="435" t="s">
        <v>265</v>
      </c>
    </row>
    <row r="28" spans="1:13" s="18" customFormat="1" ht="16.5" customHeight="1">
      <c r="A28" s="395" t="s">
        <v>462</v>
      </c>
      <c r="B28" s="432" t="s">
        <v>478</v>
      </c>
      <c r="C28" s="394"/>
      <c r="D28" s="434"/>
      <c r="E28" s="434"/>
      <c r="F28" s="433"/>
      <c r="G28" s="735"/>
      <c r="H28" s="735"/>
      <c r="I28" s="735"/>
      <c r="J28" s="747"/>
      <c r="K28" s="748"/>
      <c r="L28" s="333"/>
      <c r="M28" s="435" t="s">
        <v>265</v>
      </c>
    </row>
    <row r="29" spans="1:13" s="326" customFormat="1" ht="16.5" customHeight="1">
      <c r="A29" s="444" t="s">
        <v>463</v>
      </c>
      <c r="B29" s="775" t="s">
        <v>479</v>
      </c>
      <c r="C29" s="776"/>
      <c r="D29" s="776"/>
      <c r="E29" s="776"/>
      <c r="F29" s="777"/>
      <c r="G29" s="709"/>
      <c r="H29" s="710"/>
      <c r="I29" s="711"/>
      <c r="J29" s="715"/>
      <c r="K29" s="716"/>
      <c r="L29" s="447"/>
      <c r="M29" s="448" t="s">
        <v>265</v>
      </c>
    </row>
    <row r="30" spans="1:13" s="326" customFormat="1" ht="16.5" customHeight="1">
      <c r="A30" s="444" t="s">
        <v>464</v>
      </c>
      <c r="B30" s="775" t="s">
        <v>480</v>
      </c>
      <c r="C30" s="776"/>
      <c r="D30" s="776"/>
      <c r="E30" s="776"/>
      <c r="F30" s="777"/>
      <c r="G30" s="709"/>
      <c r="H30" s="710"/>
      <c r="I30" s="711"/>
      <c r="J30" s="715"/>
      <c r="K30" s="716"/>
      <c r="L30" s="447"/>
      <c r="M30" s="448" t="s">
        <v>265</v>
      </c>
    </row>
    <row r="31" spans="1:13" s="326" customFormat="1" ht="16.5" customHeight="1">
      <c r="A31" s="395" t="s">
        <v>465</v>
      </c>
      <c r="B31" s="775" t="s">
        <v>481</v>
      </c>
      <c r="C31" s="776"/>
      <c r="D31" s="776"/>
      <c r="E31" s="776"/>
      <c r="F31" s="777"/>
      <c r="G31" s="752"/>
      <c r="H31" s="753"/>
      <c r="I31" s="754"/>
      <c r="J31" s="747"/>
      <c r="K31" s="748"/>
      <c r="L31" s="333"/>
      <c r="M31" s="435" t="s">
        <v>265</v>
      </c>
    </row>
    <row r="32" spans="1:13" s="326" customFormat="1" ht="16.5" customHeight="1">
      <c r="A32" s="395" t="s">
        <v>466</v>
      </c>
      <c r="B32" s="432" t="s">
        <v>482</v>
      </c>
      <c r="C32" s="394"/>
      <c r="D32" s="434"/>
      <c r="E32" s="434"/>
      <c r="F32" s="433"/>
      <c r="G32" s="421"/>
      <c r="H32" s="422"/>
      <c r="I32" s="423"/>
      <c r="J32" s="418"/>
      <c r="K32" s="419"/>
      <c r="L32" s="333"/>
      <c r="M32" s="435" t="s">
        <v>265</v>
      </c>
    </row>
    <row r="33" spans="1:13" s="326" customFormat="1" ht="16.5" customHeight="1">
      <c r="A33" s="444" t="s">
        <v>467</v>
      </c>
      <c r="B33" s="432" t="s">
        <v>483</v>
      </c>
      <c r="C33" s="394"/>
      <c r="D33" s="434"/>
      <c r="E33" s="434"/>
      <c r="F33" s="433"/>
      <c r="G33" s="709"/>
      <c r="H33" s="710"/>
      <c r="I33" s="711"/>
      <c r="J33" s="446"/>
      <c r="K33" s="419"/>
      <c r="L33" s="447"/>
      <c r="M33" s="448" t="s">
        <v>265</v>
      </c>
    </row>
    <row r="34" spans="1:13" s="326" customFormat="1" ht="16.5" customHeight="1">
      <c r="A34" s="395" t="s">
        <v>468</v>
      </c>
      <c r="B34" s="432" t="s">
        <v>484</v>
      </c>
      <c r="C34" s="394"/>
      <c r="D34" s="434"/>
      <c r="E34" s="434"/>
      <c r="F34" s="433"/>
      <c r="G34" s="421"/>
      <c r="H34" s="422"/>
      <c r="I34" s="423"/>
      <c r="J34" s="418"/>
      <c r="K34" s="419"/>
      <c r="L34" s="333"/>
      <c r="M34" s="435" t="s">
        <v>265</v>
      </c>
    </row>
    <row r="35" spans="1:13" s="326" customFormat="1" ht="16.5" customHeight="1">
      <c r="A35" s="395">
        <v>903</v>
      </c>
      <c r="B35" s="432" t="s">
        <v>319</v>
      </c>
      <c r="C35" s="394"/>
      <c r="D35" s="434"/>
      <c r="E35" s="434"/>
      <c r="F35" s="433"/>
      <c r="G35" s="421"/>
      <c r="H35" s="422"/>
      <c r="I35" s="423"/>
      <c r="J35" s="418"/>
      <c r="K35" s="419"/>
      <c r="L35" s="333"/>
      <c r="M35" s="435" t="s">
        <v>331</v>
      </c>
    </row>
    <row r="36" spans="1:13" s="326" customFormat="1" ht="16.5" customHeight="1">
      <c r="A36" s="395">
        <v>1001</v>
      </c>
      <c r="B36" s="432" t="s">
        <v>485</v>
      </c>
      <c r="C36" s="394"/>
      <c r="D36" s="434"/>
      <c r="E36" s="434"/>
      <c r="F36" s="433"/>
      <c r="G36" s="421"/>
      <c r="H36" s="422"/>
      <c r="I36" s="423"/>
      <c r="J36" s="418"/>
      <c r="K36" s="419"/>
      <c r="L36" s="333"/>
      <c r="M36" s="435" t="s">
        <v>498</v>
      </c>
    </row>
    <row r="37" spans="1:13" s="326" customFormat="1" ht="16.5" customHeight="1">
      <c r="A37" s="395">
        <v>1003</v>
      </c>
      <c r="B37" s="432" t="s">
        <v>486</v>
      </c>
      <c r="C37" s="394"/>
      <c r="D37" s="434"/>
      <c r="E37" s="434"/>
      <c r="F37" s="433"/>
      <c r="G37" s="421"/>
      <c r="H37" s="422"/>
      <c r="I37" s="423"/>
      <c r="J37" s="418"/>
      <c r="K37" s="419"/>
      <c r="L37" s="333"/>
      <c r="M37" s="435" t="s">
        <v>331</v>
      </c>
    </row>
    <row r="38" spans="1:13" s="326" customFormat="1" ht="16.5" customHeight="1">
      <c r="A38" s="395">
        <v>1004</v>
      </c>
      <c r="B38" s="432" t="s">
        <v>487</v>
      </c>
      <c r="C38" s="394"/>
      <c r="D38" s="434"/>
      <c r="E38" s="434"/>
      <c r="F38" s="433"/>
      <c r="G38" s="752"/>
      <c r="H38" s="753"/>
      <c r="I38" s="754"/>
      <c r="J38" s="747"/>
      <c r="K38" s="748"/>
      <c r="L38" s="333"/>
      <c r="M38" s="435" t="s">
        <v>331</v>
      </c>
    </row>
    <row r="39" spans="1:13" s="326" customFormat="1" ht="16.5" customHeight="1">
      <c r="A39" s="332">
        <v>1005</v>
      </c>
      <c r="B39" s="775" t="s">
        <v>488</v>
      </c>
      <c r="C39" s="776"/>
      <c r="D39" s="776"/>
      <c r="E39" s="776"/>
      <c r="F39" s="777"/>
      <c r="G39" s="421"/>
      <c r="H39" s="422"/>
      <c r="I39" s="423"/>
      <c r="J39" s="418"/>
      <c r="K39" s="419"/>
      <c r="L39" s="333"/>
      <c r="M39" s="435" t="s">
        <v>331</v>
      </c>
    </row>
    <row r="40" spans="1:13" s="326" customFormat="1" ht="16.5" customHeight="1">
      <c r="A40" s="395">
        <v>1007</v>
      </c>
      <c r="B40" s="432" t="s">
        <v>364</v>
      </c>
      <c r="C40" s="394"/>
      <c r="D40" s="434"/>
      <c r="E40" s="434"/>
      <c r="F40" s="433"/>
      <c r="G40" s="752"/>
      <c r="H40" s="753"/>
      <c r="I40" s="754"/>
      <c r="J40" s="747"/>
      <c r="K40" s="748"/>
      <c r="L40" s="333"/>
      <c r="M40" s="435" t="s">
        <v>263</v>
      </c>
    </row>
    <row r="41" spans="1:13" s="326" customFormat="1" ht="16.5" customHeight="1">
      <c r="A41" s="442">
        <v>1008</v>
      </c>
      <c r="B41" s="432" t="s">
        <v>421</v>
      </c>
      <c r="C41" s="394"/>
      <c r="D41" s="434"/>
      <c r="E41" s="434"/>
      <c r="F41" s="433"/>
      <c r="G41" s="421"/>
      <c r="H41" s="422"/>
      <c r="I41" s="423"/>
      <c r="J41" s="418"/>
      <c r="K41" s="419"/>
      <c r="L41" s="333"/>
      <c r="M41" s="435" t="s">
        <v>331</v>
      </c>
    </row>
    <row r="42" spans="1:13" s="326" customFormat="1" ht="16.5" customHeight="1">
      <c r="A42" s="449" t="s">
        <v>469</v>
      </c>
      <c r="B42" s="775" t="s">
        <v>489</v>
      </c>
      <c r="C42" s="776"/>
      <c r="D42" s="776"/>
      <c r="E42" s="776"/>
      <c r="F42" s="777"/>
      <c r="G42" s="421"/>
      <c r="H42" s="422"/>
      <c r="I42" s="423"/>
      <c r="J42" s="418"/>
      <c r="K42" s="419"/>
      <c r="L42" s="333"/>
      <c r="M42" s="435" t="s">
        <v>263</v>
      </c>
    </row>
    <row r="43" spans="1:13" s="326" customFormat="1" ht="16.5" customHeight="1">
      <c r="A43" s="449">
        <v>1014</v>
      </c>
      <c r="B43" s="432" t="s">
        <v>490</v>
      </c>
      <c r="C43" s="394"/>
      <c r="D43" s="434"/>
      <c r="E43" s="434"/>
      <c r="F43" s="433"/>
      <c r="G43" s="421"/>
      <c r="H43" s="422"/>
      <c r="I43" s="423"/>
      <c r="J43" s="418"/>
      <c r="K43" s="419"/>
      <c r="L43" s="333"/>
      <c r="M43" s="435" t="s">
        <v>331</v>
      </c>
    </row>
    <row r="44" spans="1:13" s="326" customFormat="1" ht="16.5" customHeight="1">
      <c r="A44" s="449">
        <v>1016</v>
      </c>
      <c r="B44" s="775" t="s">
        <v>360</v>
      </c>
      <c r="C44" s="776"/>
      <c r="D44" s="776"/>
      <c r="E44" s="776"/>
      <c r="F44" s="777"/>
      <c r="G44" s="421"/>
      <c r="H44" s="422"/>
      <c r="I44" s="423"/>
      <c r="J44" s="418"/>
      <c r="K44" s="419"/>
      <c r="L44" s="333"/>
      <c r="M44" s="435" t="s">
        <v>331</v>
      </c>
    </row>
    <row r="45" spans="1:13" s="326" customFormat="1" ht="16.5" customHeight="1">
      <c r="A45" s="449">
        <v>1018</v>
      </c>
      <c r="B45" s="432" t="s">
        <v>491</v>
      </c>
      <c r="C45" s="394"/>
      <c r="D45" s="434"/>
      <c r="E45" s="434"/>
      <c r="F45" s="433"/>
      <c r="G45" s="421"/>
      <c r="H45" s="422"/>
      <c r="I45" s="423"/>
      <c r="J45" s="418"/>
      <c r="K45" s="419"/>
      <c r="L45" s="333"/>
      <c r="M45" s="435" t="s">
        <v>331</v>
      </c>
    </row>
    <row r="46" spans="1:13" s="326" customFormat="1" ht="16.5" customHeight="1">
      <c r="A46" s="449">
        <v>1027</v>
      </c>
      <c r="B46" s="432" t="s">
        <v>359</v>
      </c>
      <c r="C46" s="394"/>
      <c r="D46" s="434"/>
      <c r="E46" s="434"/>
      <c r="F46" s="433"/>
      <c r="G46" s="421"/>
      <c r="H46" s="422"/>
      <c r="I46" s="423"/>
      <c r="J46" s="418"/>
      <c r="K46" s="419"/>
      <c r="L46" s="333"/>
      <c r="M46" s="435" t="s">
        <v>331</v>
      </c>
    </row>
    <row r="47" spans="1:13" s="326" customFormat="1" ht="16.5" customHeight="1">
      <c r="A47" s="449">
        <v>1032</v>
      </c>
      <c r="B47" s="432" t="s">
        <v>419</v>
      </c>
      <c r="C47" s="394"/>
      <c r="D47" s="434"/>
      <c r="E47" s="434"/>
      <c r="F47" s="433"/>
      <c r="G47" s="421"/>
      <c r="H47" s="422"/>
      <c r="I47" s="423"/>
      <c r="J47" s="418"/>
      <c r="K47" s="419"/>
      <c r="L47" s="333"/>
      <c r="M47" s="435" t="s">
        <v>331</v>
      </c>
    </row>
    <row r="48" spans="1:13" s="326" customFormat="1" ht="16.5" customHeight="1">
      <c r="A48" s="449">
        <v>1046</v>
      </c>
      <c r="B48" s="775" t="s">
        <v>320</v>
      </c>
      <c r="C48" s="776"/>
      <c r="D48" s="776"/>
      <c r="E48" s="776"/>
      <c r="F48" s="777"/>
      <c r="G48" s="421"/>
      <c r="H48" s="422"/>
      <c r="I48" s="423"/>
      <c r="J48" s="418"/>
      <c r="K48" s="419"/>
      <c r="L48" s="333"/>
      <c r="M48" s="435" t="s">
        <v>331</v>
      </c>
    </row>
    <row r="49" spans="1:13" s="326" customFormat="1" ht="16.5" customHeight="1">
      <c r="A49" s="449">
        <v>1047</v>
      </c>
      <c r="B49" s="775" t="s">
        <v>492</v>
      </c>
      <c r="C49" s="776"/>
      <c r="D49" s="776"/>
      <c r="E49" s="776"/>
      <c r="F49" s="777"/>
      <c r="G49" s="421"/>
      <c r="H49" s="422"/>
      <c r="I49" s="423"/>
      <c r="J49" s="418"/>
      <c r="K49" s="419"/>
      <c r="L49" s="333"/>
      <c r="M49" s="435" t="s">
        <v>148</v>
      </c>
    </row>
    <row r="50" spans="1:13" s="326" customFormat="1" ht="16.5" customHeight="1">
      <c r="A50" s="449">
        <v>1100</v>
      </c>
      <c r="B50" s="432" t="s">
        <v>325</v>
      </c>
      <c r="C50" s="394"/>
      <c r="D50" s="434"/>
      <c r="E50" s="434"/>
      <c r="F50" s="433"/>
      <c r="G50" s="421"/>
      <c r="H50" s="422"/>
      <c r="I50" s="423"/>
      <c r="J50" s="418"/>
      <c r="K50" s="419"/>
      <c r="L50" s="333"/>
      <c r="M50" s="435" t="s">
        <v>263</v>
      </c>
    </row>
    <row r="51" spans="1:13" s="326" customFormat="1" ht="16.5" customHeight="1">
      <c r="A51" s="449">
        <v>1101</v>
      </c>
      <c r="B51" s="432" t="s">
        <v>326</v>
      </c>
      <c r="C51" s="394"/>
      <c r="D51" s="434"/>
      <c r="E51" s="434"/>
      <c r="F51" s="433"/>
      <c r="G51" s="421"/>
      <c r="H51" s="422"/>
      <c r="I51" s="423"/>
      <c r="J51" s="418"/>
      <c r="K51" s="419"/>
      <c r="L51" s="333"/>
      <c r="M51" s="435" t="s">
        <v>263</v>
      </c>
    </row>
    <row r="52" spans="1:13" s="326" customFormat="1" ht="16.5" customHeight="1">
      <c r="A52" s="790">
        <v>1102</v>
      </c>
      <c r="B52" s="432" t="s">
        <v>493</v>
      </c>
      <c r="C52" s="394"/>
      <c r="D52" s="434"/>
      <c r="E52" s="434"/>
      <c r="F52" s="433"/>
      <c r="G52" s="709"/>
      <c r="H52" s="710"/>
      <c r="I52" s="711"/>
      <c r="J52" s="715"/>
      <c r="K52" s="419"/>
      <c r="L52" s="719"/>
      <c r="M52" s="788" t="s">
        <v>263</v>
      </c>
    </row>
    <row r="53" spans="1:13" s="326" customFormat="1" ht="16.5" customHeight="1">
      <c r="A53" s="791"/>
      <c r="B53" s="432" t="s">
        <v>494</v>
      </c>
      <c r="C53" s="394"/>
      <c r="D53" s="434"/>
      <c r="E53" s="434"/>
      <c r="F53" s="433"/>
      <c r="G53" s="712"/>
      <c r="H53" s="713"/>
      <c r="I53" s="714"/>
      <c r="J53" s="717"/>
      <c r="K53" s="419"/>
      <c r="L53" s="720"/>
      <c r="M53" s="789"/>
    </row>
    <row r="54" spans="1:13" s="326" customFormat="1" ht="16.5" customHeight="1">
      <c r="A54" s="449">
        <v>1103</v>
      </c>
      <c r="B54" s="432" t="s">
        <v>328</v>
      </c>
      <c r="C54" s="394"/>
      <c r="D54" s="434"/>
      <c r="E54" s="434"/>
      <c r="F54" s="433"/>
      <c r="G54" s="421"/>
      <c r="H54" s="422"/>
      <c r="I54" s="423"/>
      <c r="J54" s="418"/>
      <c r="K54" s="419"/>
      <c r="L54" s="333"/>
      <c r="M54" s="435" t="s">
        <v>263</v>
      </c>
    </row>
    <row r="55" spans="1:13" s="326" customFormat="1" ht="16.5" customHeight="1">
      <c r="A55" s="449">
        <v>1111</v>
      </c>
      <c r="B55" s="432" t="s">
        <v>495</v>
      </c>
      <c r="C55" s="394"/>
      <c r="D55" s="434"/>
      <c r="E55" s="434"/>
      <c r="F55" s="433"/>
      <c r="G55" s="421"/>
      <c r="H55" s="422"/>
      <c r="I55" s="423"/>
      <c r="J55" s="418"/>
      <c r="K55" s="419"/>
      <c r="L55" s="333"/>
      <c r="M55" s="435" t="s">
        <v>265</v>
      </c>
    </row>
    <row r="56" spans="1:13" s="326" customFormat="1" ht="16.5" customHeight="1">
      <c r="A56" s="449">
        <v>1724</v>
      </c>
      <c r="B56" s="432" t="s">
        <v>496</v>
      </c>
      <c r="C56" s="394"/>
      <c r="D56" s="434"/>
      <c r="E56" s="434"/>
      <c r="F56" s="433"/>
      <c r="G56" s="421"/>
      <c r="H56" s="422"/>
      <c r="I56" s="423"/>
      <c r="J56" s="418"/>
      <c r="K56" s="419"/>
      <c r="L56" s="333"/>
      <c r="M56" s="435" t="s">
        <v>369</v>
      </c>
    </row>
    <row r="57" spans="1:13" s="326" customFormat="1" ht="16.5" customHeight="1">
      <c r="A57" s="449">
        <v>1725</v>
      </c>
      <c r="B57" s="432" t="s">
        <v>497</v>
      </c>
      <c r="C57" s="394"/>
      <c r="D57" s="434"/>
      <c r="E57" s="434"/>
      <c r="F57" s="433"/>
      <c r="G57" s="421"/>
      <c r="H57" s="422"/>
      <c r="I57" s="423"/>
      <c r="J57" s="418"/>
      <c r="K57" s="419"/>
      <c r="L57" s="333"/>
      <c r="M57" s="435" t="s">
        <v>369</v>
      </c>
    </row>
    <row r="58" spans="1:13" s="326" customFormat="1" ht="16.5" customHeight="1">
      <c r="A58" s="442"/>
      <c r="B58" s="778"/>
      <c r="C58" s="779"/>
      <c r="D58" s="779"/>
      <c r="E58" s="779"/>
      <c r="F58" s="780"/>
      <c r="G58" s="421"/>
      <c r="H58" s="422"/>
      <c r="I58" s="423"/>
      <c r="J58" s="418"/>
      <c r="K58" s="419"/>
      <c r="L58" s="333"/>
      <c r="M58" s="435"/>
    </row>
    <row r="59" spans="1:13" s="18" customFormat="1" ht="16.5" customHeight="1" thickBot="1">
      <c r="A59" s="346"/>
      <c r="B59" s="800"/>
      <c r="C59" s="801"/>
      <c r="D59" s="801"/>
      <c r="E59" s="801"/>
      <c r="F59" s="802"/>
      <c r="G59" s="757"/>
      <c r="H59" s="757"/>
      <c r="I59" s="757"/>
      <c r="J59" s="758"/>
      <c r="K59" s="759"/>
      <c r="L59" s="350"/>
      <c r="M59" s="399"/>
    </row>
    <row r="60" spans="1:13" s="18" customFormat="1" ht="16.5" customHeight="1">
      <c r="A60" s="407"/>
      <c r="B60" s="566"/>
      <c r="C60" s="566"/>
      <c r="D60" s="566"/>
      <c r="E60" s="566"/>
      <c r="F60" s="566"/>
      <c r="G60" s="407"/>
      <c r="H60" s="41"/>
      <c r="I60" s="41"/>
      <c r="J60" s="42"/>
      <c r="K60" s="42"/>
      <c r="L60" s="43"/>
      <c r="M60" s="3"/>
    </row>
    <row r="61" spans="1:13" s="18" customFormat="1" ht="16.5" customHeight="1">
      <c r="A61" s="26"/>
      <c r="B61" s="409"/>
      <c r="C61" s="409"/>
      <c r="D61" s="409"/>
      <c r="E61" s="409"/>
      <c r="F61" s="17"/>
      <c r="G61" s="17"/>
      <c r="H61" s="17"/>
      <c r="I61" s="17"/>
      <c r="J61" s="17"/>
      <c r="K61" s="17"/>
      <c r="L61" s="3"/>
      <c r="M61" s="3"/>
    </row>
    <row r="62" spans="1:13" s="25" customFormat="1" ht="16.5" customHeight="1">
      <c r="A62" s="19" t="s">
        <v>13</v>
      </c>
      <c r="B62" s="567" t="s">
        <v>14</v>
      </c>
      <c r="C62" s="567"/>
      <c r="D62" s="567"/>
      <c r="E62" s="567"/>
      <c r="F62" s="567"/>
      <c r="G62" s="568" t="s">
        <v>24</v>
      </c>
      <c r="H62" s="568"/>
      <c r="I62" s="408" t="s">
        <v>17</v>
      </c>
      <c r="J62" s="733" t="s">
        <v>25</v>
      </c>
      <c r="K62" s="734"/>
      <c r="L62" s="403" t="s">
        <v>26</v>
      </c>
      <c r="M62" s="403" t="s">
        <v>27</v>
      </c>
    </row>
    <row r="63" spans="1:13" s="18" customFormat="1" ht="16.5" customHeight="1">
      <c r="A63" s="317"/>
      <c r="B63" s="563"/>
      <c r="C63" s="563"/>
      <c r="D63" s="563"/>
      <c r="E63" s="563"/>
      <c r="F63" s="563"/>
      <c r="G63" s="564"/>
      <c r="H63" s="564"/>
      <c r="I63" s="406"/>
      <c r="J63" s="755"/>
      <c r="K63" s="756"/>
      <c r="L63" s="413"/>
      <c r="M63" s="413"/>
    </row>
    <row r="64" spans="1:13" s="52" customFormat="1" ht="16.5" customHeight="1">
      <c r="A64" s="405"/>
      <c r="B64" s="563"/>
      <c r="C64" s="563"/>
      <c r="D64" s="563"/>
      <c r="E64" s="563"/>
      <c r="F64" s="563"/>
      <c r="G64" s="564"/>
      <c r="H64" s="564"/>
      <c r="I64" s="406"/>
      <c r="J64" s="755"/>
      <c r="K64" s="756"/>
      <c r="L64" s="413"/>
      <c r="M64" s="413"/>
    </row>
    <row r="65" spans="1:13" s="52" customFormat="1" ht="16.5" customHeight="1">
      <c r="A65" s="405"/>
      <c r="B65" s="563"/>
      <c r="C65" s="563"/>
      <c r="D65" s="563"/>
      <c r="E65" s="563"/>
      <c r="F65" s="563"/>
      <c r="G65" s="564"/>
      <c r="H65" s="564"/>
      <c r="I65" s="406"/>
      <c r="J65" s="755"/>
      <c r="K65" s="756"/>
      <c r="L65" s="413"/>
      <c r="M65" s="413"/>
    </row>
    <row r="66" spans="1:13" s="52" customFormat="1" ht="16.5" customHeight="1">
      <c r="A66" s="405"/>
      <c r="B66" s="563"/>
      <c r="C66" s="563"/>
      <c r="D66" s="563"/>
      <c r="E66" s="563"/>
      <c r="F66" s="563"/>
      <c r="G66" s="564"/>
      <c r="H66" s="564"/>
      <c r="I66" s="406"/>
      <c r="J66" s="755"/>
      <c r="K66" s="756"/>
      <c r="L66" s="413"/>
      <c r="M66" s="413"/>
    </row>
    <row r="67" spans="1:13" s="52" customFormat="1" ht="16.5" customHeight="1">
      <c r="A67" s="32"/>
      <c r="B67" s="565"/>
      <c r="C67" s="565"/>
      <c r="D67" s="565"/>
      <c r="E67" s="565"/>
      <c r="F67" s="565"/>
      <c r="G67" s="565"/>
      <c r="H67" s="565"/>
      <c r="I67" s="565"/>
      <c r="J67" s="17"/>
      <c r="K67" s="17"/>
      <c r="L67" s="3"/>
      <c r="M67" s="3"/>
    </row>
    <row r="68" spans="1:13" s="51" customFormat="1" ht="16.5" customHeight="1">
      <c r="A68" s="34" t="s">
        <v>28</v>
      </c>
      <c r="B68" s="34"/>
      <c r="C68" s="34"/>
      <c r="D68" s="34"/>
      <c r="E68" s="34"/>
      <c r="F68" s="17"/>
      <c r="G68" s="38"/>
      <c r="H68" s="36" t="s">
        <v>29</v>
      </c>
      <c r="I68" s="34"/>
      <c r="J68" s="34"/>
      <c r="K68" s="34"/>
      <c r="L68" s="34"/>
      <c r="M68" s="34"/>
    </row>
    <row r="69" spans="1:13" s="51" customFormat="1" ht="16.5" customHeight="1">
      <c r="A69" s="569"/>
      <c r="B69" s="569"/>
      <c r="C69" s="569"/>
      <c r="D69" s="569"/>
      <c r="E69" s="569"/>
      <c r="F69" s="569"/>
      <c r="G69" s="410"/>
      <c r="H69" s="569"/>
      <c r="I69" s="569"/>
      <c r="J69" s="569"/>
      <c r="K69" s="569"/>
      <c r="L69" s="569"/>
      <c r="M69" s="569"/>
    </row>
    <row r="70" spans="1:13" s="51" customFormat="1" ht="16.5" customHeight="1">
      <c r="A70" s="571"/>
      <c r="B70" s="571"/>
      <c r="C70" s="571"/>
      <c r="D70" s="571"/>
      <c r="E70" s="571"/>
      <c r="F70" s="571"/>
      <c r="G70" s="410"/>
      <c r="H70" s="571"/>
      <c r="I70" s="571"/>
      <c r="J70" s="571"/>
      <c r="K70" s="571"/>
      <c r="L70" s="571"/>
      <c r="M70" s="571"/>
    </row>
    <row r="71" spans="1:13" s="51" customFormat="1" ht="16.5" customHeight="1">
      <c r="A71" s="571"/>
      <c r="B71" s="571"/>
      <c r="C71" s="571"/>
      <c r="D71" s="571"/>
      <c r="E71" s="571"/>
      <c r="F71" s="571"/>
      <c r="G71" s="57"/>
      <c r="H71" s="569"/>
      <c r="I71" s="569"/>
      <c r="J71" s="569"/>
      <c r="K71" s="569"/>
      <c r="L71" s="569"/>
      <c r="M71" s="569"/>
    </row>
    <row r="72" spans="1:13" s="51" customFormat="1" ht="16.5" customHeight="1">
      <c r="A72" s="569"/>
      <c r="B72" s="569"/>
      <c r="C72" s="569"/>
      <c r="D72" s="569"/>
      <c r="E72" s="569"/>
      <c r="F72" s="569"/>
      <c r="G72" s="57"/>
      <c r="H72" s="569"/>
      <c r="I72" s="569"/>
      <c r="J72" s="569"/>
      <c r="K72" s="569"/>
      <c r="L72" s="569"/>
      <c r="M72" s="569"/>
    </row>
    <row r="73" spans="1:13" s="51" customFormat="1" ht="16.5" customHeight="1">
      <c r="A73" s="570"/>
      <c r="B73" s="570"/>
      <c r="C73" s="570"/>
      <c r="D73" s="570"/>
      <c r="E73" s="570"/>
      <c r="F73" s="570"/>
      <c r="G73" s="39"/>
      <c r="H73" s="569"/>
      <c r="I73" s="569"/>
      <c r="J73" s="569"/>
      <c r="K73" s="569"/>
      <c r="L73" s="569"/>
      <c r="M73" s="569"/>
    </row>
    <row r="74" spans="1:13" s="3" customFormat="1" ht="16.5" customHeight="1">
      <c r="A74" s="571"/>
      <c r="B74" s="571"/>
      <c r="C74" s="571"/>
      <c r="D74" s="571"/>
      <c r="E74" s="571"/>
      <c r="F74" s="571"/>
      <c r="G74" s="410"/>
      <c r="H74" s="569"/>
      <c r="I74" s="569"/>
      <c r="J74" s="569"/>
      <c r="K74" s="569"/>
      <c r="L74" s="569"/>
      <c r="M74" s="569"/>
    </row>
    <row r="75" spans="1:13" s="3" customFormat="1" ht="16.5" customHeight="1">
      <c r="A75" s="571"/>
      <c r="B75" s="571"/>
      <c r="C75" s="571"/>
      <c r="D75" s="571"/>
      <c r="E75" s="571"/>
      <c r="F75" s="571"/>
      <c r="G75" s="57"/>
      <c r="H75" s="569"/>
      <c r="I75" s="569"/>
      <c r="J75" s="569"/>
      <c r="K75" s="569"/>
      <c r="L75" s="569"/>
      <c r="M75" s="569"/>
    </row>
    <row r="76" spans="1:13" s="3" customFormat="1" ht="16.5" customHeight="1">
      <c r="A76" s="571"/>
      <c r="B76" s="571"/>
      <c r="C76" s="571"/>
      <c r="D76" s="571"/>
      <c r="E76" s="571"/>
      <c r="F76" s="571"/>
      <c r="G76" s="410"/>
      <c r="H76" s="569"/>
      <c r="I76" s="569"/>
      <c r="J76" s="569"/>
      <c r="K76" s="569"/>
      <c r="L76" s="569"/>
      <c r="M76" s="569"/>
    </row>
    <row r="77" spans="1:13" s="3" customFormat="1" ht="16.5" customHeight="1">
      <c r="A77" s="571"/>
      <c r="B77" s="571"/>
      <c r="C77" s="571"/>
      <c r="D77" s="571"/>
      <c r="E77" s="571"/>
      <c r="F77" s="571"/>
      <c r="G77" s="410"/>
      <c r="H77" s="569"/>
      <c r="I77" s="569"/>
      <c r="J77" s="569"/>
      <c r="K77" s="569"/>
      <c r="L77" s="569"/>
      <c r="M77" s="569"/>
    </row>
    <row r="78" spans="1:13" s="3" customFormat="1" ht="16.5" customHeight="1">
      <c r="A78" s="571"/>
      <c r="B78" s="571"/>
      <c r="C78" s="571"/>
      <c r="D78" s="571"/>
      <c r="E78" s="571"/>
      <c r="F78" s="571"/>
      <c r="G78" s="57"/>
      <c r="H78" s="569"/>
      <c r="I78" s="569"/>
      <c r="J78" s="569"/>
      <c r="K78" s="569"/>
      <c r="L78" s="569"/>
      <c r="M78" s="569"/>
    </row>
    <row r="79" spans="1:13" s="3" customFormat="1" ht="16.5" customHeight="1">
      <c r="A79" s="572"/>
      <c r="B79" s="572"/>
      <c r="C79" s="572"/>
      <c r="D79" s="572"/>
      <c r="E79" s="572"/>
      <c r="F79" s="572"/>
      <c r="G79" s="57"/>
      <c r="H79" s="572"/>
      <c r="I79" s="572"/>
      <c r="J79" s="572"/>
      <c r="K79" s="572"/>
      <c r="L79" s="572"/>
      <c r="M79" s="572"/>
    </row>
    <row r="80" spans="1:13" s="3" customFormat="1" ht="16.5" customHeight="1">
      <c r="A80" s="70" t="s">
        <v>34</v>
      </c>
      <c r="B80" s="5"/>
      <c r="C80" s="4"/>
      <c r="H80" s="760" t="s">
        <v>35</v>
      </c>
      <c r="I80" s="761"/>
      <c r="J80" s="761"/>
      <c r="K80" s="762"/>
      <c r="L80" s="573" t="s">
        <v>36</v>
      </c>
      <c r="M80" s="573"/>
    </row>
    <row r="81" spans="1:13" s="3" customFormat="1" ht="16.5" customHeight="1">
      <c r="A81" s="576"/>
      <c r="B81" s="576"/>
      <c r="C81" s="576"/>
      <c r="D81" s="576"/>
      <c r="E81" s="576"/>
      <c r="F81" s="576"/>
      <c r="G81" s="71"/>
      <c r="H81" s="577" t="s">
        <v>14</v>
      </c>
      <c r="I81" s="577"/>
      <c r="J81" s="763" t="s">
        <v>24</v>
      </c>
      <c r="K81" s="764"/>
      <c r="L81" s="414" t="s">
        <v>14</v>
      </c>
      <c r="M81" s="414" t="s">
        <v>24</v>
      </c>
    </row>
    <row r="82" spans="1:13" s="3" customFormat="1" ht="16.5" customHeight="1">
      <c r="A82" s="576"/>
      <c r="B82" s="576"/>
      <c r="C82" s="576"/>
      <c r="D82" s="576"/>
      <c r="E82" s="576"/>
      <c r="F82" s="576"/>
      <c r="G82" s="72"/>
      <c r="H82" s="575"/>
      <c r="I82" s="575"/>
      <c r="J82" s="765"/>
      <c r="K82" s="766"/>
      <c r="L82" s="76"/>
      <c r="M82" s="413"/>
    </row>
    <row r="83" spans="1:13" s="3" customFormat="1" ht="16.5" customHeight="1">
      <c r="A83" s="412"/>
      <c r="B83" s="412"/>
      <c r="C83" s="412"/>
      <c r="D83" s="412"/>
      <c r="E83" s="412"/>
      <c r="F83" s="412"/>
      <c r="G83" s="72"/>
      <c r="H83" s="575"/>
      <c r="I83" s="575"/>
      <c r="J83" s="765"/>
      <c r="K83" s="766"/>
      <c r="L83" s="76"/>
      <c r="M83" s="413"/>
    </row>
    <row r="84" spans="1:13" s="3" customFormat="1" ht="16.5" customHeight="1">
      <c r="A84" s="574"/>
      <c r="B84" s="574"/>
      <c r="C84" s="574"/>
      <c r="D84" s="574"/>
      <c r="E84" s="574"/>
      <c r="F84" s="574"/>
      <c r="G84" s="72"/>
      <c r="H84" s="575"/>
      <c r="I84" s="575"/>
      <c r="J84" s="765"/>
      <c r="K84" s="766"/>
      <c r="L84" s="76"/>
      <c r="M84" s="413"/>
    </row>
    <row r="85" spans="1:13" s="3" customFormat="1" ht="16.5" customHeight="1">
      <c r="A85" s="767"/>
      <c r="B85" s="767"/>
      <c r="C85" s="767"/>
      <c r="D85" s="767"/>
      <c r="E85" s="767"/>
      <c r="F85" s="767"/>
      <c r="G85" s="72"/>
      <c r="H85" s="765"/>
      <c r="I85" s="766"/>
      <c r="J85" s="765"/>
      <c r="K85" s="766"/>
      <c r="L85" s="76"/>
      <c r="M85" s="413"/>
    </row>
    <row r="86" spans="1:13" s="3" customFormat="1" ht="16.5" customHeight="1">
      <c r="A86" s="767"/>
      <c r="B86" s="767"/>
      <c r="C86" s="767"/>
      <c r="D86" s="767"/>
      <c r="E86" s="767"/>
      <c r="F86" s="767"/>
      <c r="G86" s="72"/>
      <c r="H86" s="765"/>
      <c r="I86" s="766"/>
      <c r="J86" s="765"/>
      <c r="K86" s="766"/>
      <c r="L86" s="77"/>
      <c r="M86" s="413"/>
    </row>
    <row r="87" spans="1:13" s="3" customFormat="1" ht="70.8" customHeight="1">
      <c r="A87" s="767"/>
      <c r="B87" s="767"/>
      <c r="C87" s="767"/>
      <c r="D87" s="767"/>
      <c r="E87" s="767"/>
      <c r="F87" s="767"/>
      <c r="G87" s="72"/>
      <c r="H87" s="765"/>
      <c r="I87" s="766"/>
      <c r="J87" s="765"/>
      <c r="K87" s="766"/>
      <c r="M87" s="73"/>
    </row>
    <row r="88" spans="1:13" s="3" customFormat="1" ht="16.5" customHeight="1">
      <c r="A88" s="574"/>
      <c r="B88" s="574"/>
      <c r="C88" s="574"/>
      <c r="D88" s="574"/>
      <c r="E88" s="574"/>
      <c r="F88" s="574"/>
      <c r="G88" s="72"/>
      <c r="H88" s="575"/>
      <c r="I88" s="575"/>
      <c r="J88" s="765"/>
      <c r="K88" s="766"/>
      <c r="L88" s="77"/>
      <c r="M88" s="73"/>
    </row>
    <row r="89" spans="1:13" s="3" customFormat="1" ht="16.5" customHeight="1">
      <c r="A89" s="574"/>
      <c r="B89" s="574"/>
      <c r="C89" s="574"/>
      <c r="D89" s="574"/>
      <c r="E89" s="574"/>
      <c r="F89" s="574"/>
      <c r="G89" s="72"/>
      <c r="H89" s="575"/>
      <c r="I89" s="575"/>
      <c r="J89" s="765"/>
      <c r="K89" s="766"/>
      <c r="L89" s="77"/>
      <c r="M89" s="73"/>
    </row>
    <row r="90" spans="1:13" s="3" customFormat="1" ht="16.5" customHeight="1">
      <c r="A90" s="574"/>
      <c r="B90" s="574"/>
      <c r="C90" s="574"/>
      <c r="D90" s="574"/>
      <c r="E90" s="574"/>
      <c r="F90" s="574"/>
      <c r="G90" s="72"/>
      <c r="H90" s="575"/>
      <c r="I90" s="575"/>
      <c r="J90" s="765"/>
      <c r="K90" s="766"/>
      <c r="L90" s="77"/>
      <c r="M90" s="73"/>
    </row>
    <row r="91" spans="1:13" s="3" customFormat="1" ht="16.5" customHeight="1">
      <c r="A91" s="574"/>
      <c r="B91" s="574"/>
      <c r="C91" s="574"/>
      <c r="D91" s="574"/>
      <c r="E91" s="574"/>
      <c r="F91" s="574"/>
      <c r="G91" s="72"/>
      <c r="H91" s="575"/>
      <c r="I91" s="575"/>
      <c r="J91" s="765"/>
      <c r="K91" s="766"/>
      <c r="L91" s="77"/>
      <c r="M91" s="73"/>
    </row>
    <row r="92" spans="1:13" s="3" customFormat="1" ht="16.5" customHeight="1">
      <c r="A92" s="45"/>
      <c r="B92" s="46"/>
      <c r="C92" s="46"/>
      <c r="D92" s="46"/>
      <c r="E92" s="44"/>
      <c r="F92" s="46"/>
      <c r="G92" s="46"/>
      <c r="H92" s="46"/>
      <c r="I92" s="46"/>
      <c r="J92" s="46"/>
      <c r="K92" s="46"/>
      <c r="L92" s="47"/>
      <c r="M92" s="46"/>
    </row>
    <row r="93" spans="1:13" s="3" customFormat="1" ht="16.5" customHeight="1">
      <c r="A93" s="45" t="s">
        <v>45</v>
      </c>
      <c r="B93" s="46"/>
      <c r="C93" s="46"/>
      <c r="D93" s="46"/>
      <c r="E93" s="44"/>
      <c r="F93" s="46"/>
      <c r="G93" s="46"/>
      <c r="H93" s="46"/>
      <c r="I93" s="46"/>
      <c r="J93" s="46"/>
      <c r="K93" s="46"/>
      <c r="L93" s="47"/>
      <c r="M93" s="46"/>
    </row>
    <row r="94" spans="1:13" s="3" customFormat="1" ht="16.5" customHeight="1">
      <c r="A94" s="45"/>
      <c r="B94" s="46"/>
      <c r="C94" s="46"/>
      <c r="D94" s="46"/>
      <c r="E94" s="44"/>
      <c r="F94" s="46"/>
      <c r="G94" s="46"/>
      <c r="H94" s="46"/>
      <c r="I94" s="48"/>
      <c r="J94" s="48"/>
      <c r="K94" s="48"/>
      <c r="L94" s="47"/>
      <c r="M94" s="46"/>
    </row>
    <row r="95" spans="1:13" s="3" customFormat="1" ht="31.5" customHeight="1">
      <c r="A95" s="46" t="s">
        <v>46</v>
      </c>
      <c r="B95" s="578" t="s">
        <v>47</v>
      </c>
      <c r="C95" s="579"/>
      <c r="D95" s="578" t="s">
        <v>48</v>
      </c>
      <c r="E95" s="579"/>
      <c r="F95" s="578" t="s">
        <v>49</v>
      </c>
      <c r="G95" s="579"/>
      <c r="H95" s="578" t="s">
        <v>50</v>
      </c>
      <c r="I95" s="579"/>
      <c r="J95" s="578" t="s">
        <v>51</v>
      </c>
      <c r="K95" s="769"/>
      <c r="L95" s="579"/>
      <c r="M95" s="49"/>
    </row>
    <row r="96" spans="1:13" s="3" customFormat="1" ht="16.5" customHeight="1">
      <c r="A96" s="50"/>
      <c r="B96" s="583"/>
      <c r="C96" s="584"/>
      <c r="D96" s="587"/>
      <c r="E96" s="588"/>
      <c r="F96" s="665"/>
      <c r="G96" s="666"/>
      <c r="H96" s="665"/>
      <c r="I96" s="666"/>
      <c r="J96" s="587"/>
      <c r="K96" s="770"/>
      <c r="L96" s="588"/>
      <c r="M96" s="49"/>
    </row>
    <row r="97" spans="1:15" s="22" customFormat="1" ht="16.5" customHeight="1">
      <c r="A97" s="50"/>
      <c r="B97" s="585"/>
      <c r="C97" s="586"/>
      <c r="D97" s="589"/>
      <c r="E97" s="590"/>
      <c r="F97" s="667"/>
      <c r="G97" s="668"/>
      <c r="H97" s="667"/>
      <c r="I97" s="668"/>
      <c r="J97" s="589"/>
      <c r="K97" s="771"/>
      <c r="L97" s="590"/>
      <c r="M97" s="49"/>
    </row>
    <row r="98" spans="1:15" s="22" customFormat="1" ht="16.5" customHeight="1">
      <c r="A98" s="35"/>
      <c r="B98" s="27"/>
      <c r="C98" s="27"/>
      <c r="D98" s="27"/>
      <c r="E98" s="35"/>
      <c r="F98" s="58"/>
      <c r="G98" s="58"/>
      <c r="H98" s="58"/>
      <c r="I98" s="58"/>
      <c r="J98" s="68"/>
      <c r="K98" s="68"/>
      <c r="L98" s="68"/>
      <c r="M98" s="3"/>
    </row>
    <row r="99" spans="1:15" s="22" customFormat="1" ht="16.5" customHeight="1">
      <c r="A99" s="35" t="s">
        <v>53</v>
      </c>
      <c r="B99" s="27"/>
      <c r="C99" s="27"/>
      <c r="D99" s="35" t="s">
        <v>54</v>
      </c>
      <c r="F99" s="58"/>
      <c r="H99" s="35" t="s">
        <v>250</v>
      </c>
      <c r="I99" s="58"/>
      <c r="L99" s="68" t="s">
        <v>266</v>
      </c>
      <c r="M99" s="3"/>
    </row>
    <row r="100" spans="1:15" s="22" customFormat="1" ht="16.5" customHeight="1">
      <c r="A100" s="29"/>
      <c r="B100" s="29"/>
      <c r="C100" s="29"/>
      <c r="D100" s="29"/>
      <c r="E100" s="29"/>
      <c r="F100" s="29"/>
      <c r="H100" s="29"/>
      <c r="I100" s="29"/>
      <c r="J100" s="3"/>
      <c r="K100" s="3"/>
      <c r="L100" s="3"/>
      <c r="M100" s="3"/>
    </row>
    <row r="101" spans="1:15" s="22" customFormat="1" ht="16.5" customHeight="1">
      <c r="A101" s="673" t="s">
        <v>371</v>
      </c>
      <c r="B101" s="673"/>
      <c r="C101" s="318"/>
      <c r="D101" s="674" t="s">
        <v>296</v>
      </c>
      <c r="E101" s="674"/>
      <c r="F101" s="674"/>
      <c r="H101" s="675" t="s">
        <v>247</v>
      </c>
      <c r="I101" s="675"/>
      <c r="J101" s="675"/>
      <c r="K101" s="416"/>
      <c r="L101" s="768"/>
      <c r="M101" s="768"/>
      <c r="O101" s="218"/>
    </row>
    <row r="102" spans="1:15" s="3" customFormat="1" ht="16.5" customHeight="1">
      <c r="A102" s="663" t="s">
        <v>59</v>
      </c>
      <c r="B102" s="663"/>
      <c r="C102" s="319"/>
      <c r="D102" s="664" t="s">
        <v>60</v>
      </c>
      <c r="E102" s="664"/>
      <c r="F102" s="664"/>
      <c r="H102" s="663" t="s">
        <v>252</v>
      </c>
      <c r="I102" s="663"/>
      <c r="J102" s="663"/>
      <c r="K102" s="416"/>
      <c r="L102" s="320" t="s">
        <v>253</v>
      </c>
      <c r="M102" s="320"/>
    </row>
    <row r="103" spans="1:15" s="3" customFormat="1" ht="16.5" customHeight="1">
      <c r="A103" s="416"/>
      <c r="B103" s="416"/>
      <c r="C103" s="319"/>
      <c r="D103" s="417"/>
      <c r="E103" s="417"/>
      <c r="F103" s="417"/>
      <c r="H103" s="416"/>
      <c r="I103" s="416"/>
      <c r="J103" s="416"/>
      <c r="K103" s="416"/>
      <c r="L103" s="320"/>
      <c r="M103" s="320"/>
    </row>
    <row r="104" spans="1:15" s="3" customFormat="1" ht="16.5" customHeight="1">
      <c r="A104" s="37"/>
      <c r="B104" s="27"/>
      <c r="C104" s="27"/>
      <c r="D104" s="27"/>
      <c r="E104" s="27"/>
      <c r="F104" s="29"/>
      <c r="G104" s="29"/>
      <c r="H104" s="29"/>
      <c r="I104" s="29"/>
      <c r="J104" s="29"/>
      <c r="K104" s="29"/>
    </row>
    <row r="105" spans="1:15" s="3" customFormat="1" ht="16.5" customHeight="1">
      <c r="A105" s="37"/>
      <c r="B105" s="27"/>
      <c r="C105" s="27"/>
      <c r="D105" s="27"/>
      <c r="E105" s="27"/>
      <c r="F105" s="29"/>
      <c r="G105" s="29"/>
      <c r="H105" s="29"/>
      <c r="I105" s="29"/>
      <c r="J105" s="29"/>
      <c r="K105" s="29"/>
    </row>
    <row r="106" spans="1:15" s="3" customFormat="1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5" s="3" customFormat="1" ht="16.5" customHeight="1">
      <c r="A107" s="40"/>
      <c r="B107" s="40"/>
      <c r="C107" s="40"/>
      <c r="D107" s="40"/>
      <c r="E107" s="40"/>
      <c r="F107" s="1"/>
      <c r="G107" s="1"/>
      <c r="H107" s="1"/>
      <c r="I107" s="1"/>
      <c r="J107" s="1"/>
      <c r="K107" s="1"/>
      <c r="L107" s="1"/>
      <c r="M107" s="1"/>
    </row>
    <row r="108" spans="1:15" s="3" customFormat="1" ht="16.5" customHeight="1">
      <c r="A108" s="21" t="s">
        <v>0</v>
      </c>
      <c r="B108" s="554"/>
      <c r="C108" s="554"/>
      <c r="D108" s="554"/>
      <c r="E108" s="554"/>
      <c r="F108" s="554"/>
      <c r="G108" s="554"/>
      <c r="H108" s="554"/>
      <c r="I108" s="16"/>
      <c r="J108" s="22"/>
      <c r="K108" s="22"/>
      <c r="L108" s="555"/>
      <c r="M108" s="555"/>
    </row>
    <row r="109" spans="1:15" s="3" customFormat="1" ht="15" customHeight="1">
      <c r="A109" s="21" t="s">
        <v>2</v>
      </c>
      <c r="B109" s="556" t="s">
        <v>269</v>
      </c>
      <c r="C109" s="556"/>
      <c r="D109" s="556"/>
      <c r="E109" s="556"/>
      <c r="F109" s="556"/>
      <c r="G109" s="556"/>
      <c r="H109" s="556"/>
      <c r="I109" s="16"/>
      <c r="J109" s="22"/>
      <c r="K109" s="22"/>
      <c r="L109" s="555"/>
      <c r="M109" s="555"/>
    </row>
    <row r="110" spans="1:15" s="3" customFormat="1" ht="15" customHeight="1">
      <c r="A110" s="69"/>
      <c r="B110" s="554" t="s">
        <v>270</v>
      </c>
      <c r="C110" s="554"/>
      <c r="D110" s="554"/>
      <c r="E110" s="554"/>
      <c r="F110" s="554"/>
      <c r="G110" s="554"/>
      <c r="H110" s="554"/>
      <c r="I110" s="21" t="s">
        <v>5</v>
      </c>
      <c r="J110" s="22"/>
      <c r="K110" s="22"/>
      <c r="L110" s="557" t="s">
        <v>271</v>
      </c>
      <c r="M110" s="557"/>
    </row>
    <row r="111" spans="1:15" s="3" customFormat="1" ht="15" customHeight="1">
      <c r="A111" s="22" t="s">
        <v>10</v>
      </c>
      <c r="B111" s="556" t="s">
        <v>272</v>
      </c>
      <c r="C111" s="556"/>
      <c r="D111" s="556"/>
      <c r="E111" s="556"/>
      <c r="F111" s="556"/>
      <c r="G111" s="556"/>
      <c r="H111" s="556"/>
      <c r="I111" s="21" t="s">
        <v>8</v>
      </c>
      <c r="J111" s="21"/>
      <c r="K111" s="21"/>
      <c r="L111" s="669" t="s">
        <v>273</v>
      </c>
      <c r="M111" s="669"/>
    </row>
    <row r="112" spans="1:15" s="3" customFormat="1" ht="15" customHeight="1">
      <c r="A112" s="22"/>
      <c r="B112" s="16"/>
      <c r="C112" s="16"/>
      <c r="D112" s="16"/>
      <c r="E112" s="16"/>
      <c r="F112" s="16"/>
      <c r="G112" s="16"/>
      <c r="H112" s="16"/>
      <c r="I112" s="16"/>
      <c r="J112" s="59"/>
      <c r="K112" s="59"/>
      <c r="L112" s="404"/>
      <c r="M112" s="404"/>
    </row>
    <row r="113" spans="1:13" s="3" customFormat="1" ht="15" customHeight="1">
      <c r="A113" s="24" t="s">
        <v>12</v>
      </c>
      <c r="L113" s="555"/>
      <c r="M113" s="555"/>
    </row>
    <row r="114" spans="1:13" s="3" customFormat="1" ht="17.399999999999999">
      <c r="A114" s="552" t="s">
        <v>13</v>
      </c>
      <c r="B114" s="552" t="s">
        <v>14</v>
      </c>
      <c r="C114" s="552"/>
      <c r="D114" s="552"/>
      <c r="E114" s="552"/>
      <c r="F114" s="552"/>
      <c r="G114" s="552" t="s">
        <v>15</v>
      </c>
      <c r="H114" s="552"/>
      <c r="I114" s="552"/>
      <c r="J114" s="553" t="s">
        <v>16</v>
      </c>
      <c r="K114" s="553"/>
      <c r="L114" s="553"/>
      <c r="M114" s="552" t="s">
        <v>17</v>
      </c>
    </row>
    <row r="115" spans="1:13" s="3" customFormat="1" ht="21.9" customHeight="1">
      <c r="A115" s="552"/>
      <c r="B115" s="552"/>
      <c r="C115" s="552"/>
      <c r="D115" s="552"/>
      <c r="E115" s="552"/>
      <c r="F115" s="552"/>
      <c r="G115" s="552"/>
      <c r="H115" s="552"/>
      <c r="I115" s="552"/>
      <c r="J115" s="403" t="s">
        <v>18</v>
      </c>
      <c r="K115" s="403"/>
      <c r="L115" s="20" t="s">
        <v>19</v>
      </c>
      <c r="M115" s="552"/>
    </row>
    <row r="116" spans="1:13" s="3" customFormat="1" ht="21.9" customHeight="1">
      <c r="A116" s="405"/>
      <c r="B116" s="558"/>
      <c r="C116" s="558"/>
      <c r="D116" s="558"/>
      <c r="E116" s="558"/>
      <c r="F116" s="558"/>
      <c r="G116" s="559"/>
      <c r="H116" s="559"/>
      <c r="I116" s="559"/>
      <c r="J116" s="216"/>
      <c r="K116" s="216"/>
      <c r="L116" s="53"/>
      <c r="M116" s="413"/>
    </row>
    <row r="117" spans="1:13" s="3" customFormat="1" ht="21.9" customHeight="1">
      <c r="A117" s="215"/>
      <c r="B117" s="558"/>
      <c r="C117" s="558"/>
      <c r="D117" s="558"/>
      <c r="E117" s="558"/>
      <c r="F117" s="558"/>
      <c r="G117" s="559"/>
      <c r="H117" s="559"/>
      <c r="I117" s="559"/>
      <c r="J117" s="216"/>
      <c r="K117" s="216"/>
      <c r="L117" s="53"/>
      <c r="M117" s="413"/>
    </row>
    <row r="118" spans="1:13" s="3" customFormat="1" ht="21.9" customHeight="1">
      <c r="A118" s="215"/>
      <c r="B118" s="558"/>
      <c r="C118" s="558"/>
      <c r="D118" s="558"/>
      <c r="E118" s="558"/>
      <c r="F118" s="558"/>
      <c r="G118" s="559"/>
      <c r="H118" s="559"/>
      <c r="I118" s="559"/>
      <c r="J118" s="216"/>
      <c r="K118" s="216"/>
      <c r="L118" s="53"/>
      <c r="M118" s="413"/>
    </row>
    <row r="119" spans="1:13" s="3" customFormat="1" ht="21.9" customHeight="1">
      <c r="A119" s="215"/>
      <c r="B119" s="558"/>
      <c r="C119" s="558"/>
      <c r="D119" s="558"/>
      <c r="E119" s="558"/>
      <c r="F119" s="558"/>
      <c r="G119" s="559"/>
      <c r="H119" s="559"/>
      <c r="I119" s="559"/>
      <c r="J119" s="216"/>
      <c r="K119" s="216"/>
      <c r="L119" s="53"/>
      <c r="M119" s="413"/>
    </row>
    <row r="120" spans="1:13" s="3" customFormat="1" ht="21.9" customHeight="1">
      <c r="A120" s="215"/>
      <c r="B120" s="558"/>
      <c r="C120" s="558"/>
      <c r="D120" s="558"/>
      <c r="E120" s="558"/>
      <c r="F120" s="558"/>
      <c r="G120" s="559"/>
      <c r="H120" s="559"/>
      <c r="I120" s="559"/>
      <c r="J120" s="53"/>
      <c r="K120" s="53"/>
      <c r="L120" s="53"/>
      <c r="M120" s="413"/>
    </row>
    <row r="121" spans="1:13" s="3" customFormat="1" ht="21.9" customHeight="1">
      <c r="A121" s="54"/>
      <c r="B121" s="558"/>
      <c r="C121" s="558"/>
      <c r="D121" s="558"/>
      <c r="E121" s="558"/>
      <c r="F121" s="558"/>
      <c r="G121" s="559"/>
      <c r="H121" s="559"/>
      <c r="I121" s="559"/>
      <c r="J121" s="53"/>
      <c r="K121" s="53"/>
      <c r="L121" s="53"/>
      <c r="M121" s="413"/>
    </row>
    <row r="122" spans="1:13" s="3" customFormat="1" ht="21.9" customHeight="1">
      <c r="A122" s="54"/>
      <c r="B122" s="562"/>
      <c r="C122" s="562"/>
      <c r="D122" s="562"/>
      <c r="E122" s="562"/>
      <c r="F122" s="562"/>
      <c r="G122" s="559"/>
      <c r="H122" s="559"/>
      <c r="I122" s="559"/>
      <c r="J122" s="53"/>
      <c r="K122" s="53"/>
      <c r="L122" s="53"/>
      <c r="M122" s="413"/>
    </row>
    <row r="123" spans="1:13" s="3" customFormat="1" ht="21.9" customHeight="1">
      <c r="A123" s="54"/>
      <c r="B123" s="562"/>
      <c r="C123" s="562"/>
      <c r="D123" s="562"/>
      <c r="E123" s="562"/>
      <c r="F123" s="562"/>
      <c r="G123" s="559"/>
      <c r="H123" s="559"/>
      <c r="I123" s="559"/>
      <c r="J123" s="53"/>
      <c r="K123" s="53"/>
      <c r="L123" s="53"/>
      <c r="M123" s="413"/>
    </row>
    <row r="124" spans="1:13" s="3" customFormat="1" ht="21.9" customHeight="1">
      <c r="A124" s="61"/>
      <c r="B124" s="562"/>
      <c r="C124" s="562"/>
      <c r="D124" s="562"/>
      <c r="E124" s="562"/>
      <c r="F124" s="562"/>
      <c r="G124" s="559"/>
      <c r="H124" s="559"/>
      <c r="I124" s="559"/>
      <c r="J124" s="53"/>
      <c r="K124" s="53"/>
      <c r="L124" s="53"/>
      <c r="M124" s="413"/>
    </row>
    <row r="125" spans="1:13" s="3" customFormat="1" ht="21.9" customHeight="1">
      <c r="A125" s="61"/>
      <c r="B125" s="562"/>
      <c r="C125" s="562"/>
      <c r="D125" s="562"/>
      <c r="E125" s="562"/>
      <c r="F125" s="562"/>
      <c r="G125" s="559"/>
      <c r="H125" s="559"/>
      <c r="I125" s="559"/>
      <c r="J125" s="53"/>
      <c r="K125" s="53"/>
      <c r="L125" s="53"/>
      <c r="M125" s="413"/>
    </row>
    <row r="126" spans="1:13" s="3" customFormat="1" ht="21.9" customHeight="1">
      <c r="A126" s="61"/>
      <c r="B126" s="562"/>
      <c r="C126" s="562"/>
      <c r="D126" s="562"/>
      <c r="E126" s="562"/>
      <c r="F126" s="562"/>
      <c r="G126" s="559"/>
      <c r="H126" s="559"/>
      <c r="I126" s="559"/>
      <c r="J126" s="53"/>
      <c r="K126" s="53"/>
      <c r="L126" s="53"/>
      <c r="M126" s="413"/>
    </row>
    <row r="127" spans="1:13" s="3" customFormat="1" ht="21.9" customHeight="1">
      <c r="A127" s="61"/>
      <c r="B127" s="562"/>
      <c r="C127" s="562"/>
      <c r="D127" s="562"/>
      <c r="E127" s="562"/>
      <c r="F127" s="562"/>
      <c r="G127" s="559"/>
      <c r="H127" s="559"/>
      <c r="I127" s="559"/>
      <c r="J127" s="53"/>
      <c r="K127" s="53"/>
      <c r="L127" s="53"/>
      <c r="M127" s="413"/>
    </row>
    <row r="128" spans="1:13" s="3" customFormat="1" ht="21.9" customHeight="1">
      <c r="A128" s="61"/>
      <c r="B128" s="562"/>
      <c r="C128" s="562"/>
      <c r="D128" s="562"/>
      <c r="E128" s="562"/>
      <c r="F128" s="562"/>
      <c r="G128" s="559"/>
      <c r="H128" s="559"/>
      <c r="I128" s="559"/>
      <c r="J128" s="53"/>
      <c r="K128" s="53"/>
      <c r="L128" s="53"/>
      <c r="M128" s="413"/>
    </row>
    <row r="129" spans="1:13" s="3" customFormat="1" ht="21.9" customHeight="1">
      <c r="A129" s="61"/>
      <c r="B129" s="562"/>
      <c r="C129" s="562"/>
      <c r="D129" s="562"/>
      <c r="E129" s="562"/>
      <c r="F129" s="562"/>
      <c r="G129" s="559"/>
      <c r="H129" s="559"/>
      <c r="I129" s="559"/>
      <c r="J129" s="53"/>
      <c r="K129" s="53"/>
      <c r="L129" s="53"/>
      <c r="M129" s="413"/>
    </row>
    <row r="130" spans="1:13" s="3" customFormat="1" ht="21.9" customHeight="1">
      <c r="A130" s="61"/>
      <c r="B130" s="562"/>
      <c r="C130" s="562"/>
      <c r="D130" s="562"/>
      <c r="E130" s="562"/>
      <c r="F130" s="562"/>
      <c r="G130" s="559"/>
      <c r="H130" s="559"/>
      <c r="I130" s="559"/>
      <c r="J130" s="53"/>
      <c r="K130" s="53"/>
      <c r="L130" s="53"/>
      <c r="M130" s="413"/>
    </row>
    <row r="131" spans="1:13" s="3" customFormat="1" ht="21.9" customHeight="1">
      <c r="A131" s="61"/>
      <c r="B131" s="562"/>
      <c r="C131" s="562"/>
      <c r="D131" s="562"/>
      <c r="E131" s="562"/>
      <c r="F131" s="562"/>
      <c r="G131" s="559"/>
      <c r="H131" s="559"/>
      <c r="I131" s="559"/>
      <c r="J131" s="53"/>
      <c r="K131" s="53"/>
      <c r="L131" s="53"/>
      <c r="M131" s="413"/>
    </row>
    <row r="132" spans="1:13" s="3" customFormat="1" ht="21.9" customHeight="1">
      <c r="A132" s="61"/>
      <c r="B132" s="562"/>
      <c r="C132" s="562"/>
      <c r="D132" s="562"/>
      <c r="E132" s="562"/>
      <c r="F132" s="562"/>
      <c r="G132" s="559"/>
      <c r="H132" s="559"/>
      <c r="I132" s="559"/>
      <c r="J132" s="53"/>
      <c r="K132" s="53"/>
      <c r="L132" s="53"/>
      <c r="M132" s="413"/>
    </row>
    <row r="133" spans="1:13" s="3" customFormat="1" ht="21.9" customHeight="1">
      <c r="A133" s="61"/>
      <c r="B133" s="562"/>
      <c r="C133" s="562"/>
      <c r="D133" s="562"/>
      <c r="E133" s="562"/>
      <c r="F133" s="562"/>
      <c r="G133" s="559"/>
      <c r="H133" s="559"/>
      <c r="I133" s="559"/>
      <c r="J133" s="53"/>
      <c r="K133" s="53"/>
      <c r="L133" s="53"/>
      <c r="M133" s="413"/>
    </row>
    <row r="134" spans="1:13" s="3" customFormat="1" ht="21.9" customHeight="1">
      <c r="A134" s="61"/>
      <c r="B134" s="562"/>
      <c r="C134" s="562"/>
      <c r="D134" s="562"/>
      <c r="E134" s="562"/>
      <c r="F134" s="562"/>
      <c r="G134" s="559"/>
      <c r="H134" s="559"/>
      <c r="I134" s="559"/>
      <c r="J134" s="53"/>
      <c r="K134" s="53"/>
      <c r="L134" s="53"/>
      <c r="M134" s="413"/>
    </row>
    <row r="135" spans="1:13" s="3" customFormat="1" ht="21.9" customHeight="1">
      <c r="A135" s="61"/>
      <c r="B135" s="562"/>
      <c r="C135" s="562"/>
      <c r="D135" s="562"/>
      <c r="E135" s="562"/>
      <c r="F135" s="562"/>
      <c r="G135" s="559"/>
      <c r="H135" s="559"/>
      <c r="I135" s="559"/>
      <c r="J135" s="53"/>
      <c r="K135" s="53"/>
      <c r="L135" s="53"/>
      <c r="M135" s="413"/>
    </row>
    <row r="136" spans="1:13" s="3" customFormat="1" ht="21.9" customHeight="1">
      <c r="A136" s="407"/>
      <c r="B136" s="566"/>
      <c r="C136" s="566"/>
      <c r="D136" s="566"/>
      <c r="E136" s="566"/>
      <c r="F136" s="566"/>
      <c r="G136" s="407"/>
      <c r="H136" s="41"/>
      <c r="I136" s="41"/>
      <c r="J136" s="42"/>
      <c r="K136" s="42"/>
      <c r="L136" s="43"/>
    </row>
    <row r="137" spans="1:13" s="3" customFormat="1" ht="21.9" customHeight="1">
      <c r="A137" s="26" t="s">
        <v>23</v>
      </c>
      <c r="B137" s="409"/>
      <c r="C137" s="409"/>
      <c r="D137" s="409"/>
      <c r="E137" s="409"/>
      <c r="F137" s="17"/>
      <c r="G137" s="17"/>
      <c r="H137" s="17"/>
      <c r="I137" s="17"/>
      <c r="J137" s="17"/>
      <c r="K137" s="17"/>
    </row>
    <row r="138" spans="1:13" s="3" customFormat="1" ht="21.9" customHeight="1">
      <c r="A138" s="19" t="s">
        <v>13</v>
      </c>
      <c r="B138" s="567" t="s">
        <v>14</v>
      </c>
      <c r="C138" s="567"/>
      <c r="D138" s="567"/>
      <c r="E138" s="567"/>
      <c r="F138" s="567"/>
      <c r="G138" s="568" t="s">
        <v>24</v>
      </c>
      <c r="H138" s="568"/>
      <c r="I138" s="408" t="s">
        <v>17</v>
      </c>
      <c r="J138" s="403" t="s">
        <v>25</v>
      </c>
      <c r="K138" s="403"/>
      <c r="L138" s="403" t="s">
        <v>26</v>
      </c>
      <c r="M138" s="403" t="s">
        <v>27</v>
      </c>
    </row>
    <row r="139" spans="1:13" s="3" customFormat="1" ht="21.9" customHeight="1">
      <c r="A139" s="317"/>
      <c r="B139" s="563"/>
      <c r="C139" s="563"/>
      <c r="D139" s="563"/>
      <c r="E139" s="563"/>
      <c r="F139" s="563"/>
      <c r="G139" s="564"/>
      <c r="H139" s="564"/>
      <c r="I139" s="406"/>
      <c r="J139" s="406"/>
      <c r="K139" s="406"/>
      <c r="L139" s="413"/>
      <c r="M139" s="413"/>
    </row>
    <row r="140" spans="1:13" s="3" customFormat="1" ht="21.9" customHeight="1">
      <c r="A140" s="405"/>
      <c r="B140" s="563"/>
      <c r="C140" s="563"/>
      <c r="D140" s="563"/>
      <c r="E140" s="563"/>
      <c r="F140" s="563"/>
      <c r="G140" s="564"/>
      <c r="H140" s="564"/>
      <c r="I140" s="406"/>
      <c r="J140" s="406"/>
      <c r="K140" s="406"/>
      <c r="L140" s="413"/>
      <c r="M140" s="413"/>
    </row>
    <row r="141" spans="1:13" s="3" customFormat="1" ht="21.9" customHeight="1">
      <c r="A141" s="405"/>
      <c r="B141" s="563"/>
      <c r="C141" s="563"/>
      <c r="D141" s="563"/>
      <c r="E141" s="563"/>
      <c r="F141" s="563"/>
      <c r="G141" s="564"/>
      <c r="H141" s="564"/>
      <c r="I141" s="406"/>
      <c r="J141" s="406"/>
      <c r="K141" s="406"/>
      <c r="L141" s="413"/>
      <c r="M141" s="413"/>
    </row>
    <row r="142" spans="1:13" s="3" customFormat="1" ht="21.9" customHeight="1">
      <c r="A142" s="405"/>
      <c r="B142" s="563"/>
      <c r="C142" s="563"/>
      <c r="D142" s="563"/>
      <c r="E142" s="563"/>
      <c r="F142" s="563"/>
      <c r="G142" s="564"/>
      <c r="H142" s="564"/>
      <c r="I142" s="406"/>
      <c r="J142" s="406"/>
      <c r="K142" s="406"/>
      <c r="L142" s="413"/>
      <c r="M142" s="413"/>
    </row>
    <row r="143" spans="1:13" s="3" customFormat="1" ht="21.9" customHeight="1">
      <c r="A143" s="32"/>
      <c r="B143" s="565"/>
      <c r="C143" s="565"/>
      <c r="D143" s="565"/>
      <c r="E143" s="565"/>
      <c r="F143" s="565"/>
      <c r="G143" s="565"/>
      <c r="H143" s="565"/>
      <c r="I143" s="565"/>
      <c r="J143" s="17"/>
      <c r="K143" s="17"/>
    </row>
    <row r="144" spans="1:13" s="3" customFormat="1" ht="21.9" customHeight="1">
      <c r="A144" s="34" t="s">
        <v>28</v>
      </c>
      <c r="B144" s="34"/>
      <c r="C144" s="34"/>
      <c r="D144" s="34"/>
      <c r="E144" s="34"/>
      <c r="F144" s="17"/>
      <c r="G144" s="38"/>
      <c r="H144" s="36" t="s">
        <v>29</v>
      </c>
      <c r="I144" s="34"/>
      <c r="J144" s="34"/>
      <c r="K144" s="34"/>
      <c r="L144" s="34"/>
      <c r="M144" s="34"/>
    </row>
    <row r="145" spans="1:13" s="3" customFormat="1" ht="21.9" customHeight="1">
      <c r="A145" s="569"/>
      <c r="B145" s="569"/>
      <c r="C145" s="569"/>
      <c r="D145" s="569"/>
      <c r="E145" s="569"/>
      <c r="F145" s="569"/>
      <c r="G145" s="410"/>
      <c r="H145" s="569"/>
      <c r="I145" s="569"/>
      <c r="J145" s="569"/>
      <c r="K145" s="569"/>
      <c r="L145" s="569"/>
      <c r="M145" s="569"/>
    </row>
    <row r="146" spans="1:13" s="3" customFormat="1" ht="21.9" customHeight="1">
      <c r="A146" s="571"/>
      <c r="B146" s="571"/>
      <c r="C146" s="571"/>
      <c r="D146" s="571"/>
      <c r="E146" s="571"/>
      <c r="F146" s="571"/>
      <c r="G146" s="410"/>
      <c r="H146" s="569"/>
      <c r="I146" s="569"/>
      <c r="J146" s="569"/>
      <c r="K146" s="569"/>
      <c r="L146" s="569"/>
      <c r="M146" s="569"/>
    </row>
    <row r="147" spans="1:13" s="3" customFormat="1" ht="21.9" customHeight="1">
      <c r="A147" s="571"/>
      <c r="B147" s="571"/>
      <c r="C147" s="571"/>
      <c r="D147" s="571"/>
      <c r="E147" s="571"/>
      <c r="F147" s="571"/>
      <c r="G147" s="57"/>
      <c r="H147" s="569"/>
      <c r="I147" s="569"/>
      <c r="J147" s="569"/>
      <c r="K147" s="569"/>
      <c r="L147" s="569"/>
      <c r="M147" s="569"/>
    </row>
    <row r="148" spans="1:13" s="3" customFormat="1" ht="21.9" customHeight="1">
      <c r="A148" s="569"/>
      <c r="B148" s="569"/>
      <c r="C148" s="569"/>
      <c r="D148" s="569"/>
      <c r="E148" s="569"/>
      <c r="F148" s="569"/>
      <c r="G148" s="57"/>
      <c r="H148" s="569"/>
      <c r="I148" s="569"/>
      <c r="J148" s="569"/>
      <c r="K148" s="569"/>
      <c r="L148" s="569"/>
      <c r="M148" s="569"/>
    </row>
    <row r="149" spans="1:13" s="3" customFormat="1" ht="21.9" customHeight="1">
      <c r="A149" s="570"/>
      <c r="B149" s="570"/>
      <c r="C149" s="570"/>
      <c r="D149" s="570"/>
      <c r="E149" s="570"/>
      <c r="F149" s="570"/>
      <c r="G149" s="39"/>
      <c r="H149" s="569"/>
      <c r="I149" s="569"/>
      <c r="J149" s="569"/>
      <c r="K149" s="569"/>
      <c r="L149" s="569"/>
      <c r="M149" s="569"/>
    </row>
    <row r="150" spans="1:13" s="3" customFormat="1" ht="21.9" customHeight="1">
      <c r="A150" s="571"/>
      <c r="B150" s="571"/>
      <c r="C150" s="571"/>
      <c r="D150" s="571"/>
      <c r="E150" s="571"/>
      <c r="F150" s="571"/>
      <c r="G150" s="410"/>
      <c r="H150" s="569"/>
      <c r="I150" s="569"/>
      <c r="J150" s="569"/>
      <c r="K150" s="569"/>
      <c r="L150" s="569"/>
      <c r="M150" s="569"/>
    </row>
    <row r="151" spans="1:13" s="3" customFormat="1" ht="21.9" customHeight="1">
      <c r="A151" s="571"/>
      <c r="B151" s="571"/>
      <c r="C151" s="571"/>
      <c r="D151" s="571"/>
      <c r="E151" s="571"/>
      <c r="F151" s="571"/>
      <c r="G151" s="57"/>
      <c r="H151" s="569"/>
      <c r="I151" s="569"/>
      <c r="J151" s="569"/>
      <c r="K151" s="569"/>
      <c r="L151" s="569"/>
      <c r="M151" s="569"/>
    </row>
    <row r="152" spans="1:13" s="3" customFormat="1" ht="21.9" customHeight="1">
      <c r="A152" s="571"/>
      <c r="B152" s="571"/>
      <c r="C152" s="571"/>
      <c r="D152" s="571"/>
      <c r="E152" s="571"/>
      <c r="F152" s="571"/>
      <c r="G152" s="410"/>
      <c r="H152" s="569"/>
      <c r="I152" s="569"/>
      <c r="J152" s="569"/>
      <c r="K152" s="569"/>
      <c r="L152" s="569"/>
      <c r="M152" s="569"/>
    </row>
    <row r="153" spans="1:13" s="3" customFormat="1" ht="21.9" customHeight="1">
      <c r="A153" s="571"/>
      <c r="B153" s="571"/>
      <c r="C153" s="571"/>
      <c r="D153" s="571"/>
      <c r="E153" s="571"/>
      <c r="F153" s="571"/>
      <c r="G153" s="410"/>
      <c r="H153" s="569"/>
      <c r="I153" s="569"/>
      <c r="J153" s="569"/>
      <c r="K153" s="569"/>
      <c r="L153" s="569"/>
      <c r="M153" s="569"/>
    </row>
    <row r="154" spans="1:13" s="3" customFormat="1" ht="21.9" customHeight="1">
      <c r="A154" s="571"/>
      <c r="B154" s="571"/>
      <c r="C154" s="571"/>
      <c r="D154" s="571"/>
      <c r="E154" s="571"/>
      <c r="F154" s="571"/>
      <c r="G154" s="57"/>
      <c r="H154" s="569"/>
      <c r="I154" s="569"/>
      <c r="J154" s="569"/>
      <c r="K154" s="569"/>
      <c r="L154" s="569"/>
      <c r="M154" s="569"/>
    </row>
    <row r="155" spans="1:13" s="3" customFormat="1" ht="21.9" customHeight="1">
      <c r="A155" s="572"/>
      <c r="B155" s="572"/>
      <c r="C155" s="572"/>
      <c r="D155" s="572"/>
      <c r="E155" s="572"/>
      <c r="F155" s="572"/>
      <c r="G155" s="57"/>
      <c r="H155" s="572"/>
      <c r="I155" s="572"/>
      <c r="J155" s="572"/>
      <c r="K155" s="572"/>
      <c r="L155" s="572"/>
      <c r="M155" s="572"/>
    </row>
    <row r="156" spans="1:13" s="3" customFormat="1" ht="21.9" customHeight="1">
      <c r="A156" s="70" t="s">
        <v>34</v>
      </c>
      <c r="B156" s="5"/>
      <c r="C156" s="4"/>
      <c r="H156" s="573" t="s">
        <v>35</v>
      </c>
      <c r="I156" s="573"/>
      <c r="J156" s="573"/>
      <c r="K156" s="411"/>
      <c r="L156" s="573" t="s">
        <v>36</v>
      </c>
      <c r="M156" s="573"/>
    </row>
    <row r="157" spans="1:13" s="3" customFormat="1" ht="21.9" customHeight="1">
      <c r="A157" s="576"/>
      <c r="B157" s="576"/>
      <c r="C157" s="576"/>
      <c r="D157" s="576"/>
      <c r="E157" s="576"/>
      <c r="F157" s="576"/>
      <c r="G157" s="71"/>
      <c r="H157" s="577" t="s">
        <v>14</v>
      </c>
      <c r="I157" s="577"/>
      <c r="J157" s="414" t="s">
        <v>24</v>
      </c>
      <c r="K157" s="414"/>
      <c r="L157" s="414" t="s">
        <v>14</v>
      </c>
      <c r="M157" s="414" t="s">
        <v>24</v>
      </c>
    </row>
    <row r="158" spans="1:13" s="3" customFormat="1" ht="21.9" customHeight="1">
      <c r="A158" s="574"/>
      <c r="B158" s="574"/>
      <c r="C158" s="574"/>
      <c r="D158" s="574"/>
      <c r="E158" s="574"/>
      <c r="F158" s="574"/>
      <c r="G158" s="72"/>
      <c r="H158" s="575"/>
      <c r="I158" s="575"/>
      <c r="J158" s="413"/>
      <c r="K158" s="413"/>
      <c r="L158" s="76"/>
      <c r="M158" s="413"/>
    </row>
    <row r="159" spans="1:13" s="3" customFormat="1" ht="21.9" customHeight="1">
      <c r="A159" s="574"/>
      <c r="B159" s="574"/>
      <c r="C159" s="574"/>
      <c r="D159" s="574"/>
      <c r="E159" s="574"/>
      <c r="F159" s="574"/>
      <c r="G159" s="72"/>
      <c r="H159" s="575"/>
      <c r="I159" s="575"/>
      <c r="J159" s="413"/>
      <c r="K159" s="413"/>
      <c r="L159" s="76"/>
      <c r="M159" s="413"/>
    </row>
    <row r="160" spans="1:13" s="3" customFormat="1" ht="21.9" customHeight="1">
      <c r="A160" s="574"/>
      <c r="B160" s="574"/>
      <c r="C160" s="574"/>
      <c r="D160" s="574"/>
      <c r="E160" s="574"/>
      <c r="F160" s="574"/>
      <c r="G160" s="72"/>
      <c r="H160" s="575"/>
      <c r="I160" s="575"/>
      <c r="J160" s="413"/>
      <c r="K160" s="413"/>
      <c r="L160" s="76"/>
      <c r="M160" s="413"/>
    </row>
    <row r="161" spans="1:13" s="3" customFormat="1" ht="21.9" customHeight="1">
      <c r="A161" s="574"/>
      <c r="B161" s="574"/>
      <c r="C161" s="574"/>
      <c r="D161" s="574"/>
      <c r="E161" s="574"/>
      <c r="F161" s="574"/>
      <c r="G161" s="72"/>
      <c r="H161" s="575"/>
      <c r="I161" s="575"/>
      <c r="J161" s="413"/>
      <c r="K161" s="413"/>
      <c r="L161" s="76"/>
      <c r="M161" s="413"/>
    </row>
    <row r="162" spans="1:13" s="3" customFormat="1" ht="21.9" customHeight="1">
      <c r="A162" s="574"/>
      <c r="B162" s="574"/>
      <c r="C162" s="574"/>
      <c r="D162" s="574"/>
      <c r="E162" s="574"/>
      <c r="F162" s="574"/>
      <c r="G162" s="72"/>
      <c r="H162" s="575"/>
      <c r="I162" s="575"/>
      <c r="J162" s="413"/>
      <c r="K162" s="413"/>
      <c r="L162" s="77"/>
      <c r="M162" s="413"/>
    </row>
    <row r="163" spans="1:13" s="3" customFormat="1" ht="21.9" customHeight="1">
      <c r="A163" s="574"/>
      <c r="B163" s="574"/>
      <c r="C163" s="574"/>
      <c r="D163" s="574"/>
      <c r="E163" s="574"/>
      <c r="F163" s="574"/>
      <c r="G163" s="72"/>
      <c r="H163" s="575"/>
      <c r="I163" s="575"/>
      <c r="J163" s="73"/>
      <c r="K163" s="72"/>
      <c r="M163" s="73"/>
    </row>
    <row r="164" spans="1:13" s="3" customFormat="1" ht="21.9" customHeight="1">
      <c r="A164" s="574"/>
      <c r="B164" s="574"/>
      <c r="C164" s="574"/>
      <c r="D164" s="574"/>
      <c r="E164" s="574"/>
      <c r="F164" s="574"/>
      <c r="G164" s="72"/>
      <c r="H164" s="575"/>
      <c r="I164" s="575"/>
      <c r="J164" s="73"/>
      <c r="K164" s="73"/>
      <c r="L164" s="77"/>
      <c r="M164" s="73"/>
    </row>
    <row r="165" spans="1:13" s="3" customFormat="1" ht="21.9" customHeight="1">
      <c r="A165" s="574"/>
      <c r="B165" s="574"/>
      <c r="C165" s="574"/>
      <c r="D165" s="574"/>
      <c r="E165" s="574"/>
      <c r="F165" s="574"/>
      <c r="G165" s="72"/>
      <c r="H165" s="575"/>
      <c r="I165" s="575"/>
      <c r="J165" s="73"/>
      <c r="K165" s="73"/>
      <c r="L165" s="77"/>
      <c r="M165" s="73"/>
    </row>
    <row r="166" spans="1:13" s="3" customFormat="1" ht="21.9" customHeight="1">
      <c r="A166" s="574"/>
      <c r="B166" s="574"/>
      <c r="C166" s="574"/>
      <c r="D166" s="574"/>
      <c r="E166" s="574"/>
      <c r="F166" s="574"/>
      <c r="G166" s="72"/>
      <c r="H166" s="575"/>
      <c r="I166" s="575"/>
      <c r="J166" s="73"/>
      <c r="K166" s="73"/>
      <c r="L166" s="77"/>
      <c r="M166" s="73"/>
    </row>
    <row r="167" spans="1:13" s="3" customFormat="1" ht="21.9" customHeight="1">
      <c r="A167" s="574"/>
      <c r="B167" s="574"/>
      <c r="C167" s="574"/>
      <c r="D167" s="574"/>
      <c r="E167" s="574"/>
      <c r="F167" s="574"/>
      <c r="G167" s="72"/>
      <c r="H167" s="575"/>
      <c r="I167" s="575"/>
      <c r="J167" s="73"/>
      <c r="K167" s="73"/>
      <c r="L167" s="77"/>
      <c r="M167" s="73"/>
    </row>
    <row r="168" spans="1:13" s="3" customFormat="1" ht="21.9" customHeight="1">
      <c r="A168" s="45"/>
      <c r="B168" s="46"/>
      <c r="C168" s="46"/>
      <c r="D168" s="46"/>
      <c r="E168" s="44"/>
      <c r="F168" s="46"/>
      <c r="G168" s="46"/>
      <c r="H168" s="46"/>
      <c r="I168" s="46"/>
      <c r="J168" s="46"/>
      <c r="K168" s="46"/>
      <c r="L168" s="47"/>
      <c r="M168" s="46"/>
    </row>
    <row r="169" spans="1:13" s="3" customFormat="1" ht="21.9" customHeight="1">
      <c r="A169" s="45" t="s">
        <v>45</v>
      </c>
      <c r="B169" s="46"/>
      <c r="C169" s="46"/>
      <c r="D169" s="46"/>
      <c r="E169" s="44"/>
      <c r="F169" s="46"/>
      <c r="G169" s="46"/>
      <c r="H169" s="46"/>
      <c r="I169" s="46"/>
      <c r="J169" s="46"/>
      <c r="K169" s="46"/>
      <c r="L169" s="47"/>
      <c r="M169" s="46"/>
    </row>
    <row r="170" spans="1:13" s="3" customFormat="1" ht="21.9" customHeight="1">
      <c r="A170" s="45"/>
      <c r="B170" s="46"/>
      <c r="C170" s="46"/>
      <c r="D170" s="46"/>
      <c r="E170" s="44"/>
      <c r="F170" s="46"/>
      <c r="G170" s="46"/>
      <c r="H170" s="46"/>
      <c r="I170" s="48"/>
      <c r="J170" s="48"/>
      <c r="K170" s="48"/>
      <c r="L170" s="47"/>
      <c r="M170" s="46"/>
    </row>
    <row r="171" spans="1:13" s="3" customFormat="1" ht="21.9" customHeight="1">
      <c r="A171" s="46" t="s">
        <v>46</v>
      </c>
      <c r="B171" s="578" t="s">
        <v>47</v>
      </c>
      <c r="C171" s="579"/>
      <c r="D171" s="578" t="s">
        <v>48</v>
      </c>
      <c r="E171" s="579"/>
      <c r="F171" s="578" t="s">
        <v>49</v>
      </c>
      <c r="G171" s="579"/>
      <c r="H171" s="578" t="s">
        <v>50</v>
      </c>
      <c r="I171" s="579"/>
      <c r="J171" s="578" t="s">
        <v>51</v>
      </c>
      <c r="K171" s="769"/>
      <c r="L171" s="579"/>
      <c r="M171" s="49"/>
    </row>
    <row r="172" spans="1:13" s="3" customFormat="1" ht="21.9" customHeight="1">
      <c r="A172" s="50"/>
      <c r="B172" s="583"/>
      <c r="C172" s="584"/>
      <c r="D172" s="587"/>
      <c r="E172" s="588"/>
      <c r="F172" s="665"/>
      <c r="G172" s="666"/>
      <c r="H172" s="665"/>
      <c r="I172" s="666"/>
      <c r="J172" s="587"/>
      <c r="K172" s="770"/>
      <c r="L172" s="588"/>
      <c r="M172" s="49"/>
    </row>
    <row r="173" spans="1:13" s="3" customFormat="1" ht="21.9" customHeight="1">
      <c r="A173" s="50"/>
      <c r="B173" s="585"/>
      <c r="C173" s="586"/>
      <c r="D173" s="589"/>
      <c r="E173" s="590"/>
      <c r="F173" s="667"/>
      <c r="G173" s="668"/>
      <c r="H173" s="667"/>
      <c r="I173" s="668"/>
      <c r="J173" s="589"/>
      <c r="K173" s="771"/>
      <c r="L173" s="590"/>
      <c r="M173" s="49"/>
    </row>
    <row r="174" spans="1:13" s="3" customFormat="1" ht="21.9" customHeight="1">
      <c r="A174" s="35"/>
      <c r="B174" s="27"/>
      <c r="C174" s="27"/>
      <c r="D174" s="27"/>
      <c r="E174" s="35"/>
      <c r="F174" s="58"/>
      <c r="G174" s="58"/>
      <c r="H174" s="58"/>
      <c r="I174" s="58"/>
      <c r="J174" s="68"/>
      <c r="K174" s="68"/>
      <c r="L174" s="68"/>
    </row>
    <row r="175" spans="1:13" s="3" customFormat="1" ht="21.9" customHeight="1">
      <c r="A175" s="35" t="s">
        <v>53</v>
      </c>
      <c r="B175" s="27"/>
      <c r="C175" s="27"/>
      <c r="D175" s="35" t="s">
        <v>54</v>
      </c>
      <c r="E175" s="22"/>
      <c r="F175" s="58"/>
      <c r="G175" s="22"/>
      <c r="H175" s="35" t="s">
        <v>250</v>
      </c>
      <c r="I175" s="58"/>
      <c r="J175" s="22"/>
      <c r="K175" s="22"/>
      <c r="L175" s="68" t="s">
        <v>266</v>
      </c>
    </row>
    <row r="176" spans="1:13" s="3" customFormat="1" ht="21.9" customHeight="1">
      <c r="A176" s="29"/>
      <c r="B176" s="29"/>
      <c r="C176" s="29"/>
      <c r="D176" s="29"/>
      <c r="E176" s="29"/>
      <c r="F176" s="29"/>
      <c r="G176" s="22"/>
      <c r="H176" s="29"/>
      <c r="I176" s="29"/>
    </row>
    <row r="177" spans="1:13" s="3" customFormat="1" ht="21.9" customHeight="1">
      <c r="A177" s="580"/>
      <c r="B177" s="580"/>
      <c r="C177" s="318"/>
      <c r="D177" s="671" t="s">
        <v>267</v>
      </c>
      <c r="E177" s="671"/>
      <c r="F177" s="671"/>
      <c r="G177" s="22"/>
      <c r="H177" s="672" t="s">
        <v>247</v>
      </c>
      <c r="I177" s="672"/>
      <c r="J177" s="672"/>
      <c r="K177" s="415"/>
      <c r="L177" s="662" t="s">
        <v>268</v>
      </c>
      <c r="M177" s="662"/>
    </row>
    <row r="178" spans="1:13" s="3" customFormat="1" ht="21.9" customHeight="1">
      <c r="A178" s="663" t="s">
        <v>59</v>
      </c>
      <c r="B178" s="663"/>
      <c r="C178" s="319"/>
      <c r="D178" s="664" t="s">
        <v>60</v>
      </c>
      <c r="E178" s="664"/>
      <c r="F178" s="664"/>
      <c r="H178" s="663" t="s">
        <v>252</v>
      </c>
      <c r="I178" s="663"/>
      <c r="J178" s="663"/>
      <c r="K178" s="416"/>
      <c r="L178" s="320" t="s">
        <v>253</v>
      </c>
      <c r="M178" s="320"/>
    </row>
    <row r="179" spans="1:13" s="3" customFormat="1" ht="21.9" customHeight="1">
      <c r="A179" s="32"/>
      <c r="B179" s="32"/>
      <c r="C179" s="32"/>
      <c r="D179" s="32"/>
      <c r="E179" s="32"/>
      <c r="F179" s="31"/>
      <c r="G179" s="31"/>
      <c r="H179" s="31"/>
      <c r="I179" s="31"/>
      <c r="J179" s="31"/>
      <c r="K179" s="31"/>
    </row>
    <row r="180" spans="1:13" s="3" customFormat="1" ht="21.9" customHeight="1">
      <c r="A180" s="32"/>
      <c r="B180" s="32"/>
      <c r="C180" s="32"/>
      <c r="D180" s="32"/>
      <c r="E180" s="32"/>
      <c r="F180" s="31"/>
      <c r="G180" s="31"/>
      <c r="H180" s="31"/>
      <c r="I180" s="31"/>
      <c r="J180" s="31"/>
      <c r="K180" s="31"/>
    </row>
    <row r="181" spans="1:13" s="3" customFormat="1" ht="21.9" customHeight="1">
      <c r="A181" s="32"/>
      <c r="B181" s="32"/>
      <c r="C181" s="32"/>
      <c r="D181" s="32"/>
      <c r="E181" s="32"/>
      <c r="F181" s="33"/>
      <c r="G181" s="33"/>
      <c r="H181" s="33"/>
      <c r="I181" s="33"/>
      <c r="J181" s="33"/>
      <c r="K181" s="33"/>
    </row>
    <row r="182" spans="1:13" s="3" customFormat="1" ht="21.9" customHeight="1">
      <c r="A182" s="32"/>
      <c r="B182" s="32"/>
      <c r="C182" s="32"/>
      <c r="D182" s="32"/>
      <c r="E182" s="32"/>
      <c r="F182" s="33"/>
      <c r="G182" s="33"/>
      <c r="H182" s="33"/>
      <c r="I182" s="33"/>
      <c r="J182" s="33"/>
      <c r="K182" s="33"/>
    </row>
    <row r="183" spans="1:13" s="3" customFormat="1" ht="21.9" customHeight="1">
      <c r="A183" s="13"/>
      <c r="B183" s="13"/>
      <c r="C183" s="13"/>
      <c r="D183" s="13"/>
      <c r="E183" s="13"/>
      <c r="F183" s="14"/>
      <c r="G183" s="14"/>
      <c r="H183" s="14"/>
      <c r="I183" s="14"/>
      <c r="J183" s="14"/>
      <c r="K183" s="14"/>
      <c r="L183" s="9"/>
      <c r="M183" s="9"/>
    </row>
    <row r="184" spans="1:13" s="3" customFormat="1" ht="21.9" customHeight="1">
      <c r="A184" s="13"/>
      <c r="B184" s="13"/>
      <c r="C184" s="13"/>
      <c r="D184" s="13"/>
      <c r="E184" s="13"/>
      <c r="F184" s="14"/>
      <c r="G184" s="14"/>
      <c r="H184" s="14"/>
      <c r="I184" s="14"/>
      <c r="J184" s="14"/>
      <c r="K184" s="14"/>
      <c r="L184" s="9"/>
      <c r="M184" s="9"/>
    </row>
    <row r="185" spans="1:13" s="3" customFormat="1" ht="21.9" customHeight="1">
      <c r="A185" s="13"/>
      <c r="B185" s="13"/>
      <c r="C185" s="13"/>
      <c r="D185" s="13"/>
      <c r="E185" s="13"/>
      <c r="F185" s="14"/>
      <c r="G185" s="14"/>
      <c r="H185" s="14"/>
      <c r="I185" s="14"/>
      <c r="J185" s="14"/>
      <c r="K185" s="14"/>
      <c r="L185" s="9"/>
      <c r="M185" s="9"/>
    </row>
    <row r="186" spans="1:13" s="3" customFormat="1" ht="21.9" customHeight="1">
      <c r="A186" s="13"/>
      <c r="B186" s="13"/>
      <c r="C186" s="13"/>
      <c r="D186" s="13"/>
      <c r="E186" s="13"/>
      <c r="F186" s="14"/>
      <c r="G186" s="14"/>
      <c r="H186" s="14"/>
      <c r="I186" s="14"/>
      <c r="J186" s="14"/>
      <c r="K186" s="14"/>
      <c r="L186" s="9"/>
      <c r="M186" s="9"/>
    </row>
    <row r="187" spans="1:13" s="3" customFormat="1" ht="21.9" customHeight="1">
      <c r="A187" s="13"/>
      <c r="B187" s="13"/>
      <c r="C187" s="13"/>
      <c r="D187" s="13"/>
      <c r="E187" s="13"/>
      <c r="F187" s="14"/>
      <c r="G187" s="14"/>
      <c r="H187" s="14"/>
      <c r="I187" s="14"/>
      <c r="J187" s="14"/>
      <c r="K187" s="14"/>
      <c r="L187" s="9"/>
      <c r="M187" s="9"/>
    </row>
    <row r="188" spans="1:13" s="3" customFormat="1" ht="21.9" customHeight="1">
      <c r="A188" s="13"/>
      <c r="B188" s="13"/>
      <c r="C188" s="13"/>
      <c r="D188" s="13"/>
      <c r="E188" s="13"/>
      <c r="F188" s="10"/>
      <c r="G188" s="10"/>
      <c r="H188" s="10"/>
      <c r="I188" s="10"/>
      <c r="J188" s="10"/>
      <c r="K188" s="10"/>
      <c r="L188" s="9"/>
      <c r="M188" s="9"/>
    </row>
    <row r="189" spans="1:13" s="9" customFormat="1" ht="21.9" customHeight="1">
      <c r="A189" s="13"/>
      <c r="B189" s="13"/>
      <c r="C189" s="13"/>
      <c r="D189" s="13"/>
      <c r="E189" s="13"/>
      <c r="F189" s="14"/>
      <c r="G189" s="14"/>
      <c r="H189" s="14"/>
      <c r="I189" s="14"/>
      <c r="J189" s="14"/>
      <c r="K189" s="14"/>
    </row>
    <row r="190" spans="1:13" s="9" customFormat="1" ht="21.9" customHeight="1">
      <c r="A190" s="13"/>
      <c r="B190" s="13"/>
      <c r="C190" s="13"/>
      <c r="D190" s="13"/>
      <c r="E190" s="13"/>
      <c r="F190" s="14"/>
      <c r="G190" s="14"/>
      <c r="H190" s="14"/>
      <c r="I190" s="14"/>
      <c r="J190" s="14"/>
      <c r="K190" s="14"/>
    </row>
    <row r="191" spans="1:13" s="9" customFormat="1" ht="21.9" customHeight="1">
      <c r="A191" s="13"/>
      <c r="B191" s="13"/>
      <c r="C191" s="13"/>
      <c r="D191" s="13"/>
      <c r="E191" s="13"/>
      <c r="F191" s="14"/>
      <c r="G191" s="14"/>
      <c r="H191" s="14"/>
      <c r="I191" s="14"/>
      <c r="J191" s="14"/>
      <c r="K191" s="14"/>
    </row>
    <row r="192" spans="1:13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  <c r="K192" s="8"/>
    </row>
    <row r="193" spans="1:11" s="9" customFormat="1" ht="21.9" customHeight="1">
      <c r="A193" s="13"/>
      <c r="B193" s="13"/>
      <c r="C193" s="13"/>
      <c r="D193" s="13"/>
      <c r="E193" s="13"/>
      <c r="F193" s="14"/>
      <c r="G193" s="14"/>
      <c r="H193" s="14"/>
      <c r="I193" s="14"/>
      <c r="J193" s="14"/>
      <c r="K193" s="14"/>
    </row>
    <row r="194" spans="1:11" s="9" customFormat="1" ht="21.9" customHeight="1">
      <c r="A194" s="13"/>
      <c r="B194" s="13"/>
      <c r="C194" s="13"/>
      <c r="D194" s="13"/>
      <c r="E194" s="13"/>
      <c r="F194" s="10"/>
      <c r="G194" s="10"/>
      <c r="H194" s="10"/>
      <c r="I194" s="10"/>
      <c r="J194" s="10"/>
      <c r="K194" s="10"/>
    </row>
    <row r="195" spans="1:11" s="9" customFormat="1" ht="21.9" customHeight="1">
      <c r="A195" s="13"/>
      <c r="B195" s="13"/>
      <c r="C195" s="13"/>
      <c r="D195" s="13"/>
      <c r="E195" s="13"/>
      <c r="F195" s="12"/>
      <c r="G195" s="12"/>
      <c r="H195" s="12"/>
      <c r="I195" s="12"/>
      <c r="J195" s="12"/>
      <c r="K195" s="12"/>
    </row>
    <row r="196" spans="1:11" s="9" customFormat="1" ht="21.9" customHeight="1">
      <c r="A196" s="13"/>
      <c r="B196" s="13"/>
      <c r="C196" s="13"/>
      <c r="D196" s="13"/>
      <c r="E196" s="13"/>
      <c r="F196" s="12"/>
      <c r="G196" s="12"/>
      <c r="H196" s="12"/>
      <c r="I196" s="12"/>
      <c r="J196" s="12"/>
      <c r="K196" s="12"/>
    </row>
    <row r="197" spans="1:11" s="9" customFormat="1" ht="21.9" customHeight="1">
      <c r="A197" s="13"/>
      <c r="B197" s="13"/>
      <c r="C197" s="13"/>
      <c r="D197" s="13"/>
      <c r="E197" s="13"/>
      <c r="F197" s="12"/>
      <c r="G197" s="12"/>
      <c r="H197" s="12"/>
      <c r="I197" s="12"/>
      <c r="J197" s="12"/>
      <c r="K197" s="12"/>
    </row>
    <row r="198" spans="1:11" s="9" customFormat="1" ht="21.9" customHeight="1">
      <c r="A198" s="13"/>
      <c r="B198" s="13"/>
      <c r="C198" s="13"/>
      <c r="D198" s="13"/>
      <c r="E198" s="13"/>
      <c r="F198" s="12"/>
      <c r="G198" s="12"/>
      <c r="H198" s="12"/>
      <c r="I198" s="12"/>
      <c r="J198" s="12"/>
      <c r="K198" s="12"/>
    </row>
    <row r="199" spans="1:11" s="9" customFormat="1" ht="21.9" customHeight="1">
      <c r="A199" s="13"/>
      <c r="B199" s="13"/>
      <c r="C199" s="13"/>
      <c r="D199" s="13"/>
      <c r="E199" s="13"/>
      <c r="F199" s="12"/>
      <c r="G199" s="12"/>
      <c r="H199" s="12"/>
      <c r="I199" s="12"/>
      <c r="J199" s="12"/>
      <c r="K199" s="12"/>
    </row>
    <row r="200" spans="1:11" s="9" customFormat="1" ht="21.9" customHeight="1">
      <c r="A200" s="13"/>
      <c r="B200" s="13"/>
      <c r="C200" s="13"/>
      <c r="D200" s="13"/>
      <c r="E200" s="13"/>
      <c r="F200" s="12"/>
      <c r="G200" s="12"/>
      <c r="H200" s="12"/>
      <c r="I200" s="12"/>
      <c r="J200" s="12"/>
      <c r="K200" s="12"/>
    </row>
    <row r="201" spans="1:11" s="9" customFormat="1" ht="21.9" customHeight="1">
      <c r="A201" s="13"/>
      <c r="B201" s="13"/>
      <c r="C201" s="13"/>
      <c r="D201" s="13"/>
      <c r="E201" s="13"/>
      <c r="F201" s="14"/>
      <c r="G201" s="14"/>
      <c r="H201" s="14"/>
      <c r="I201" s="14"/>
      <c r="J201" s="14"/>
      <c r="K201" s="14"/>
    </row>
    <row r="202" spans="1:11" s="9" customFormat="1" ht="21.9" customHeight="1">
      <c r="A202" s="13"/>
      <c r="B202" s="13"/>
      <c r="C202" s="13"/>
      <c r="D202" s="13"/>
      <c r="E202" s="13"/>
      <c r="F202" s="8"/>
      <c r="G202" s="8"/>
      <c r="H202" s="8"/>
      <c r="I202" s="8"/>
      <c r="J202" s="8"/>
      <c r="K202" s="8"/>
    </row>
    <row r="203" spans="1:11" s="9" customFormat="1" ht="21.9" customHeight="1">
      <c r="A203" s="13"/>
      <c r="B203" s="13"/>
      <c r="C203" s="13"/>
      <c r="D203" s="13"/>
      <c r="E203" s="13"/>
      <c r="F203" s="8"/>
      <c r="G203" s="8"/>
      <c r="H203" s="8"/>
      <c r="I203" s="8"/>
      <c r="J203" s="8"/>
      <c r="K203" s="8"/>
    </row>
    <row r="204" spans="1:11" s="9" customFormat="1" ht="21.9" customHeight="1">
      <c r="A204" s="13"/>
      <c r="B204" s="13"/>
      <c r="C204" s="13"/>
      <c r="D204" s="13"/>
      <c r="E204" s="13"/>
      <c r="F204" s="8"/>
      <c r="G204" s="8"/>
      <c r="H204" s="8"/>
      <c r="I204" s="8"/>
      <c r="J204" s="8"/>
      <c r="K204" s="8"/>
    </row>
    <row r="205" spans="1:11" s="9" customFormat="1" ht="21.9" customHeight="1">
      <c r="A205" s="13"/>
      <c r="B205" s="13"/>
      <c r="C205" s="13"/>
      <c r="D205" s="13"/>
      <c r="E205" s="13"/>
      <c r="F205" s="8"/>
      <c r="G205" s="8"/>
      <c r="H205" s="8"/>
      <c r="I205" s="8"/>
      <c r="J205" s="8"/>
      <c r="K205" s="8"/>
    </row>
    <row r="206" spans="1:11" s="9" customFormat="1" ht="21.9" customHeight="1">
      <c r="A206" s="13"/>
      <c r="B206" s="13"/>
      <c r="C206" s="13"/>
      <c r="D206" s="13"/>
      <c r="E206" s="13"/>
      <c r="F206" s="8"/>
      <c r="G206" s="8"/>
      <c r="H206" s="8"/>
      <c r="I206" s="8"/>
      <c r="J206" s="8"/>
      <c r="K206" s="8"/>
    </row>
    <row r="207" spans="1:11" s="9" customFormat="1" ht="21.9" customHeight="1">
      <c r="A207" s="13"/>
      <c r="B207" s="13"/>
      <c r="C207" s="13"/>
      <c r="D207" s="13"/>
      <c r="E207" s="13"/>
      <c r="F207" s="8"/>
      <c r="G207" s="8"/>
      <c r="H207" s="8"/>
      <c r="I207" s="8"/>
      <c r="J207" s="8"/>
      <c r="K207" s="8"/>
    </row>
    <row r="208" spans="1:11" s="9" customFormat="1" ht="21.9" customHeight="1">
      <c r="A208" s="13"/>
      <c r="B208" s="13"/>
      <c r="C208" s="13"/>
      <c r="D208" s="13"/>
      <c r="E208" s="13"/>
      <c r="F208" s="10"/>
      <c r="G208" s="10"/>
      <c r="H208" s="10"/>
      <c r="I208" s="10"/>
      <c r="J208" s="10"/>
      <c r="K208" s="10"/>
    </row>
    <row r="209" spans="1:11" s="9" customFormat="1" ht="21.9" customHeight="1">
      <c r="A209" s="13"/>
      <c r="B209" s="13"/>
      <c r="C209" s="13"/>
      <c r="D209" s="13"/>
      <c r="E209" s="13"/>
      <c r="F209" s="10"/>
      <c r="G209" s="10"/>
      <c r="H209" s="10"/>
      <c r="I209" s="10"/>
      <c r="J209" s="10"/>
      <c r="K209" s="10"/>
    </row>
    <row r="210" spans="1:11" s="9" customFormat="1" ht="21.9" customHeight="1">
      <c r="A210" s="13"/>
      <c r="B210" s="13"/>
      <c r="C210" s="13"/>
      <c r="D210" s="13"/>
      <c r="E210" s="13"/>
      <c r="F210" s="10"/>
      <c r="G210" s="10"/>
      <c r="H210" s="10"/>
      <c r="I210" s="10"/>
      <c r="J210" s="10"/>
      <c r="K210" s="10"/>
    </row>
    <row r="211" spans="1:11" s="9" customFormat="1" ht="21.9" customHeight="1">
      <c r="A211" s="13"/>
      <c r="B211" s="13"/>
      <c r="C211" s="13"/>
      <c r="D211" s="13"/>
      <c r="E211" s="13"/>
      <c r="F211" s="10"/>
      <c r="G211" s="10"/>
      <c r="H211" s="10"/>
      <c r="I211" s="10"/>
      <c r="J211" s="10"/>
      <c r="K211" s="10"/>
    </row>
    <row r="212" spans="1:11" s="9" customFormat="1" ht="21.9" customHeight="1">
      <c r="A212" s="13"/>
      <c r="B212" s="13"/>
      <c r="C212" s="13"/>
      <c r="D212" s="13"/>
      <c r="E212" s="13"/>
      <c r="F212" s="12"/>
      <c r="G212" s="12"/>
      <c r="H212" s="12"/>
      <c r="I212" s="12"/>
      <c r="J212" s="12"/>
      <c r="K212" s="12"/>
    </row>
    <row r="213" spans="1:11" s="9" customFormat="1" ht="21.9" customHeight="1">
      <c r="A213" s="13"/>
      <c r="B213" s="13"/>
      <c r="C213" s="13"/>
      <c r="D213" s="13"/>
      <c r="E213" s="13"/>
      <c r="F213" s="12"/>
      <c r="G213" s="12"/>
      <c r="H213" s="12"/>
      <c r="I213" s="12"/>
      <c r="J213" s="12"/>
      <c r="K213" s="12"/>
    </row>
    <row r="214" spans="1:11" s="9" customFormat="1" ht="21.9" customHeight="1">
      <c r="A214" s="13"/>
      <c r="B214" s="13"/>
      <c r="C214" s="13"/>
      <c r="D214" s="13"/>
      <c r="E214" s="13"/>
      <c r="F214" s="12"/>
      <c r="G214" s="12"/>
      <c r="H214" s="12"/>
      <c r="I214" s="12"/>
      <c r="J214" s="12"/>
      <c r="K214" s="12"/>
    </row>
    <row r="215" spans="1:11" s="9" customFormat="1" ht="21.9" customHeight="1">
      <c r="A215" s="13"/>
      <c r="B215" s="13"/>
      <c r="C215" s="13"/>
      <c r="D215" s="13"/>
      <c r="E215" s="13"/>
      <c r="F215" s="8"/>
      <c r="G215" s="8"/>
      <c r="H215" s="8"/>
      <c r="I215" s="8"/>
      <c r="J215" s="8"/>
      <c r="K215" s="8"/>
    </row>
    <row r="216" spans="1:11" s="9" customFormat="1" ht="21.9" customHeight="1">
      <c r="A216" s="13"/>
      <c r="B216" s="13"/>
      <c r="C216" s="13"/>
      <c r="D216" s="13"/>
      <c r="E216" s="13"/>
      <c r="F216" s="8"/>
      <c r="G216" s="8"/>
      <c r="H216" s="8"/>
      <c r="I216" s="8"/>
      <c r="J216" s="8"/>
      <c r="K216" s="8"/>
    </row>
    <row r="217" spans="1:11" s="9" customFormat="1" ht="21.9" customHeight="1">
      <c r="A217" s="13"/>
      <c r="B217" s="13"/>
      <c r="C217" s="13"/>
      <c r="D217" s="13"/>
      <c r="E217" s="13"/>
      <c r="F217" s="12"/>
      <c r="G217" s="12"/>
      <c r="H217" s="12"/>
      <c r="I217" s="12"/>
      <c r="J217" s="12"/>
      <c r="K217" s="12"/>
    </row>
    <row r="218" spans="1:11" s="9" customFormat="1" ht="21.9" customHeight="1">
      <c r="A218" s="13"/>
      <c r="B218" s="13"/>
      <c r="C218" s="13"/>
      <c r="D218" s="13"/>
      <c r="E218" s="13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3"/>
      <c r="B219" s="13"/>
      <c r="C219" s="13"/>
      <c r="D219" s="13"/>
      <c r="E219" s="13"/>
      <c r="F219" s="8"/>
      <c r="G219" s="8"/>
      <c r="H219" s="8"/>
      <c r="I219" s="8"/>
      <c r="J219" s="8"/>
      <c r="K219" s="8"/>
    </row>
    <row r="220" spans="1:11" s="9" customFormat="1" ht="21.9" customHeight="1">
      <c r="A220" s="13"/>
      <c r="B220" s="13"/>
      <c r="C220" s="13"/>
      <c r="D220" s="13"/>
      <c r="E220" s="13"/>
      <c r="F220" s="8"/>
      <c r="G220" s="8"/>
      <c r="H220" s="8"/>
      <c r="I220" s="8"/>
      <c r="J220" s="8"/>
      <c r="K220" s="8"/>
    </row>
    <row r="221" spans="1:11" s="9" customFormat="1" ht="21.9" customHeight="1">
      <c r="A221" s="13"/>
      <c r="B221" s="13"/>
      <c r="C221" s="13"/>
      <c r="D221" s="13"/>
      <c r="E221" s="13"/>
      <c r="F221" s="8"/>
      <c r="G221" s="8"/>
      <c r="H221" s="8"/>
      <c r="I221" s="8"/>
      <c r="J221" s="8"/>
      <c r="K221" s="8"/>
    </row>
    <row r="222" spans="1:11" s="9" customFormat="1" ht="21.9" customHeight="1">
      <c r="A222" s="13"/>
      <c r="B222" s="13"/>
      <c r="C222" s="13"/>
      <c r="D222" s="13"/>
      <c r="E222" s="13"/>
      <c r="F222" s="8"/>
      <c r="G222" s="8"/>
      <c r="H222" s="8"/>
      <c r="I222" s="8"/>
      <c r="J222" s="8"/>
      <c r="K222" s="8"/>
    </row>
    <row r="223" spans="1:11" s="9" customFormat="1" ht="21.9" customHeight="1">
      <c r="A223" s="13"/>
      <c r="B223" s="13"/>
      <c r="C223" s="13"/>
      <c r="D223" s="13"/>
      <c r="E223" s="13"/>
      <c r="F223" s="8"/>
      <c r="G223" s="8"/>
      <c r="H223" s="8"/>
      <c r="I223" s="8"/>
      <c r="J223" s="8"/>
      <c r="K223" s="8"/>
    </row>
    <row r="224" spans="1:11" s="9" customFormat="1" ht="21.9" customHeight="1">
      <c r="A224" s="13"/>
      <c r="B224" s="13"/>
      <c r="C224" s="13"/>
      <c r="D224" s="13"/>
      <c r="E224" s="13"/>
      <c r="F224" s="8"/>
      <c r="G224" s="8"/>
      <c r="H224" s="8"/>
      <c r="I224" s="8"/>
      <c r="J224" s="8"/>
      <c r="K224" s="8"/>
    </row>
    <row r="225" spans="1:11" s="9" customFormat="1" ht="21.9" customHeight="1">
      <c r="A225" s="13"/>
      <c r="B225" s="13"/>
      <c r="C225" s="13"/>
      <c r="D225" s="13"/>
      <c r="E225" s="13"/>
      <c r="F225" s="11"/>
      <c r="G225" s="11"/>
      <c r="H225" s="11"/>
      <c r="I225" s="11"/>
      <c r="J225" s="11"/>
      <c r="K225" s="11"/>
    </row>
    <row r="226" spans="1:11" s="9" customFormat="1" ht="21.9" customHeight="1">
      <c r="A226" s="13"/>
      <c r="B226" s="13"/>
      <c r="C226" s="13"/>
      <c r="D226" s="13"/>
      <c r="E226" s="13"/>
      <c r="F226" s="11"/>
      <c r="G226" s="11"/>
      <c r="H226" s="11"/>
      <c r="I226" s="11"/>
      <c r="J226" s="11"/>
      <c r="K226" s="11"/>
    </row>
    <row r="227" spans="1:11" s="9" customFormat="1" ht="21.9" customHeight="1">
      <c r="A227" s="13"/>
      <c r="B227" s="13"/>
      <c r="C227" s="13"/>
      <c r="D227" s="13"/>
      <c r="E227" s="13"/>
      <c r="F227" s="11"/>
      <c r="G227" s="11"/>
      <c r="H227" s="11"/>
      <c r="I227" s="11"/>
      <c r="J227" s="11"/>
      <c r="K227" s="11"/>
    </row>
    <row r="228" spans="1:11" s="9" customFormat="1" ht="21.9" customHeight="1">
      <c r="A228" s="13"/>
      <c r="B228" s="13"/>
      <c r="C228" s="13"/>
      <c r="D228" s="13"/>
      <c r="E228" s="13"/>
      <c r="F228" s="11"/>
      <c r="G228" s="11"/>
      <c r="H228" s="11"/>
      <c r="I228" s="11"/>
      <c r="J228" s="11"/>
      <c r="K228" s="11"/>
    </row>
    <row r="229" spans="1:11" s="9" customFormat="1" ht="21.9" customHeight="1">
      <c r="A229" s="15"/>
      <c r="B229" s="15"/>
      <c r="C229" s="15"/>
      <c r="D229" s="15"/>
      <c r="E229" s="15"/>
      <c r="F229" s="12"/>
      <c r="G229" s="12"/>
      <c r="H229" s="12"/>
      <c r="I229" s="12"/>
      <c r="J229" s="12"/>
      <c r="K229" s="12"/>
    </row>
    <row r="230" spans="1:11" s="9" customFormat="1" ht="21.9" customHeight="1">
      <c r="A230" s="15"/>
      <c r="B230" s="15"/>
      <c r="C230" s="15"/>
      <c r="D230" s="15"/>
      <c r="E230" s="15"/>
      <c r="F230" s="11"/>
      <c r="G230" s="11"/>
      <c r="H230" s="11"/>
      <c r="I230" s="11"/>
      <c r="J230" s="11"/>
      <c r="K230" s="11"/>
    </row>
    <row r="231" spans="1:11" s="9" customFormat="1" ht="21.9" customHeight="1">
      <c r="A231" s="15"/>
      <c r="B231" s="15"/>
      <c r="C231" s="15"/>
      <c r="D231" s="15"/>
      <c r="E231" s="15"/>
      <c r="F231" s="12"/>
      <c r="G231" s="12"/>
      <c r="H231" s="12"/>
      <c r="I231" s="12"/>
      <c r="J231" s="12"/>
      <c r="K231" s="12"/>
    </row>
    <row r="232" spans="1:11" s="9" customFormat="1" ht="21.9" customHeight="1">
      <c r="A232" s="15"/>
      <c r="B232" s="15"/>
      <c r="C232" s="15"/>
      <c r="D232" s="15"/>
      <c r="E232" s="15"/>
      <c r="F232" s="12"/>
      <c r="G232" s="12"/>
      <c r="H232" s="12"/>
      <c r="I232" s="12"/>
      <c r="J232" s="12"/>
      <c r="K232" s="12"/>
    </row>
    <row r="233" spans="1:11" s="9" customFormat="1" ht="21.9" customHeight="1">
      <c r="A233" s="15"/>
      <c r="B233" s="15"/>
      <c r="C233" s="15"/>
      <c r="D233" s="15"/>
      <c r="E233" s="15"/>
      <c r="F233" s="12"/>
      <c r="G233" s="12"/>
      <c r="H233" s="12"/>
      <c r="I233" s="12"/>
      <c r="J233" s="12"/>
      <c r="K233" s="12"/>
    </row>
    <row r="234" spans="1:11" s="9" customFormat="1" ht="21.9" customHeight="1">
      <c r="A234" s="15"/>
      <c r="B234" s="15"/>
      <c r="C234" s="15"/>
      <c r="D234" s="15"/>
      <c r="E234" s="15"/>
      <c r="F234" s="12"/>
      <c r="G234" s="12"/>
      <c r="H234" s="12"/>
      <c r="I234" s="12"/>
      <c r="J234" s="12"/>
      <c r="K234" s="12"/>
    </row>
    <row r="235" spans="1:11" s="9" customFormat="1" ht="21.9" customHeight="1">
      <c r="A235" s="15"/>
      <c r="B235" s="15"/>
      <c r="C235" s="15"/>
      <c r="D235" s="15"/>
      <c r="E235" s="15"/>
      <c r="F235" s="12"/>
      <c r="G235" s="12"/>
      <c r="H235" s="12"/>
      <c r="I235" s="12"/>
      <c r="J235" s="12"/>
      <c r="K235" s="12"/>
    </row>
    <row r="236" spans="1:11" s="9" customFormat="1" ht="21.9" customHeight="1">
      <c r="A236" s="15"/>
      <c r="B236" s="15"/>
      <c r="C236" s="15"/>
      <c r="D236" s="15"/>
      <c r="E236" s="15"/>
      <c r="F236" s="12"/>
      <c r="G236" s="12"/>
      <c r="H236" s="12"/>
      <c r="I236" s="12"/>
      <c r="J236" s="12"/>
      <c r="K236" s="12"/>
    </row>
    <row r="237" spans="1:11" s="9" customFormat="1" ht="21.9" customHeight="1">
      <c r="A237" s="15"/>
      <c r="B237" s="15"/>
      <c r="C237" s="15"/>
      <c r="D237" s="15"/>
      <c r="E237" s="15"/>
      <c r="F237" s="8"/>
      <c r="G237" s="8"/>
      <c r="H237" s="8"/>
      <c r="I237" s="8"/>
      <c r="J237" s="8"/>
      <c r="K237" s="8"/>
    </row>
    <row r="238" spans="1:11" s="9" customFormat="1" ht="21.9" customHeight="1">
      <c r="A238" s="15"/>
      <c r="B238" s="15"/>
      <c r="C238" s="15"/>
      <c r="D238" s="15"/>
      <c r="E238" s="15"/>
      <c r="F238" s="12"/>
      <c r="G238" s="12"/>
      <c r="H238" s="12"/>
      <c r="I238" s="12"/>
      <c r="J238" s="12"/>
      <c r="K238" s="12"/>
    </row>
    <row r="239" spans="1:11" s="9" customFormat="1" ht="21.9" customHeight="1">
      <c r="A239" s="15"/>
      <c r="B239" s="15"/>
      <c r="C239" s="15"/>
      <c r="D239" s="15"/>
      <c r="E239" s="15"/>
      <c r="F239" s="12"/>
      <c r="G239" s="12"/>
      <c r="H239" s="12"/>
      <c r="I239" s="12"/>
      <c r="J239" s="12"/>
      <c r="K239" s="12"/>
    </row>
    <row r="240" spans="1:11" s="9" customFormat="1" ht="21.9" customHeight="1">
      <c r="A240" s="15"/>
      <c r="B240" s="15"/>
      <c r="C240" s="15"/>
      <c r="D240" s="15"/>
      <c r="E240" s="15"/>
      <c r="F240" s="12"/>
      <c r="G240" s="12"/>
      <c r="H240" s="12"/>
      <c r="I240" s="12"/>
      <c r="J240" s="12"/>
      <c r="K240" s="12"/>
    </row>
    <row r="241" spans="1:11" s="9" customFormat="1" ht="21.9" customHeight="1">
      <c r="A241" s="15"/>
      <c r="B241" s="15"/>
      <c r="C241" s="15"/>
      <c r="D241" s="15"/>
      <c r="E241" s="15"/>
      <c r="F241" s="8"/>
      <c r="G241" s="8"/>
      <c r="H241" s="8"/>
      <c r="I241" s="8"/>
      <c r="J241" s="8"/>
      <c r="K241" s="8"/>
    </row>
    <row r="242" spans="1:11" s="9" customFormat="1" ht="21.9" customHeight="1">
      <c r="A242" s="15"/>
      <c r="B242" s="15"/>
      <c r="C242" s="15"/>
      <c r="D242" s="15"/>
      <c r="E242" s="15"/>
      <c r="F242" s="8"/>
      <c r="G242" s="8"/>
      <c r="H242" s="8"/>
      <c r="I242" s="8"/>
      <c r="J242" s="8"/>
      <c r="K242" s="8"/>
    </row>
    <row r="243" spans="1:11" s="9" customFormat="1" ht="21.9" customHeight="1">
      <c r="A243" s="15"/>
      <c r="B243" s="15"/>
      <c r="C243" s="15"/>
      <c r="D243" s="15"/>
      <c r="E243" s="15"/>
      <c r="F243" s="8"/>
      <c r="G243" s="8"/>
      <c r="H243" s="8"/>
      <c r="I243" s="8"/>
      <c r="J243" s="8"/>
      <c r="K243" s="8"/>
    </row>
    <row r="244" spans="1:11" s="9" customFormat="1" ht="21.9" customHeight="1">
      <c r="A244" s="15"/>
      <c r="B244" s="15"/>
      <c r="C244" s="15"/>
      <c r="D244" s="15"/>
      <c r="E244" s="15"/>
      <c r="F244" s="8"/>
      <c r="G244" s="8"/>
      <c r="H244" s="8"/>
      <c r="I244" s="8"/>
      <c r="J244" s="8"/>
      <c r="K244" s="8"/>
    </row>
    <row r="245" spans="1:11" s="9" customFormat="1" ht="21.9" customHeight="1">
      <c r="A245" s="15"/>
      <c r="B245" s="15"/>
      <c r="C245" s="15"/>
      <c r="D245" s="15"/>
      <c r="E245" s="15"/>
      <c r="F245" s="8"/>
      <c r="G245" s="8"/>
      <c r="H245" s="8"/>
      <c r="I245" s="8"/>
      <c r="J245" s="8"/>
      <c r="K245" s="8"/>
    </row>
    <row r="246" spans="1:11" s="9" customFormat="1" ht="21.9" customHeight="1">
      <c r="A246" s="15"/>
      <c r="B246" s="15"/>
      <c r="C246" s="15"/>
      <c r="D246" s="15"/>
      <c r="E246" s="15"/>
      <c r="F246" s="8"/>
      <c r="G246" s="8"/>
      <c r="H246" s="8"/>
      <c r="I246" s="8"/>
      <c r="J246" s="8"/>
      <c r="K246" s="8"/>
    </row>
    <row r="247" spans="1:11" s="9" customFormat="1" ht="21.9" customHeight="1">
      <c r="A247" s="15"/>
      <c r="B247" s="15"/>
      <c r="C247" s="15"/>
      <c r="D247" s="15"/>
      <c r="E247" s="15"/>
      <c r="F247" s="11"/>
      <c r="G247" s="11"/>
      <c r="H247" s="11"/>
      <c r="I247" s="11"/>
      <c r="J247" s="11"/>
      <c r="K247" s="11"/>
    </row>
    <row r="248" spans="1:11" s="9" customFormat="1" ht="21.9" customHeight="1">
      <c r="A248" s="15"/>
      <c r="B248" s="15"/>
      <c r="C248" s="15"/>
      <c r="D248" s="15"/>
      <c r="E248" s="15"/>
      <c r="F248" s="11"/>
      <c r="G248" s="11"/>
      <c r="H248" s="11"/>
      <c r="I248" s="11"/>
      <c r="J248" s="11"/>
      <c r="K248" s="11"/>
    </row>
    <row r="249" spans="1:11" s="9" customFormat="1" ht="21.9" customHeight="1">
      <c r="A249" s="15"/>
      <c r="B249" s="15"/>
      <c r="C249" s="15"/>
      <c r="D249" s="15"/>
      <c r="E249" s="15"/>
      <c r="F249" s="11"/>
      <c r="G249" s="11"/>
      <c r="H249" s="11"/>
      <c r="I249" s="11"/>
      <c r="J249" s="11"/>
      <c r="K249" s="11"/>
    </row>
    <row r="250" spans="1:11" s="9" customFormat="1" ht="21.9" customHeight="1">
      <c r="A250" s="15"/>
      <c r="B250" s="15"/>
      <c r="C250" s="15"/>
      <c r="D250" s="15"/>
      <c r="E250" s="15"/>
      <c r="F250" s="11"/>
      <c r="G250" s="11"/>
      <c r="H250" s="11"/>
      <c r="I250" s="11"/>
      <c r="J250" s="11"/>
      <c r="K250" s="11"/>
    </row>
    <row r="251" spans="1:11" s="9" customFormat="1" ht="21.9" customHeight="1">
      <c r="A251" s="15"/>
      <c r="B251" s="15"/>
      <c r="C251" s="15"/>
      <c r="D251" s="15"/>
      <c r="E251" s="15"/>
      <c r="F251" s="11"/>
      <c r="G251" s="11"/>
      <c r="H251" s="11"/>
      <c r="I251" s="11"/>
      <c r="J251" s="11"/>
      <c r="K251" s="11"/>
    </row>
    <row r="252" spans="1:11" s="9" customFormat="1" ht="21.9" customHeight="1">
      <c r="A252" s="15"/>
      <c r="B252" s="15"/>
      <c r="C252" s="15"/>
      <c r="D252" s="15"/>
      <c r="E252" s="15"/>
      <c r="F252" s="11"/>
      <c r="G252" s="11"/>
      <c r="H252" s="11"/>
      <c r="I252" s="11"/>
      <c r="J252" s="11"/>
      <c r="K252" s="11"/>
    </row>
    <row r="253" spans="1:11" s="9" customFormat="1" ht="21.9" customHeight="1">
      <c r="A253" s="15"/>
      <c r="B253" s="15"/>
      <c r="C253" s="15"/>
      <c r="D253" s="15"/>
      <c r="E253" s="15"/>
      <c r="F253" s="8"/>
      <c r="G253" s="8"/>
      <c r="H253" s="8"/>
      <c r="I253" s="8"/>
      <c r="J253" s="8"/>
      <c r="K253" s="8"/>
    </row>
    <row r="254" spans="1:11" s="9" customFormat="1" ht="21.9" customHeight="1">
      <c r="A254" s="15"/>
      <c r="B254" s="15"/>
      <c r="C254" s="15"/>
      <c r="D254" s="15"/>
      <c r="E254" s="15"/>
      <c r="F254" s="8"/>
      <c r="G254" s="8"/>
      <c r="H254" s="8"/>
      <c r="I254" s="8"/>
      <c r="J254" s="8"/>
      <c r="K254" s="8"/>
    </row>
    <row r="255" spans="1:11" s="9" customFormat="1" ht="21.9" customHeight="1">
      <c r="A255" s="15"/>
      <c r="B255" s="15"/>
      <c r="C255" s="15"/>
      <c r="D255" s="15"/>
      <c r="E255" s="15"/>
      <c r="F255" s="8"/>
      <c r="G255" s="8"/>
      <c r="H255" s="8"/>
      <c r="I255" s="8"/>
      <c r="J255" s="8"/>
      <c r="K255" s="8"/>
    </row>
    <row r="256" spans="1:11" s="9" customFormat="1" ht="21.9" customHeight="1">
      <c r="A256" s="15"/>
      <c r="B256" s="15"/>
      <c r="C256" s="15"/>
      <c r="D256" s="15"/>
      <c r="E256" s="15"/>
      <c r="F256" s="8"/>
      <c r="G256" s="8"/>
      <c r="H256" s="8"/>
      <c r="I256" s="8"/>
      <c r="J256" s="8"/>
      <c r="K256" s="8"/>
    </row>
    <row r="257" spans="1:11" s="9" customFormat="1" ht="21.9" customHeight="1">
      <c r="A257" s="15"/>
      <c r="B257" s="15"/>
      <c r="C257" s="15"/>
      <c r="D257" s="15"/>
      <c r="E257" s="15"/>
      <c r="F257" s="8"/>
      <c r="G257" s="8"/>
      <c r="H257" s="8"/>
      <c r="I257" s="8"/>
      <c r="J257" s="8"/>
      <c r="K257" s="8"/>
    </row>
    <row r="258" spans="1:11" s="9" customFormat="1" ht="21.9" customHeight="1">
      <c r="A258" s="15"/>
      <c r="B258" s="15"/>
      <c r="C258" s="15"/>
      <c r="D258" s="15"/>
      <c r="E258" s="15"/>
      <c r="F258" s="8"/>
      <c r="G258" s="8"/>
      <c r="H258" s="8"/>
      <c r="I258" s="8"/>
      <c r="J258" s="8"/>
      <c r="K258" s="8"/>
    </row>
    <row r="259" spans="1:11" s="9" customFormat="1" ht="21.9" customHeight="1">
      <c r="A259" s="15"/>
      <c r="B259" s="15"/>
      <c r="C259" s="15"/>
      <c r="D259" s="15"/>
      <c r="E259" s="15"/>
      <c r="F259" s="8"/>
      <c r="G259" s="8"/>
      <c r="H259" s="8"/>
      <c r="I259" s="8"/>
      <c r="J259" s="8"/>
      <c r="K259" s="8"/>
    </row>
    <row r="260" spans="1:11" s="9" customFormat="1" ht="21.9" customHeight="1">
      <c r="A260" s="6"/>
      <c r="B260" s="6"/>
      <c r="C260" s="6"/>
      <c r="D260" s="6"/>
      <c r="E260" s="6"/>
      <c r="F260" s="12"/>
      <c r="G260" s="12"/>
      <c r="H260" s="12"/>
      <c r="I260" s="12"/>
      <c r="J260" s="12"/>
      <c r="K260" s="12"/>
    </row>
    <row r="261" spans="1:11" s="9" customFormat="1" ht="21.9" customHeight="1">
      <c r="A261" s="6"/>
      <c r="B261" s="6"/>
      <c r="C261" s="6"/>
      <c r="D261" s="6"/>
      <c r="E261" s="6"/>
      <c r="F261" s="12"/>
      <c r="G261" s="12"/>
      <c r="H261" s="12"/>
      <c r="I261" s="12"/>
      <c r="J261" s="12"/>
      <c r="K261" s="12"/>
    </row>
    <row r="262" spans="1:11" s="9" customFormat="1" ht="21.9" customHeight="1">
      <c r="A262" s="6"/>
      <c r="B262" s="6"/>
      <c r="C262" s="6"/>
      <c r="D262" s="6"/>
      <c r="E262" s="6"/>
      <c r="F262" s="11"/>
      <c r="G262" s="11"/>
      <c r="H262" s="11"/>
      <c r="I262" s="11"/>
      <c r="J262" s="11"/>
      <c r="K262" s="11"/>
    </row>
    <row r="263" spans="1:11" s="9" customFormat="1" ht="21.9" customHeight="1">
      <c r="A263" s="6"/>
      <c r="B263" s="6"/>
      <c r="C263" s="6"/>
      <c r="D263" s="6"/>
      <c r="E263" s="6"/>
      <c r="F263" s="12"/>
      <c r="G263" s="12"/>
      <c r="H263" s="12"/>
      <c r="I263" s="12"/>
      <c r="J263" s="12"/>
      <c r="K263" s="12"/>
    </row>
    <row r="264" spans="1:11" s="9" customFormat="1" ht="21.9" customHeight="1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21.9" customHeight="1">
      <c r="A265" s="6"/>
      <c r="B265" s="6"/>
      <c r="C265" s="6"/>
      <c r="D265" s="6"/>
      <c r="E265" s="6"/>
      <c r="F265" s="8"/>
      <c r="G265" s="8"/>
      <c r="H265" s="8"/>
      <c r="I265" s="8"/>
      <c r="J265" s="8"/>
      <c r="K265" s="8"/>
    </row>
    <row r="266" spans="1:11" s="9" customFormat="1" ht="21.9" customHeight="1">
      <c r="A266" s="6"/>
      <c r="B266" s="6"/>
      <c r="C266" s="6"/>
      <c r="D266" s="6"/>
      <c r="E266" s="6"/>
      <c r="F266" s="11"/>
      <c r="G266" s="11"/>
      <c r="H266" s="11"/>
      <c r="I266" s="11"/>
      <c r="J266" s="11"/>
      <c r="K266" s="11"/>
    </row>
    <row r="267" spans="1:11" s="9" customFormat="1" ht="21.9" customHeight="1">
      <c r="A267" s="6"/>
      <c r="B267" s="6"/>
      <c r="C267" s="6"/>
      <c r="D267" s="6"/>
      <c r="E267" s="6"/>
      <c r="F267" s="12"/>
      <c r="G267" s="12"/>
      <c r="H267" s="12"/>
      <c r="I267" s="12"/>
      <c r="J267" s="12"/>
      <c r="K267" s="12"/>
    </row>
    <row r="268" spans="1:11" s="9" customFormat="1" ht="21.9" customHeight="1">
      <c r="A268" s="6"/>
      <c r="B268" s="6"/>
      <c r="C268" s="6"/>
      <c r="D268" s="6"/>
      <c r="E268" s="6"/>
      <c r="F268" s="11"/>
      <c r="G268" s="11"/>
      <c r="H268" s="11"/>
      <c r="I268" s="11"/>
      <c r="J268" s="11"/>
      <c r="K268" s="11"/>
    </row>
    <row r="269" spans="1:11" s="9" customFormat="1" ht="21.9" customHeight="1">
      <c r="A269" s="6"/>
      <c r="B269" s="6"/>
      <c r="C269" s="6"/>
      <c r="D269" s="6"/>
      <c r="E269" s="6"/>
      <c r="F269" s="11"/>
      <c r="G269" s="11"/>
      <c r="H269" s="11"/>
      <c r="I269" s="11"/>
      <c r="J269" s="11"/>
      <c r="K269" s="11"/>
    </row>
    <row r="270" spans="1:11" s="9" customFormat="1" ht="21.9" customHeight="1">
      <c r="A270" s="6"/>
      <c r="B270" s="6"/>
      <c r="C270" s="6"/>
      <c r="D270" s="6"/>
      <c r="E270" s="6"/>
      <c r="F270" s="11"/>
      <c r="G270" s="11"/>
      <c r="H270" s="11"/>
      <c r="I270" s="11"/>
      <c r="J270" s="11"/>
      <c r="K270" s="11"/>
    </row>
    <row r="271" spans="1:11" s="9" customFormat="1" ht="21.9" customHeight="1">
      <c r="A271" s="6"/>
      <c r="B271" s="6"/>
      <c r="C271" s="6"/>
      <c r="D271" s="6"/>
      <c r="E271" s="6"/>
      <c r="F271" s="11"/>
      <c r="G271" s="11"/>
      <c r="H271" s="11"/>
      <c r="I271" s="11"/>
      <c r="J271" s="11"/>
      <c r="K271" s="11"/>
    </row>
    <row r="272" spans="1:11" s="9" customFormat="1" ht="21.9" customHeight="1">
      <c r="A272" s="6"/>
      <c r="B272" s="6"/>
      <c r="C272" s="6"/>
      <c r="D272" s="6"/>
      <c r="E272" s="6"/>
      <c r="F272" s="11"/>
      <c r="G272" s="11"/>
      <c r="H272" s="11"/>
      <c r="I272" s="11"/>
      <c r="J272" s="11"/>
      <c r="K272" s="11"/>
    </row>
    <row r="273" spans="1:11" s="9" customFormat="1" ht="21.9" customHeight="1">
      <c r="A273" s="6"/>
      <c r="B273" s="6"/>
      <c r="C273" s="6"/>
      <c r="D273" s="6"/>
      <c r="E273" s="6"/>
      <c r="F273" s="11"/>
      <c r="G273" s="11"/>
      <c r="H273" s="11"/>
      <c r="I273" s="11"/>
      <c r="J273" s="11"/>
      <c r="K273" s="11"/>
    </row>
    <row r="274" spans="1:11" s="9" customFormat="1" ht="21.9" customHeight="1">
      <c r="A274" s="6"/>
      <c r="B274" s="6"/>
      <c r="C274" s="6"/>
      <c r="D274" s="6"/>
      <c r="E274" s="6"/>
      <c r="F274" s="11"/>
      <c r="G274" s="11"/>
      <c r="H274" s="11"/>
      <c r="I274" s="11"/>
      <c r="J274" s="11"/>
      <c r="K274" s="11"/>
    </row>
    <row r="275" spans="1:11" s="9" customFormat="1" ht="21.9" customHeight="1">
      <c r="A275" s="6"/>
      <c r="B275" s="6"/>
      <c r="C275" s="6"/>
      <c r="D275" s="6"/>
      <c r="E275" s="6"/>
      <c r="F275" s="11"/>
      <c r="G275" s="11"/>
      <c r="H275" s="11"/>
      <c r="I275" s="11"/>
      <c r="J275" s="11"/>
      <c r="K275" s="11"/>
    </row>
    <row r="276" spans="1:11" s="9" customFormat="1" ht="21.9" customHeight="1">
      <c r="A276" s="6"/>
      <c r="B276" s="6"/>
      <c r="C276" s="6"/>
      <c r="D276" s="6"/>
      <c r="E276" s="6"/>
      <c r="F276" s="8"/>
      <c r="G276" s="8"/>
      <c r="H276" s="8"/>
      <c r="I276" s="8"/>
      <c r="J276" s="8"/>
      <c r="K276" s="8"/>
    </row>
    <row r="277" spans="1:11" s="9" customFormat="1" ht="21.9" customHeight="1">
      <c r="A277" s="6"/>
      <c r="B277" s="6"/>
      <c r="C277" s="6"/>
      <c r="D277" s="6"/>
      <c r="E277" s="6"/>
      <c r="F277" s="8"/>
      <c r="G277" s="8"/>
      <c r="H277" s="8"/>
      <c r="I277" s="8"/>
      <c r="J277" s="8"/>
      <c r="K277" s="8"/>
    </row>
    <row r="278" spans="1:11" s="9" customFormat="1" ht="21.9" customHeight="1">
      <c r="A278" s="6"/>
      <c r="B278" s="6"/>
      <c r="C278" s="6"/>
      <c r="D278" s="6"/>
      <c r="E278" s="6"/>
      <c r="F278" s="8"/>
      <c r="G278" s="8"/>
      <c r="H278" s="8"/>
      <c r="I278" s="8"/>
      <c r="J278" s="8"/>
      <c r="K278" s="8"/>
    </row>
    <row r="279" spans="1:11" s="9" customFormat="1" ht="21.9" customHeight="1">
      <c r="A279" s="6"/>
      <c r="B279" s="6"/>
      <c r="C279" s="6"/>
      <c r="D279" s="6"/>
      <c r="E279" s="6"/>
      <c r="F279" s="8"/>
      <c r="G279" s="8"/>
      <c r="H279" s="8"/>
      <c r="I279" s="8"/>
      <c r="J279" s="8"/>
      <c r="K279" s="8"/>
    </row>
    <row r="280" spans="1:11" s="9" customFormat="1" ht="21.9" customHeight="1">
      <c r="A280" s="6"/>
      <c r="B280" s="6"/>
      <c r="C280" s="6"/>
      <c r="D280" s="6"/>
      <c r="E280" s="6"/>
      <c r="F280" s="8"/>
      <c r="G280" s="8"/>
      <c r="H280" s="8"/>
      <c r="I280" s="8"/>
      <c r="J280" s="8"/>
      <c r="K280" s="8"/>
    </row>
    <row r="281" spans="1:11" s="9" customFormat="1" ht="21.9" customHeight="1">
      <c r="A281" s="6"/>
      <c r="B281" s="6"/>
      <c r="C281" s="6"/>
      <c r="D281" s="6"/>
      <c r="E281" s="6"/>
      <c r="F281" s="8"/>
      <c r="G281" s="8"/>
      <c r="H281" s="8"/>
      <c r="I281" s="8"/>
      <c r="J281" s="8"/>
      <c r="K281" s="8"/>
    </row>
    <row r="282" spans="1:11" s="9" customFormat="1" ht="13.2">
      <c r="A282" s="6"/>
      <c r="B282" s="6"/>
      <c r="C282" s="6"/>
      <c r="D282" s="6"/>
      <c r="E282" s="6"/>
      <c r="F282" s="12"/>
      <c r="G282" s="12"/>
      <c r="H282" s="12"/>
      <c r="I282" s="12"/>
      <c r="J282" s="12"/>
      <c r="K282" s="12"/>
    </row>
    <row r="283" spans="1:11" s="9" customFormat="1" ht="13.2">
      <c r="A283" s="6"/>
      <c r="B283" s="6"/>
      <c r="C283" s="6"/>
      <c r="D283" s="6"/>
      <c r="E283" s="6"/>
      <c r="F283" s="10"/>
      <c r="G283" s="10"/>
      <c r="H283" s="10"/>
      <c r="I283" s="10"/>
      <c r="J283" s="10"/>
      <c r="K283" s="10"/>
    </row>
    <row r="284" spans="1:11" s="9" customFormat="1" ht="13.2">
      <c r="A284" s="6"/>
      <c r="B284" s="6"/>
      <c r="C284" s="6"/>
      <c r="D284" s="6"/>
      <c r="E284" s="6"/>
      <c r="F284" s="12"/>
      <c r="G284" s="12"/>
      <c r="H284" s="12"/>
      <c r="I284" s="12"/>
      <c r="J284" s="12"/>
      <c r="K284" s="12"/>
    </row>
    <row r="285" spans="1:11" s="9" customFormat="1" ht="13.2">
      <c r="A285" s="6"/>
      <c r="B285" s="6"/>
      <c r="C285" s="6"/>
      <c r="D285" s="6"/>
      <c r="E285" s="6"/>
      <c r="F285" s="12"/>
      <c r="G285" s="12"/>
      <c r="H285" s="12"/>
      <c r="I285" s="12"/>
      <c r="J285" s="12"/>
      <c r="K285" s="12"/>
    </row>
    <row r="286" spans="1:11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  <c r="K286" s="8"/>
    </row>
    <row r="287" spans="1:11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  <c r="K287" s="8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11"/>
      <c r="G290" s="11"/>
      <c r="H290" s="11"/>
      <c r="I290" s="11"/>
      <c r="J290" s="11"/>
      <c r="K290" s="11"/>
    </row>
    <row r="291" spans="1:11" s="9" customFormat="1" ht="13.2">
      <c r="A291" s="6"/>
      <c r="B291" s="6"/>
      <c r="C291" s="6"/>
      <c r="D291" s="6"/>
      <c r="E291" s="6"/>
      <c r="F291" s="12"/>
      <c r="G291" s="12"/>
      <c r="H291" s="12"/>
      <c r="I291" s="12"/>
      <c r="J291" s="12"/>
      <c r="K291" s="12"/>
    </row>
    <row r="292" spans="1:11" s="9" customFormat="1" ht="13.2">
      <c r="A292" s="6"/>
      <c r="B292" s="6"/>
      <c r="C292" s="6"/>
      <c r="D292" s="6"/>
      <c r="E292" s="6"/>
      <c r="F292" s="10"/>
      <c r="G292" s="10"/>
      <c r="H292" s="10"/>
      <c r="I292" s="10"/>
      <c r="J292" s="10"/>
      <c r="K292" s="10"/>
    </row>
    <row r="293" spans="1:11" s="9" customFormat="1" ht="13.2">
      <c r="A293" s="6"/>
      <c r="B293" s="6"/>
      <c r="C293" s="6"/>
      <c r="D293" s="6"/>
      <c r="E293" s="6"/>
      <c r="F293" s="11"/>
      <c r="G293" s="11"/>
      <c r="H293" s="11"/>
      <c r="I293" s="11"/>
      <c r="J293" s="11"/>
      <c r="K293" s="11"/>
    </row>
    <row r="294" spans="1:11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  <c r="K294" s="8"/>
    </row>
    <row r="295" spans="1:11" s="9" customFormat="1" ht="13.2">
      <c r="A295" s="6"/>
      <c r="B295" s="6"/>
      <c r="C295" s="6"/>
      <c r="D295" s="6"/>
      <c r="E295" s="6"/>
      <c r="F295" s="7"/>
      <c r="G295" s="7"/>
      <c r="H295" s="7"/>
      <c r="I295" s="7"/>
      <c r="J295" s="7"/>
      <c r="K295" s="7"/>
    </row>
    <row r="296" spans="1:11" s="9" customFormat="1" ht="13.2">
      <c r="A296" s="6"/>
      <c r="B296" s="6"/>
      <c r="C296" s="6"/>
      <c r="D296" s="6"/>
      <c r="E296" s="6"/>
      <c r="F296" s="7"/>
      <c r="G296" s="7"/>
      <c r="H296" s="7"/>
      <c r="I296" s="7"/>
      <c r="J296" s="7"/>
      <c r="K296" s="7"/>
    </row>
    <row r="297" spans="1:11" s="9" customFormat="1" ht="13.2">
      <c r="A297" s="6"/>
      <c r="B297" s="6"/>
      <c r="C297" s="6"/>
      <c r="D297" s="6"/>
      <c r="E297" s="6"/>
      <c r="F297" s="7"/>
      <c r="G297" s="7"/>
      <c r="H297" s="7"/>
      <c r="I297" s="7"/>
      <c r="J297" s="7"/>
      <c r="K297" s="7"/>
    </row>
    <row r="298" spans="1:11" s="9" customFormat="1" ht="13.2">
      <c r="A298" s="6"/>
      <c r="B298" s="6"/>
      <c r="C298" s="6"/>
      <c r="D298" s="6"/>
      <c r="E298" s="6"/>
      <c r="F298" s="7"/>
      <c r="G298" s="7"/>
      <c r="H298" s="7"/>
      <c r="I298" s="7"/>
      <c r="J298" s="7"/>
      <c r="K298" s="7"/>
    </row>
    <row r="299" spans="1:11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  <c r="K299" s="8"/>
    </row>
    <row r="300" spans="1:11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  <c r="K300" s="8"/>
    </row>
    <row r="301" spans="1:11" s="9" customFormat="1" ht="13.2">
      <c r="A301" s="6"/>
      <c r="B301" s="6"/>
      <c r="C301" s="6"/>
      <c r="D301" s="6"/>
      <c r="E301" s="6"/>
      <c r="F301" s="8"/>
      <c r="G301" s="8"/>
      <c r="H301" s="8"/>
      <c r="I301" s="8"/>
      <c r="J301" s="8"/>
      <c r="K301" s="8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  <c r="K303" s="8"/>
    </row>
    <row r="304" spans="1:11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  <c r="K304" s="8"/>
    </row>
    <row r="305" spans="1:11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  <c r="K305" s="8"/>
    </row>
    <row r="306" spans="1:11" s="9" customFormat="1" ht="13.2">
      <c r="A306" s="6"/>
      <c r="B306" s="6"/>
      <c r="C306" s="6"/>
      <c r="D306" s="6"/>
      <c r="E306" s="6"/>
      <c r="F306" s="8"/>
      <c r="G306" s="8"/>
      <c r="H306" s="8"/>
      <c r="I306" s="8"/>
      <c r="J306" s="8"/>
      <c r="K306" s="8"/>
    </row>
    <row r="307" spans="1:11" s="9" customFormat="1" ht="13.2">
      <c r="A307" s="6"/>
      <c r="B307" s="6"/>
      <c r="C307" s="6"/>
      <c r="D307" s="6"/>
      <c r="E307" s="6"/>
      <c r="F307" s="12"/>
      <c r="G307" s="12"/>
      <c r="H307" s="12"/>
      <c r="I307" s="12"/>
      <c r="J307" s="12"/>
      <c r="K307" s="12"/>
    </row>
    <row r="308" spans="1:11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  <c r="K308" s="11"/>
    </row>
    <row r="309" spans="1:11" s="9" customFormat="1" ht="13.2">
      <c r="A309" s="6"/>
      <c r="B309" s="6"/>
      <c r="C309" s="6"/>
      <c r="D309" s="6"/>
      <c r="E309" s="6"/>
      <c r="F309" s="12"/>
      <c r="G309" s="12"/>
      <c r="H309" s="12"/>
      <c r="I309" s="12"/>
      <c r="J309" s="12"/>
      <c r="K309" s="12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12"/>
      <c r="G311" s="12"/>
      <c r="H311" s="12"/>
      <c r="I311" s="12"/>
      <c r="J311" s="12"/>
      <c r="K311" s="12"/>
    </row>
    <row r="312" spans="1:11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  <c r="K312" s="8"/>
    </row>
    <row r="313" spans="1:11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  <c r="K313" s="8"/>
    </row>
    <row r="314" spans="1:11" s="9" customFormat="1" ht="13.2">
      <c r="A314" s="6"/>
      <c r="B314" s="6"/>
      <c r="C314" s="6"/>
      <c r="D314" s="6"/>
      <c r="E314" s="6"/>
      <c r="F314" s="12"/>
      <c r="G314" s="12"/>
      <c r="H314" s="12"/>
      <c r="I314" s="12"/>
      <c r="J314" s="12"/>
      <c r="K314" s="12"/>
    </row>
    <row r="315" spans="1:11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  <c r="K315" s="8"/>
    </row>
    <row r="316" spans="1:11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</row>
    <row r="317" spans="1:11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  <c r="K317" s="11"/>
    </row>
    <row r="318" spans="1:11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  <c r="K318" s="8"/>
    </row>
    <row r="319" spans="1:11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  <c r="K319" s="8"/>
    </row>
    <row r="320" spans="1:11" s="9" customFormat="1" ht="13.2">
      <c r="A320" s="6"/>
      <c r="B320" s="6"/>
      <c r="C320" s="6"/>
      <c r="D320" s="6"/>
      <c r="E320" s="6"/>
      <c r="F320" s="8"/>
      <c r="G320" s="8"/>
      <c r="H320" s="8"/>
      <c r="I320" s="8"/>
      <c r="J320" s="8"/>
      <c r="K320" s="8"/>
    </row>
    <row r="321" spans="1:11" s="9" customFormat="1" ht="13.2">
      <c r="A321" s="6"/>
      <c r="B321" s="6"/>
      <c r="C321" s="6"/>
      <c r="D321" s="6"/>
      <c r="E321" s="6"/>
      <c r="F321" s="11"/>
      <c r="G321" s="11"/>
      <c r="H321" s="11"/>
      <c r="I321" s="11"/>
      <c r="J321" s="11"/>
      <c r="K321" s="11"/>
    </row>
    <row r="322" spans="1:11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  <c r="K322" s="8"/>
    </row>
    <row r="323" spans="1:11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  <c r="K323" s="8"/>
    </row>
    <row r="324" spans="1:11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  <c r="K324" s="8"/>
    </row>
    <row r="325" spans="1:11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  <c r="K325" s="8"/>
    </row>
    <row r="326" spans="1:11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</row>
    <row r="327" spans="1:11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</row>
    <row r="328" spans="1:11" s="9" customFormat="1" ht="13.2">
      <c r="A328" s="6"/>
      <c r="B328" s="6"/>
      <c r="C328" s="6"/>
      <c r="D328" s="6"/>
      <c r="E328" s="6"/>
      <c r="F328" s="10"/>
      <c r="G328" s="10"/>
      <c r="H328" s="10"/>
      <c r="I328" s="10"/>
      <c r="J328" s="10"/>
      <c r="K328" s="10"/>
    </row>
    <row r="329" spans="1:11" s="9" customFormat="1" ht="13.2">
      <c r="A329" s="6"/>
      <c r="B329" s="6"/>
      <c r="C329" s="6"/>
      <c r="D329" s="6"/>
      <c r="E329" s="6"/>
      <c r="F329" s="11"/>
      <c r="G329" s="11"/>
      <c r="H329" s="11"/>
      <c r="I329" s="11"/>
      <c r="J329" s="11"/>
      <c r="K329" s="11"/>
    </row>
    <row r="330" spans="1:11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  <c r="K330" s="8"/>
    </row>
    <row r="331" spans="1:11" s="9" customFormat="1" ht="13.2">
      <c r="A331" s="6"/>
      <c r="B331" s="6"/>
      <c r="C331" s="6"/>
      <c r="D331" s="6"/>
      <c r="E331" s="6"/>
      <c r="F331" s="11"/>
      <c r="G331" s="11"/>
      <c r="H331" s="11"/>
      <c r="I331" s="11"/>
      <c r="J331" s="11"/>
      <c r="K331" s="11"/>
    </row>
    <row r="332" spans="1:11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  <c r="K332" s="8"/>
    </row>
    <row r="333" spans="1:11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  <c r="K333" s="8"/>
    </row>
    <row r="334" spans="1:11" s="9" customFormat="1" ht="13.2">
      <c r="A334" s="6"/>
      <c r="B334" s="6"/>
      <c r="C334" s="6"/>
      <c r="D334" s="6"/>
      <c r="E334" s="6"/>
      <c r="F334" s="11"/>
      <c r="G334" s="11"/>
      <c r="H334" s="11"/>
      <c r="I334" s="11"/>
      <c r="J334" s="11"/>
      <c r="K334" s="11"/>
    </row>
    <row r="335" spans="1:11" s="9" customFormat="1" ht="13.2">
      <c r="A335" s="6"/>
      <c r="B335" s="6"/>
      <c r="C335" s="6"/>
      <c r="D335" s="6"/>
      <c r="E335" s="6"/>
      <c r="F335" s="11"/>
      <c r="G335" s="11"/>
      <c r="H335" s="11"/>
      <c r="I335" s="11"/>
      <c r="J335" s="11"/>
      <c r="K335" s="11"/>
    </row>
    <row r="336" spans="1:11" s="9" customFormat="1" ht="13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spans="1:11" s="9" customFormat="1" ht="13.2">
      <c r="A337" s="6"/>
      <c r="B337" s="6"/>
      <c r="C337" s="6"/>
      <c r="D337" s="6"/>
      <c r="E337" s="6"/>
      <c r="F337" s="11"/>
      <c r="G337" s="11"/>
      <c r="H337" s="11"/>
      <c r="I337" s="11"/>
      <c r="J337" s="11"/>
      <c r="K337" s="11"/>
    </row>
    <row r="338" spans="1:11" s="9" customFormat="1" ht="13.2">
      <c r="A338" s="6"/>
      <c r="B338" s="6"/>
      <c r="C338" s="6"/>
      <c r="D338" s="6"/>
      <c r="E338" s="6"/>
      <c r="F338" s="11"/>
      <c r="G338" s="11"/>
      <c r="H338" s="11"/>
      <c r="I338" s="11"/>
      <c r="J338" s="11"/>
      <c r="K338" s="11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  <c r="K343" s="8"/>
    </row>
    <row r="344" spans="1:11" s="9" customFormat="1" ht="13.2">
      <c r="A344" s="6"/>
      <c r="B344" s="6"/>
      <c r="C344" s="6"/>
      <c r="D344" s="6"/>
      <c r="E344" s="6"/>
      <c r="F344" s="7"/>
      <c r="G344" s="7"/>
      <c r="H344" s="7"/>
      <c r="I344" s="7"/>
      <c r="J344" s="7"/>
      <c r="K344" s="7"/>
    </row>
    <row r="345" spans="1:11" s="9" customFormat="1" ht="13.2">
      <c r="A345" s="6"/>
      <c r="B345" s="6"/>
      <c r="C345" s="6"/>
      <c r="D345" s="6"/>
      <c r="E345" s="6"/>
      <c r="F345" s="7"/>
      <c r="G345" s="7"/>
      <c r="H345" s="7"/>
      <c r="I345" s="7"/>
      <c r="J345" s="7"/>
      <c r="K345" s="7"/>
    </row>
    <row r="346" spans="1:11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</row>
    <row r="347" spans="1:11" s="9" customFormat="1" ht="13.2">
      <c r="A347" s="6"/>
      <c r="B347" s="6"/>
      <c r="C347" s="6"/>
      <c r="D347" s="6"/>
      <c r="E347" s="6"/>
      <c r="F347" s="11"/>
      <c r="G347" s="11"/>
      <c r="H347" s="11"/>
      <c r="I347" s="11"/>
      <c r="J347" s="11"/>
      <c r="K347" s="11"/>
    </row>
    <row r="348" spans="1:11" s="9" customFormat="1" ht="13.2">
      <c r="A348" s="6"/>
      <c r="B348" s="6"/>
      <c r="C348" s="6"/>
      <c r="D348" s="6"/>
      <c r="E348" s="6"/>
      <c r="F348" s="7"/>
      <c r="G348" s="7"/>
      <c r="H348" s="7"/>
      <c r="I348" s="7"/>
      <c r="J348" s="7"/>
      <c r="K348" s="7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7"/>
      <c r="G350" s="7"/>
      <c r="H350" s="7"/>
      <c r="I350" s="7"/>
      <c r="J350" s="7"/>
      <c r="K350" s="7"/>
    </row>
    <row r="351" spans="1:11" s="9" customFormat="1" ht="13.2">
      <c r="A351" s="6"/>
      <c r="B351" s="6"/>
      <c r="C351" s="6"/>
      <c r="D351" s="6"/>
      <c r="E351" s="6"/>
      <c r="F351" s="7"/>
      <c r="G351" s="7"/>
      <c r="H351" s="7"/>
      <c r="I351" s="7"/>
      <c r="J351" s="7"/>
      <c r="K351" s="7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7"/>
      <c r="G359" s="7"/>
      <c r="H359" s="7"/>
      <c r="I359" s="7"/>
      <c r="J359" s="7"/>
      <c r="K359" s="7"/>
    </row>
    <row r="360" spans="1:11" s="9" customFormat="1" ht="13.2">
      <c r="A360" s="6"/>
      <c r="B360" s="6"/>
      <c r="C360" s="6"/>
      <c r="D360" s="6"/>
      <c r="E360" s="6"/>
      <c r="F360" s="7"/>
      <c r="G360" s="7"/>
      <c r="H360" s="7"/>
      <c r="I360" s="7"/>
      <c r="J360" s="7"/>
      <c r="K360" s="7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8"/>
      <c r="G371" s="8"/>
      <c r="H371" s="8"/>
      <c r="I371" s="8"/>
      <c r="J371" s="8"/>
      <c r="K371" s="8"/>
    </row>
    <row r="372" spans="1:11" s="9" customFormat="1" ht="13.2">
      <c r="A372" s="6"/>
      <c r="B372" s="6"/>
      <c r="C372" s="6"/>
      <c r="D372" s="6"/>
      <c r="E372" s="6"/>
      <c r="F372" s="8"/>
      <c r="G372" s="8"/>
      <c r="H372" s="8"/>
      <c r="I372" s="8"/>
      <c r="J372" s="8"/>
      <c r="K372" s="8"/>
    </row>
    <row r="373" spans="1:11" s="9" customFormat="1" ht="13.2">
      <c r="A373" s="6"/>
      <c r="B373" s="6"/>
      <c r="C373" s="6"/>
      <c r="D373" s="6"/>
      <c r="E373" s="6"/>
      <c r="F373" s="8"/>
      <c r="G373" s="8"/>
      <c r="H373" s="8"/>
      <c r="I373" s="8"/>
      <c r="J373" s="8"/>
      <c r="K373" s="8"/>
    </row>
    <row r="374" spans="1:11" s="9" customFormat="1" ht="13.2">
      <c r="A374" s="6"/>
      <c r="B374" s="6"/>
      <c r="C374" s="6"/>
      <c r="D374" s="6"/>
      <c r="E374" s="6"/>
      <c r="F374" s="8"/>
      <c r="G374" s="8"/>
      <c r="H374" s="8"/>
      <c r="I374" s="8"/>
      <c r="J374" s="8"/>
      <c r="K374" s="8"/>
    </row>
    <row r="375" spans="1:11" s="9" customFormat="1" ht="13.2">
      <c r="A375" s="6"/>
      <c r="B375" s="6"/>
      <c r="C375" s="6"/>
      <c r="D375" s="6"/>
      <c r="E375" s="6"/>
      <c r="F375" s="8"/>
      <c r="G375" s="8"/>
      <c r="H375" s="8"/>
      <c r="I375" s="8"/>
      <c r="J375" s="8"/>
      <c r="K375" s="8"/>
    </row>
    <row r="376" spans="1:11" s="9" customFormat="1" ht="13.2">
      <c r="A376" s="6"/>
      <c r="B376" s="6"/>
      <c r="C376" s="6"/>
      <c r="D376" s="6"/>
      <c r="E376" s="6"/>
      <c r="F376" s="8"/>
      <c r="G376" s="8"/>
      <c r="H376" s="8"/>
      <c r="I376" s="8"/>
      <c r="J376" s="8"/>
      <c r="K376" s="8"/>
    </row>
    <row r="377" spans="1:11" s="9" customFormat="1" ht="13.2">
      <c r="A377" s="6"/>
      <c r="B377" s="6"/>
      <c r="C377" s="6"/>
      <c r="D377" s="6"/>
      <c r="E377" s="6"/>
      <c r="F377" s="8"/>
      <c r="G377" s="8"/>
      <c r="H377" s="8"/>
      <c r="I377" s="8"/>
      <c r="J377" s="8"/>
      <c r="K377" s="8"/>
    </row>
    <row r="378" spans="1:11" s="9" customFormat="1" ht="13.2">
      <c r="A378" s="6"/>
      <c r="B378" s="6"/>
      <c r="C378" s="6"/>
      <c r="D378" s="6"/>
      <c r="E378" s="6"/>
      <c r="F378" s="8"/>
      <c r="G378" s="8"/>
      <c r="H378" s="8"/>
      <c r="I378" s="8"/>
      <c r="J378" s="8"/>
      <c r="K378" s="8"/>
    </row>
    <row r="379" spans="1:11" s="9" customFormat="1" ht="13.2">
      <c r="A379" s="6"/>
      <c r="B379" s="6"/>
      <c r="C379" s="6"/>
      <c r="D379" s="6"/>
      <c r="E379" s="6"/>
      <c r="F379" s="8"/>
      <c r="G379" s="8"/>
      <c r="H379" s="8"/>
      <c r="I379" s="8"/>
      <c r="J379" s="8"/>
      <c r="K379" s="8"/>
    </row>
    <row r="380" spans="1:11" s="9" customFormat="1" ht="13.2">
      <c r="A380" s="6"/>
      <c r="B380" s="6"/>
      <c r="C380" s="6"/>
      <c r="D380" s="6"/>
      <c r="E380" s="6"/>
      <c r="F380" s="8"/>
      <c r="G380" s="8"/>
      <c r="H380" s="8"/>
      <c r="I380" s="8"/>
      <c r="J380" s="8"/>
      <c r="K380" s="8"/>
    </row>
    <row r="381" spans="1:11" s="9" customFormat="1" ht="13.2">
      <c r="A381" s="6"/>
      <c r="B381" s="6"/>
      <c r="C381" s="6"/>
      <c r="D381" s="6"/>
      <c r="E381" s="6"/>
      <c r="F381" s="8"/>
      <c r="G381" s="8"/>
      <c r="H381" s="8"/>
      <c r="I381" s="8"/>
      <c r="J381" s="8"/>
      <c r="K381" s="8"/>
    </row>
    <row r="382" spans="1:11" s="9" customFormat="1" ht="13.2">
      <c r="A382" s="6"/>
      <c r="B382" s="6"/>
      <c r="C382" s="6"/>
      <c r="D382" s="6"/>
      <c r="E382" s="6"/>
      <c r="F382" s="8"/>
      <c r="G382" s="8"/>
      <c r="H382" s="8"/>
      <c r="I382" s="8"/>
      <c r="J382" s="8"/>
      <c r="K382" s="8"/>
    </row>
    <row r="383" spans="1:11" s="9" customFormat="1" ht="13.2">
      <c r="A383" s="6"/>
      <c r="B383" s="6"/>
      <c r="C383" s="6"/>
      <c r="D383" s="6"/>
      <c r="E383" s="6"/>
      <c r="F383" s="8"/>
      <c r="G383" s="8"/>
      <c r="H383" s="8"/>
      <c r="I383" s="8"/>
      <c r="J383" s="8"/>
      <c r="K383" s="8"/>
    </row>
    <row r="384" spans="1:11" s="9" customFormat="1" ht="13.2">
      <c r="A384" s="6"/>
      <c r="B384" s="6"/>
      <c r="C384" s="6"/>
      <c r="D384" s="6"/>
      <c r="E384" s="6"/>
      <c r="F384" s="8"/>
      <c r="G384" s="8"/>
      <c r="H384" s="8"/>
      <c r="I384" s="8"/>
      <c r="J384" s="8"/>
      <c r="K384" s="8"/>
    </row>
    <row r="385" spans="1:11" s="9" customFormat="1" ht="13.2">
      <c r="A385" s="6"/>
      <c r="B385" s="6"/>
      <c r="C385" s="6"/>
      <c r="D385" s="6"/>
      <c r="E385" s="6"/>
      <c r="F385" s="8"/>
      <c r="G385" s="8"/>
      <c r="H385" s="8"/>
      <c r="I385" s="8"/>
      <c r="J385" s="8"/>
      <c r="K385" s="8"/>
    </row>
    <row r="386" spans="1:11" s="9" customFormat="1" ht="13.2">
      <c r="A386" s="6"/>
      <c r="B386" s="6"/>
      <c r="C386" s="6"/>
      <c r="D386" s="6"/>
      <c r="E386" s="6"/>
      <c r="F386" s="8"/>
      <c r="G386" s="8"/>
      <c r="H386" s="8"/>
      <c r="I386" s="8"/>
      <c r="J386" s="8"/>
      <c r="K386" s="8"/>
    </row>
    <row r="387" spans="1:11" s="9" customFormat="1" ht="13.2">
      <c r="A387" s="6"/>
      <c r="B387" s="6"/>
      <c r="C387" s="6"/>
      <c r="D387" s="6"/>
      <c r="E387" s="6"/>
      <c r="F387" s="8"/>
      <c r="G387" s="8"/>
      <c r="H387" s="8"/>
      <c r="I387" s="8"/>
      <c r="J387" s="8"/>
      <c r="K387" s="8"/>
    </row>
    <row r="388" spans="1:11" s="9" customFormat="1" ht="13.2">
      <c r="A388" s="6"/>
      <c r="B388" s="6"/>
      <c r="C388" s="6"/>
      <c r="D388" s="6"/>
      <c r="E388" s="6"/>
      <c r="F388" s="10"/>
      <c r="G388" s="10"/>
      <c r="H388" s="10"/>
      <c r="I388" s="10"/>
      <c r="J388" s="10"/>
      <c r="K388" s="10"/>
    </row>
    <row r="389" spans="1:11" s="9" customFormat="1" ht="13.2">
      <c r="A389" s="6"/>
      <c r="B389" s="6"/>
      <c r="C389" s="6"/>
      <c r="D389" s="6"/>
      <c r="E389" s="6"/>
      <c r="F389" s="10"/>
      <c r="G389" s="10"/>
      <c r="H389" s="10"/>
      <c r="I389" s="10"/>
      <c r="J389" s="10"/>
      <c r="K389" s="10"/>
    </row>
    <row r="390" spans="1:11" s="9" customFormat="1" ht="13.2">
      <c r="A390" s="6"/>
      <c r="B390" s="6"/>
      <c r="C390" s="6"/>
      <c r="D390" s="6"/>
      <c r="E390" s="6"/>
      <c r="F390" s="10"/>
      <c r="G390" s="10"/>
      <c r="H390" s="10"/>
      <c r="I390" s="10"/>
      <c r="J390" s="10"/>
      <c r="K390" s="10"/>
    </row>
    <row r="391" spans="1:11" s="9" customFormat="1" ht="13.2">
      <c r="A391" s="6"/>
      <c r="B391" s="6"/>
      <c r="C391" s="6"/>
      <c r="D391" s="6"/>
      <c r="E391" s="6"/>
      <c r="F391" s="8"/>
      <c r="G391" s="8"/>
      <c r="H391" s="8"/>
      <c r="I391" s="8"/>
      <c r="J391" s="8"/>
      <c r="K391" s="8"/>
    </row>
    <row r="392" spans="1:11" s="9" customFormat="1" ht="13.2">
      <c r="A392" s="6"/>
      <c r="B392" s="6"/>
      <c r="C392" s="6"/>
      <c r="D392" s="6"/>
      <c r="E392" s="6"/>
      <c r="F392" s="8"/>
      <c r="G392" s="8"/>
      <c r="H392" s="8"/>
      <c r="I392" s="8"/>
      <c r="J392" s="8"/>
      <c r="K392" s="8"/>
    </row>
    <row r="393" spans="1:11" s="9" customFormat="1" ht="13.2">
      <c r="A393" s="6"/>
      <c r="B393" s="6"/>
      <c r="C393" s="6"/>
      <c r="D393" s="6"/>
      <c r="E393" s="6"/>
      <c r="F393" s="10"/>
      <c r="G393" s="10"/>
      <c r="H393" s="10"/>
      <c r="I393" s="10"/>
      <c r="J393" s="10"/>
      <c r="K393" s="10"/>
    </row>
    <row r="394" spans="1:11" s="9" customFormat="1" ht="13.2">
      <c r="A394" s="6"/>
      <c r="B394" s="6"/>
      <c r="C394" s="6"/>
      <c r="D394" s="6"/>
      <c r="E394" s="6"/>
      <c r="F394" s="10"/>
      <c r="G394" s="10"/>
      <c r="H394" s="10"/>
      <c r="I394" s="10"/>
      <c r="J394" s="10"/>
      <c r="K394" s="10"/>
    </row>
    <row r="395" spans="1:11" s="9" customFormat="1" ht="13.2">
      <c r="A395" s="6"/>
      <c r="B395" s="6"/>
      <c r="C395" s="6"/>
      <c r="D395" s="6"/>
      <c r="E395" s="6"/>
      <c r="F395" s="10"/>
      <c r="G395" s="10"/>
      <c r="H395" s="10"/>
      <c r="I395" s="10"/>
      <c r="J395" s="10"/>
      <c r="K395" s="10"/>
    </row>
    <row r="396" spans="1:11" s="9" customFormat="1" ht="13.2">
      <c r="A396" s="6"/>
      <c r="B396" s="6"/>
      <c r="C396" s="6"/>
      <c r="D396" s="6"/>
      <c r="E396" s="6"/>
      <c r="F396" s="8"/>
      <c r="G396" s="8"/>
      <c r="H396" s="8"/>
      <c r="I396" s="8"/>
      <c r="J396" s="8"/>
      <c r="K396" s="8"/>
    </row>
    <row r="397" spans="1:11" s="9" customFormat="1" ht="13.2">
      <c r="A397" s="6"/>
      <c r="B397" s="6"/>
      <c r="C397" s="6"/>
      <c r="D397" s="6"/>
      <c r="E397" s="6"/>
      <c r="F397" s="8"/>
      <c r="G397" s="8"/>
      <c r="H397" s="8"/>
      <c r="I397" s="8"/>
      <c r="J397" s="8"/>
      <c r="K397" s="8"/>
    </row>
    <row r="398" spans="1:11" s="9" customFormat="1" ht="13.2">
      <c r="A398" s="6"/>
      <c r="B398" s="6"/>
      <c r="C398" s="6"/>
      <c r="D398" s="6"/>
      <c r="E398" s="6"/>
      <c r="F398" s="8"/>
      <c r="G398" s="8"/>
      <c r="H398" s="8"/>
      <c r="I398" s="8"/>
      <c r="J398" s="8"/>
      <c r="K398" s="8"/>
    </row>
    <row r="399" spans="1:11" s="9" customFormat="1" ht="13.2">
      <c r="A399" s="6"/>
      <c r="B399" s="6"/>
      <c r="C399" s="6"/>
      <c r="D399" s="6"/>
      <c r="E399" s="6"/>
      <c r="F399" s="12"/>
      <c r="G399" s="12"/>
      <c r="H399" s="12"/>
      <c r="I399" s="12"/>
      <c r="J399" s="12"/>
      <c r="K399" s="12"/>
    </row>
    <row r="400" spans="1:11" s="9" customFormat="1" ht="13.2">
      <c r="A400" s="13"/>
      <c r="B400" s="13"/>
      <c r="C400" s="13"/>
      <c r="D400" s="13"/>
      <c r="E400" s="13"/>
      <c r="F400" s="12"/>
      <c r="G400" s="12"/>
      <c r="H400" s="12"/>
      <c r="I400" s="12"/>
      <c r="J400" s="12"/>
      <c r="K400" s="12"/>
    </row>
    <row r="401" spans="1:11" s="9" customFormat="1" ht="13.2">
      <c r="A401" s="13"/>
      <c r="B401" s="13"/>
      <c r="C401" s="13"/>
      <c r="D401" s="13"/>
      <c r="E401" s="13"/>
      <c r="F401" s="12"/>
      <c r="G401" s="12"/>
      <c r="H401" s="12"/>
      <c r="I401" s="12"/>
      <c r="J401" s="12"/>
      <c r="K401" s="12"/>
    </row>
    <row r="402" spans="1:11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  <c r="K402" s="12"/>
    </row>
    <row r="403" spans="1:11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  <c r="K403" s="12"/>
    </row>
    <row r="404" spans="1:11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  <c r="K404" s="12"/>
    </row>
    <row r="405" spans="1:11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  <c r="K405" s="12"/>
    </row>
    <row r="406" spans="1:11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  <c r="K406" s="12"/>
    </row>
    <row r="407" spans="1:11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  <c r="K407" s="12"/>
    </row>
    <row r="408" spans="1:11" s="9" customFormat="1" ht="13.2">
      <c r="A408" s="13"/>
      <c r="B408" s="13"/>
      <c r="C408" s="13"/>
      <c r="D408" s="13"/>
      <c r="E408" s="13"/>
      <c r="F408" s="11"/>
      <c r="G408" s="11"/>
      <c r="H408" s="11"/>
      <c r="I408" s="11"/>
      <c r="J408" s="11"/>
      <c r="K408" s="11"/>
    </row>
    <row r="409" spans="1:11" s="9" customFormat="1" ht="13.2">
      <c r="A409" s="13"/>
      <c r="B409" s="13"/>
      <c r="C409" s="13"/>
      <c r="D409" s="13"/>
      <c r="E409" s="13"/>
      <c r="F409" s="11"/>
      <c r="G409" s="11"/>
      <c r="H409" s="11"/>
      <c r="I409" s="11"/>
      <c r="J409" s="11"/>
      <c r="K409" s="11"/>
    </row>
    <row r="410" spans="1:11" s="9" customFormat="1" ht="13.2">
      <c r="A410" s="13"/>
      <c r="B410" s="13"/>
      <c r="C410" s="13"/>
      <c r="D410" s="13"/>
      <c r="E410" s="13"/>
      <c r="F410" s="11"/>
      <c r="G410" s="11"/>
      <c r="H410" s="11"/>
      <c r="I410" s="11"/>
      <c r="J410" s="11"/>
      <c r="K410" s="11"/>
    </row>
    <row r="411" spans="1:11" s="9" customFormat="1" ht="13.2">
      <c r="A411" s="13"/>
      <c r="B411" s="13"/>
      <c r="C411" s="13"/>
      <c r="D411" s="13"/>
      <c r="E411" s="13"/>
      <c r="F411" s="11"/>
      <c r="G411" s="11"/>
      <c r="H411" s="11"/>
      <c r="I411" s="11"/>
      <c r="J411" s="11"/>
      <c r="K411" s="11"/>
    </row>
    <row r="412" spans="1:11" s="9" customFormat="1" ht="13.2">
      <c r="A412" s="13"/>
      <c r="B412" s="13"/>
      <c r="C412" s="13"/>
      <c r="D412" s="13"/>
      <c r="E412" s="13"/>
      <c r="F412" s="12"/>
      <c r="G412" s="12"/>
      <c r="H412" s="12"/>
      <c r="I412" s="12"/>
      <c r="J412" s="12"/>
      <c r="K412" s="12"/>
    </row>
    <row r="413" spans="1:11" s="9" customFormat="1" ht="13.2">
      <c r="A413" s="13"/>
      <c r="B413" s="13"/>
      <c r="C413" s="13"/>
      <c r="D413" s="13"/>
      <c r="E413" s="13"/>
      <c r="F413" s="12"/>
      <c r="G413" s="12"/>
      <c r="H413" s="12"/>
      <c r="I413" s="12"/>
      <c r="J413" s="12"/>
      <c r="K413" s="12"/>
    </row>
    <row r="414" spans="1:11" s="9" customFormat="1" ht="13.2">
      <c r="A414" s="13"/>
      <c r="B414" s="13"/>
      <c r="C414" s="13"/>
      <c r="D414" s="13"/>
      <c r="E414" s="13"/>
      <c r="F414" s="12"/>
      <c r="G414" s="12"/>
      <c r="H414" s="12"/>
      <c r="I414" s="12"/>
      <c r="J414" s="12"/>
      <c r="K414" s="12"/>
    </row>
    <row r="415" spans="1:11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  <c r="K415" s="8"/>
    </row>
    <row r="416" spans="1:11" s="9" customFormat="1" ht="13.2">
      <c r="A416" s="13"/>
      <c r="B416" s="13"/>
      <c r="C416" s="13"/>
      <c r="D416" s="13"/>
      <c r="E416" s="13"/>
      <c r="F416" s="12"/>
      <c r="G416" s="12"/>
      <c r="H416" s="12"/>
      <c r="I416" s="12"/>
      <c r="J416" s="12"/>
      <c r="K416" s="12"/>
    </row>
    <row r="417" spans="1:11" s="9" customFormat="1" ht="13.2">
      <c r="A417" s="13"/>
      <c r="B417" s="13"/>
      <c r="C417" s="13"/>
      <c r="D417" s="13"/>
      <c r="E417" s="13"/>
      <c r="F417" s="12"/>
      <c r="G417" s="12"/>
      <c r="H417" s="12"/>
      <c r="I417" s="12"/>
      <c r="J417" s="12"/>
      <c r="K417" s="12"/>
    </row>
    <row r="418" spans="1:11" s="9" customFormat="1" ht="13.2">
      <c r="A418" s="13"/>
      <c r="B418" s="13"/>
      <c r="C418" s="13"/>
      <c r="D418" s="13"/>
      <c r="E418" s="13"/>
      <c r="F418" s="14"/>
      <c r="G418" s="14"/>
      <c r="H418" s="14"/>
      <c r="I418" s="14"/>
      <c r="J418" s="14"/>
      <c r="K418" s="14"/>
    </row>
    <row r="419" spans="1:11" s="9" customFormat="1" ht="13.2">
      <c r="A419" s="13"/>
      <c r="B419" s="13"/>
      <c r="C419" s="13"/>
      <c r="D419" s="13"/>
      <c r="E419" s="13"/>
      <c r="F419" s="14"/>
      <c r="G419" s="14"/>
      <c r="H419" s="14"/>
      <c r="I419" s="14"/>
      <c r="J419" s="14"/>
      <c r="K419" s="14"/>
    </row>
    <row r="420" spans="1:11" s="9" customFormat="1" ht="13.2">
      <c r="A420" s="13"/>
      <c r="B420" s="13"/>
      <c r="C420" s="13"/>
      <c r="D420" s="13"/>
      <c r="E420" s="13"/>
      <c r="F420" s="14"/>
      <c r="G420" s="14"/>
      <c r="H420" s="14"/>
      <c r="I420" s="14"/>
      <c r="J420" s="14"/>
      <c r="K420" s="14"/>
    </row>
    <row r="421" spans="1:11" s="9" customFormat="1" ht="13.2">
      <c r="A421" s="13"/>
      <c r="B421" s="13"/>
      <c r="C421" s="13"/>
      <c r="D421" s="13"/>
      <c r="E421" s="13"/>
      <c r="F421" s="14"/>
      <c r="G421" s="14"/>
      <c r="H421" s="14"/>
      <c r="I421" s="14"/>
      <c r="J421" s="14"/>
      <c r="K421" s="14"/>
    </row>
    <row r="422" spans="1:11" s="9" customFormat="1" ht="13.2">
      <c r="A422" s="13"/>
      <c r="B422" s="13"/>
      <c r="C422" s="13"/>
      <c r="D422" s="13"/>
      <c r="E422" s="13"/>
      <c r="F422" s="14"/>
      <c r="G422" s="14"/>
      <c r="H422" s="14"/>
      <c r="I422" s="14"/>
      <c r="J422" s="14"/>
      <c r="K422" s="14"/>
    </row>
    <row r="423" spans="1:11" s="9" customFormat="1" ht="13.2">
      <c r="A423" s="13"/>
      <c r="B423" s="13"/>
      <c r="C423" s="13"/>
      <c r="D423" s="13"/>
      <c r="E423" s="13"/>
      <c r="F423" s="14"/>
      <c r="G423" s="14"/>
      <c r="H423" s="14"/>
      <c r="I423" s="14"/>
      <c r="J423" s="14"/>
      <c r="K423" s="14"/>
    </row>
    <row r="424" spans="1:11" s="9" customFormat="1" ht="13.2">
      <c r="A424" s="13"/>
      <c r="B424" s="13"/>
      <c r="C424" s="13"/>
      <c r="D424" s="13"/>
      <c r="E424" s="13"/>
      <c r="F424" s="14"/>
      <c r="G424" s="14"/>
      <c r="H424" s="14"/>
      <c r="I424" s="14"/>
      <c r="J424" s="14"/>
      <c r="K424" s="14"/>
    </row>
    <row r="425" spans="1:11" s="9" customFormat="1" ht="13.2">
      <c r="A425" s="13"/>
      <c r="B425" s="13"/>
      <c r="C425" s="13"/>
      <c r="D425" s="13"/>
      <c r="E425" s="13"/>
      <c r="F425" s="10"/>
      <c r="G425" s="10"/>
      <c r="H425" s="10"/>
      <c r="I425" s="10"/>
      <c r="J425" s="10"/>
      <c r="K425" s="10"/>
    </row>
    <row r="426" spans="1:11" s="9" customFormat="1" ht="13.2">
      <c r="A426" s="13"/>
      <c r="B426" s="13"/>
      <c r="C426" s="13"/>
      <c r="D426" s="13"/>
      <c r="E426" s="13"/>
      <c r="F426" s="14"/>
      <c r="G426" s="14"/>
      <c r="H426" s="14"/>
      <c r="I426" s="14"/>
      <c r="J426" s="14"/>
      <c r="K426" s="14"/>
    </row>
    <row r="427" spans="1:11" s="9" customFormat="1" ht="13.2">
      <c r="A427" s="13"/>
      <c r="B427" s="13"/>
      <c r="C427" s="13"/>
      <c r="D427" s="13"/>
      <c r="E427" s="13"/>
      <c r="F427" s="14"/>
      <c r="G427" s="14"/>
      <c r="H427" s="14"/>
      <c r="I427" s="14"/>
      <c r="J427" s="14"/>
      <c r="K427" s="14"/>
    </row>
    <row r="428" spans="1:11" s="9" customFormat="1" ht="13.2">
      <c r="A428" s="13"/>
      <c r="B428" s="13"/>
      <c r="C428" s="13"/>
      <c r="D428" s="13"/>
      <c r="E428" s="13"/>
      <c r="F428" s="14"/>
      <c r="G428" s="14"/>
      <c r="H428" s="14"/>
      <c r="I428" s="14"/>
      <c r="J428" s="14"/>
      <c r="K428" s="14"/>
    </row>
    <row r="429" spans="1:11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  <c r="K429" s="8"/>
    </row>
    <row r="430" spans="1:11" s="9" customFormat="1" ht="13.2">
      <c r="A430" s="13"/>
      <c r="B430" s="13"/>
      <c r="C430" s="13"/>
      <c r="D430" s="13"/>
      <c r="E430" s="13"/>
      <c r="F430" s="14"/>
      <c r="G430" s="14"/>
      <c r="H430" s="14"/>
      <c r="I430" s="14"/>
      <c r="J430" s="14"/>
      <c r="K430" s="14"/>
    </row>
    <row r="431" spans="1:11" s="9" customFormat="1" ht="13.2">
      <c r="A431" s="13"/>
      <c r="B431" s="13"/>
      <c r="C431" s="13"/>
      <c r="D431" s="13"/>
      <c r="E431" s="13"/>
      <c r="F431" s="10"/>
      <c r="G431" s="10"/>
      <c r="H431" s="10"/>
      <c r="I431" s="10"/>
      <c r="J431" s="10"/>
      <c r="K431" s="10"/>
    </row>
    <row r="432" spans="1:11" s="9" customFormat="1" ht="13.2">
      <c r="A432" s="13"/>
      <c r="B432" s="13"/>
      <c r="C432" s="13"/>
      <c r="D432" s="13"/>
      <c r="E432" s="13"/>
      <c r="F432" s="12"/>
      <c r="G432" s="12"/>
      <c r="H432" s="12"/>
      <c r="I432" s="12"/>
      <c r="J432" s="12"/>
      <c r="K432" s="12"/>
    </row>
    <row r="433" spans="1:11" s="9" customFormat="1" ht="13.2">
      <c r="A433" s="13"/>
      <c r="B433" s="13"/>
      <c r="C433" s="13"/>
      <c r="D433" s="13"/>
      <c r="E433" s="13"/>
      <c r="F433" s="12"/>
      <c r="G433" s="12"/>
      <c r="H433" s="12"/>
      <c r="I433" s="12"/>
      <c r="J433" s="12"/>
      <c r="K433" s="12"/>
    </row>
    <row r="434" spans="1:11" s="9" customFormat="1" ht="13.2">
      <c r="A434" s="13"/>
      <c r="B434" s="13"/>
      <c r="C434" s="13"/>
      <c r="D434" s="13"/>
      <c r="E434" s="13"/>
      <c r="F434" s="12"/>
      <c r="G434" s="12"/>
      <c r="H434" s="12"/>
      <c r="I434" s="12"/>
      <c r="J434" s="12"/>
      <c r="K434" s="12"/>
    </row>
    <row r="435" spans="1:11" s="9" customFormat="1" ht="13.2">
      <c r="A435" s="13"/>
      <c r="B435" s="13"/>
      <c r="C435" s="13"/>
      <c r="D435" s="13"/>
      <c r="E435" s="13"/>
      <c r="F435" s="12"/>
      <c r="G435" s="12"/>
      <c r="H435" s="12"/>
      <c r="I435" s="12"/>
      <c r="J435" s="12"/>
      <c r="K435" s="12"/>
    </row>
    <row r="436" spans="1:11" s="9" customFormat="1" ht="13.2">
      <c r="A436" s="13"/>
      <c r="B436" s="13"/>
      <c r="C436" s="13"/>
      <c r="D436" s="13"/>
      <c r="E436" s="13"/>
      <c r="F436" s="12"/>
      <c r="G436" s="12"/>
      <c r="H436" s="12"/>
      <c r="I436" s="12"/>
      <c r="J436" s="12"/>
      <c r="K436" s="12"/>
    </row>
    <row r="437" spans="1:11" s="9" customFormat="1" ht="13.2">
      <c r="A437" s="13"/>
      <c r="B437" s="13"/>
      <c r="C437" s="13"/>
      <c r="D437" s="13"/>
      <c r="E437" s="13"/>
      <c r="F437" s="12"/>
      <c r="G437" s="12"/>
      <c r="H437" s="12"/>
      <c r="I437" s="12"/>
      <c r="J437" s="12"/>
      <c r="K437" s="12"/>
    </row>
    <row r="438" spans="1:11" s="9" customFormat="1" ht="13.2">
      <c r="A438" s="13"/>
      <c r="B438" s="13"/>
      <c r="C438" s="13"/>
      <c r="D438" s="13"/>
      <c r="E438" s="13"/>
      <c r="F438" s="14"/>
      <c r="G438" s="14"/>
      <c r="H438" s="14"/>
      <c r="I438" s="14"/>
      <c r="J438" s="14"/>
      <c r="K438" s="14"/>
    </row>
    <row r="439" spans="1:11" s="9" customFormat="1" ht="13.2">
      <c r="A439" s="13"/>
      <c r="B439" s="13"/>
      <c r="C439" s="13"/>
      <c r="D439" s="13"/>
      <c r="E439" s="13"/>
      <c r="F439" s="8"/>
      <c r="G439" s="8"/>
      <c r="H439" s="8"/>
      <c r="I439" s="8"/>
      <c r="J439" s="8"/>
      <c r="K439" s="8"/>
    </row>
    <row r="440" spans="1:11" s="9" customFormat="1" ht="13.2">
      <c r="A440" s="13"/>
      <c r="B440" s="13"/>
      <c r="C440" s="13"/>
      <c r="D440" s="13"/>
      <c r="E440" s="13"/>
      <c r="F440" s="8"/>
      <c r="G440" s="8"/>
      <c r="H440" s="8"/>
      <c r="I440" s="8"/>
      <c r="J440" s="8"/>
      <c r="K440" s="8"/>
    </row>
    <row r="441" spans="1:11" s="9" customFormat="1" ht="13.2">
      <c r="A441" s="13"/>
      <c r="B441" s="13"/>
      <c r="C441" s="13"/>
      <c r="D441" s="13"/>
      <c r="E441" s="13"/>
      <c r="F441" s="8"/>
      <c r="G441" s="8"/>
      <c r="H441" s="8"/>
      <c r="I441" s="8"/>
      <c r="J441" s="8"/>
      <c r="K441" s="8"/>
    </row>
    <row r="442" spans="1:11" s="9" customFormat="1" ht="13.2">
      <c r="A442" s="13"/>
      <c r="B442" s="13"/>
      <c r="C442" s="13"/>
      <c r="D442" s="13"/>
      <c r="E442" s="13"/>
      <c r="F442" s="8"/>
      <c r="G442" s="8"/>
      <c r="H442" s="8"/>
      <c r="I442" s="8"/>
      <c r="J442" s="8"/>
      <c r="K442" s="8"/>
    </row>
    <row r="443" spans="1:11" s="9" customFormat="1" ht="13.2">
      <c r="A443" s="13"/>
      <c r="B443" s="13"/>
      <c r="C443" s="13"/>
      <c r="D443" s="13"/>
      <c r="E443" s="13"/>
      <c r="F443" s="8"/>
      <c r="G443" s="8"/>
      <c r="H443" s="8"/>
      <c r="I443" s="8"/>
      <c r="J443" s="8"/>
      <c r="K443" s="8"/>
    </row>
    <row r="444" spans="1:11" s="9" customFormat="1" ht="13.2">
      <c r="A444" s="13"/>
      <c r="B444" s="13"/>
      <c r="C444" s="13"/>
      <c r="D444" s="13"/>
      <c r="E444" s="13"/>
      <c r="F444" s="8"/>
      <c r="G444" s="8"/>
      <c r="H444" s="8"/>
      <c r="I444" s="8"/>
      <c r="J444" s="8"/>
      <c r="K444" s="8"/>
    </row>
    <row r="445" spans="1:11" s="9" customFormat="1" ht="13.2">
      <c r="A445" s="13"/>
      <c r="B445" s="13"/>
      <c r="C445" s="13"/>
      <c r="D445" s="13"/>
      <c r="E445" s="13"/>
      <c r="F445" s="10"/>
      <c r="G445" s="10"/>
      <c r="H445" s="10"/>
      <c r="I445" s="10"/>
      <c r="J445" s="10"/>
      <c r="K445" s="10"/>
    </row>
    <row r="446" spans="1:11" s="9" customFormat="1" ht="13.2">
      <c r="A446" s="13"/>
      <c r="B446" s="13"/>
      <c r="C446" s="13"/>
      <c r="D446" s="13"/>
      <c r="E446" s="13"/>
      <c r="F446" s="10"/>
      <c r="G446" s="10"/>
      <c r="H446" s="10"/>
      <c r="I446" s="10"/>
      <c r="J446" s="10"/>
      <c r="K446" s="10"/>
    </row>
    <row r="447" spans="1:11" s="9" customFormat="1" ht="13.2">
      <c r="A447" s="13"/>
      <c r="B447" s="13"/>
      <c r="C447" s="13"/>
      <c r="D447" s="13"/>
      <c r="E447" s="13"/>
      <c r="F447" s="10"/>
      <c r="G447" s="10"/>
      <c r="H447" s="10"/>
      <c r="I447" s="10"/>
      <c r="J447" s="10"/>
      <c r="K447" s="10"/>
    </row>
    <row r="448" spans="1:11" s="9" customFormat="1" ht="13.2">
      <c r="A448" s="13"/>
      <c r="B448" s="13"/>
      <c r="C448" s="13"/>
      <c r="D448" s="13"/>
      <c r="E448" s="13"/>
      <c r="F448" s="10"/>
      <c r="G448" s="10"/>
      <c r="H448" s="10"/>
      <c r="I448" s="10"/>
      <c r="J448" s="10"/>
      <c r="K448" s="10"/>
    </row>
    <row r="449" spans="1:11" s="9" customFormat="1" ht="13.2">
      <c r="A449" s="13"/>
      <c r="B449" s="13"/>
      <c r="C449" s="13"/>
      <c r="D449" s="13"/>
      <c r="E449" s="13"/>
      <c r="F449" s="12"/>
      <c r="G449" s="12"/>
      <c r="H449" s="12"/>
      <c r="I449" s="12"/>
      <c r="J449" s="12"/>
      <c r="K449" s="12"/>
    </row>
    <row r="450" spans="1:11" s="9" customFormat="1" ht="13.2">
      <c r="A450" s="13"/>
      <c r="B450" s="13"/>
      <c r="C450" s="13"/>
      <c r="D450" s="13"/>
      <c r="E450" s="13"/>
      <c r="F450" s="12"/>
      <c r="G450" s="12"/>
      <c r="H450" s="12"/>
      <c r="I450" s="12"/>
      <c r="J450" s="12"/>
      <c r="K450" s="12"/>
    </row>
    <row r="451" spans="1:11" s="9" customFormat="1" ht="13.2">
      <c r="A451" s="13"/>
      <c r="B451" s="13"/>
      <c r="C451" s="13"/>
      <c r="D451" s="13"/>
      <c r="E451" s="13"/>
      <c r="F451" s="12"/>
      <c r="G451" s="12"/>
      <c r="H451" s="12"/>
      <c r="I451" s="12"/>
      <c r="J451" s="12"/>
      <c r="K451" s="12"/>
    </row>
    <row r="452" spans="1:11" s="9" customFormat="1" ht="13.2">
      <c r="A452" s="13"/>
      <c r="B452" s="13"/>
      <c r="C452" s="13"/>
      <c r="D452" s="13"/>
      <c r="E452" s="13"/>
      <c r="F452" s="8"/>
      <c r="G452" s="8"/>
      <c r="H452" s="8"/>
      <c r="I452" s="8"/>
      <c r="J452" s="8"/>
      <c r="K452" s="8"/>
    </row>
    <row r="453" spans="1:11" s="9" customFormat="1" ht="13.2">
      <c r="A453" s="13"/>
      <c r="B453" s="13"/>
      <c r="C453" s="13"/>
      <c r="D453" s="13"/>
      <c r="E453" s="13"/>
      <c r="F453" s="8"/>
      <c r="G453" s="8"/>
      <c r="H453" s="8"/>
      <c r="I453" s="8"/>
      <c r="J453" s="8"/>
      <c r="K453" s="8"/>
    </row>
    <row r="454" spans="1:11" s="9" customFormat="1" ht="13.2">
      <c r="A454" s="13"/>
      <c r="B454" s="13"/>
      <c r="C454" s="13"/>
      <c r="D454" s="13"/>
      <c r="E454" s="13"/>
      <c r="F454" s="12"/>
      <c r="G454" s="12"/>
      <c r="H454" s="12"/>
      <c r="I454" s="12"/>
      <c r="J454" s="12"/>
      <c r="K454" s="12"/>
    </row>
    <row r="455" spans="1:11" s="9" customFormat="1" ht="13.2">
      <c r="A455" s="13"/>
      <c r="B455" s="13"/>
      <c r="C455" s="13"/>
      <c r="D455" s="13"/>
      <c r="E455" s="13"/>
      <c r="F455" s="12"/>
      <c r="G455" s="12"/>
      <c r="H455" s="12"/>
      <c r="I455" s="12"/>
      <c r="J455" s="12"/>
      <c r="K455" s="12"/>
    </row>
    <row r="456" spans="1:11" s="9" customFormat="1" ht="13.2">
      <c r="A456" s="13"/>
      <c r="B456" s="13"/>
      <c r="C456" s="13"/>
      <c r="D456" s="13"/>
      <c r="E456" s="13"/>
      <c r="F456" s="8"/>
      <c r="G456" s="8"/>
      <c r="H456" s="8"/>
      <c r="I456" s="8"/>
      <c r="J456" s="8"/>
      <c r="K456" s="8"/>
    </row>
    <row r="457" spans="1:11" s="9" customFormat="1" ht="13.2">
      <c r="A457" s="13"/>
      <c r="B457" s="13"/>
      <c r="C457" s="13"/>
      <c r="D457" s="13"/>
      <c r="E457" s="13"/>
      <c r="F457" s="8"/>
      <c r="G457" s="8"/>
      <c r="H457" s="8"/>
      <c r="I457" s="8"/>
      <c r="J457" s="8"/>
      <c r="K457" s="8"/>
    </row>
    <row r="458" spans="1:11" s="9" customFormat="1" ht="13.2">
      <c r="A458" s="13"/>
      <c r="B458" s="13"/>
      <c r="C458" s="13"/>
      <c r="D458" s="13"/>
      <c r="E458" s="13"/>
      <c r="F458" s="8"/>
      <c r="G458" s="8"/>
      <c r="H458" s="8"/>
      <c r="I458" s="8"/>
      <c r="J458" s="8"/>
      <c r="K458" s="8"/>
    </row>
    <row r="459" spans="1:11" s="9" customFormat="1" ht="13.2">
      <c r="A459" s="13"/>
      <c r="B459" s="13"/>
      <c r="C459" s="13"/>
      <c r="D459" s="13"/>
      <c r="E459" s="13"/>
      <c r="F459" s="8"/>
      <c r="G459" s="8"/>
      <c r="H459" s="8"/>
      <c r="I459" s="8"/>
      <c r="J459" s="8"/>
      <c r="K459" s="8"/>
    </row>
    <row r="460" spans="1:11" s="9" customFormat="1" ht="13.2">
      <c r="A460" s="13"/>
      <c r="B460" s="13"/>
      <c r="C460" s="13"/>
      <c r="D460" s="13"/>
      <c r="E460" s="13"/>
      <c r="F460" s="8"/>
      <c r="G460" s="8"/>
      <c r="H460" s="8"/>
      <c r="I460" s="8"/>
      <c r="J460" s="8"/>
      <c r="K460" s="8"/>
    </row>
    <row r="461" spans="1:11" s="9" customFormat="1" ht="13.2">
      <c r="A461" s="13"/>
      <c r="B461" s="13"/>
      <c r="C461" s="13"/>
      <c r="D461" s="13"/>
      <c r="E461" s="13"/>
      <c r="F461" s="8"/>
      <c r="G461" s="8"/>
      <c r="H461" s="8"/>
      <c r="I461" s="8"/>
      <c r="J461" s="8"/>
      <c r="K461" s="8"/>
    </row>
    <row r="462" spans="1:11" s="9" customFormat="1" ht="13.2">
      <c r="A462" s="13"/>
      <c r="B462" s="13"/>
      <c r="C462" s="13"/>
      <c r="D462" s="13"/>
      <c r="E462" s="13"/>
      <c r="F462" s="11"/>
      <c r="G462" s="11"/>
      <c r="H462" s="11"/>
      <c r="I462" s="11"/>
      <c r="J462" s="11"/>
      <c r="K462" s="11"/>
    </row>
    <row r="463" spans="1:11" s="9" customFormat="1" ht="13.2">
      <c r="A463" s="13"/>
      <c r="B463" s="13"/>
      <c r="C463" s="13"/>
      <c r="D463" s="13"/>
      <c r="E463" s="13"/>
      <c r="F463" s="11"/>
      <c r="G463" s="11"/>
      <c r="H463" s="11"/>
      <c r="I463" s="11"/>
      <c r="J463" s="11"/>
      <c r="K463" s="11"/>
    </row>
    <row r="464" spans="1:11" s="9" customFormat="1" ht="13.2">
      <c r="A464" s="13"/>
      <c r="B464" s="13"/>
      <c r="C464" s="13"/>
      <c r="D464" s="13"/>
      <c r="E464" s="13"/>
      <c r="F464" s="11"/>
      <c r="G464" s="11"/>
      <c r="H464" s="11"/>
      <c r="I464" s="11"/>
      <c r="J464" s="11"/>
      <c r="K464" s="11"/>
    </row>
    <row r="465" spans="1:11" s="9" customFormat="1" ht="13.2">
      <c r="A465" s="13"/>
      <c r="B465" s="13"/>
      <c r="C465" s="13"/>
      <c r="D465" s="13"/>
      <c r="E465" s="13"/>
      <c r="F465" s="11"/>
      <c r="G465" s="11"/>
      <c r="H465" s="11"/>
      <c r="I465" s="11"/>
      <c r="J465" s="11"/>
      <c r="K465" s="11"/>
    </row>
    <row r="466" spans="1:11" s="9" customFormat="1" ht="13.2">
      <c r="A466" s="15"/>
      <c r="B466" s="15"/>
      <c r="C466" s="15"/>
      <c r="D466" s="15"/>
      <c r="E466" s="15"/>
      <c r="F466" s="12"/>
      <c r="G466" s="12"/>
      <c r="H466" s="12"/>
      <c r="I466" s="12"/>
      <c r="J466" s="12"/>
      <c r="K466" s="12"/>
    </row>
    <row r="467" spans="1:11" s="9" customFormat="1" ht="13.2">
      <c r="A467" s="15"/>
      <c r="B467" s="15"/>
      <c r="C467" s="15"/>
      <c r="D467" s="15"/>
      <c r="E467" s="15"/>
      <c r="F467" s="11"/>
      <c r="G467" s="11"/>
      <c r="H467" s="11"/>
      <c r="I467" s="11"/>
      <c r="J467" s="11"/>
      <c r="K467" s="11"/>
    </row>
    <row r="468" spans="1:11" s="9" customFormat="1" ht="13.2">
      <c r="A468" s="15"/>
      <c r="B468" s="15"/>
      <c r="C468" s="15"/>
      <c r="D468" s="15"/>
      <c r="E468" s="15"/>
      <c r="F468" s="12"/>
      <c r="G468" s="12"/>
      <c r="H468" s="12"/>
      <c r="I468" s="12"/>
      <c r="J468" s="12"/>
      <c r="K468" s="12"/>
    </row>
    <row r="469" spans="1:11" s="9" customFormat="1" ht="13.2">
      <c r="A469" s="15"/>
      <c r="B469" s="15"/>
      <c r="C469" s="15"/>
      <c r="D469" s="15"/>
      <c r="E469" s="15"/>
      <c r="F469" s="12"/>
      <c r="G469" s="12"/>
      <c r="H469" s="12"/>
      <c r="I469" s="12"/>
      <c r="J469" s="12"/>
      <c r="K469" s="12"/>
    </row>
    <row r="470" spans="1:11" s="9" customFormat="1" ht="13.2">
      <c r="A470" s="15"/>
      <c r="B470" s="15"/>
      <c r="C470" s="15"/>
      <c r="D470" s="15"/>
      <c r="E470" s="15"/>
      <c r="F470" s="12"/>
      <c r="G470" s="12"/>
      <c r="H470" s="12"/>
      <c r="I470" s="12"/>
      <c r="J470" s="12"/>
      <c r="K470" s="12"/>
    </row>
    <row r="471" spans="1:11" s="9" customFormat="1" ht="13.2">
      <c r="A471" s="15"/>
      <c r="B471" s="15"/>
      <c r="C471" s="15"/>
      <c r="D471" s="15"/>
      <c r="E471" s="15"/>
      <c r="F471" s="12"/>
      <c r="G471" s="12"/>
      <c r="H471" s="12"/>
      <c r="I471" s="12"/>
      <c r="J471" s="12"/>
      <c r="K471" s="12"/>
    </row>
    <row r="472" spans="1:11" s="9" customFormat="1" ht="13.2">
      <c r="A472" s="15"/>
      <c r="B472" s="15"/>
      <c r="C472" s="15"/>
      <c r="D472" s="15"/>
      <c r="E472" s="15"/>
      <c r="F472" s="12"/>
      <c r="G472" s="12"/>
      <c r="H472" s="12"/>
      <c r="I472" s="12"/>
      <c r="J472" s="12"/>
      <c r="K472" s="12"/>
    </row>
    <row r="473" spans="1:11" s="9" customFormat="1" ht="13.2">
      <c r="A473" s="15"/>
      <c r="B473" s="15"/>
      <c r="C473" s="15"/>
      <c r="D473" s="15"/>
      <c r="E473" s="15"/>
      <c r="F473" s="12"/>
      <c r="G473" s="12"/>
      <c r="H473" s="12"/>
      <c r="I473" s="12"/>
      <c r="J473" s="12"/>
      <c r="K473" s="12"/>
    </row>
    <row r="474" spans="1:11" s="9" customFormat="1" ht="13.2">
      <c r="A474" s="15"/>
      <c r="B474" s="15"/>
      <c r="C474" s="15"/>
      <c r="D474" s="15"/>
      <c r="E474" s="15"/>
      <c r="F474" s="8"/>
      <c r="G474" s="8"/>
      <c r="H474" s="8"/>
      <c r="I474" s="8"/>
      <c r="J474" s="8"/>
      <c r="K474" s="8"/>
    </row>
    <row r="475" spans="1:11" s="9" customFormat="1" ht="13.2">
      <c r="A475" s="15"/>
      <c r="B475" s="15"/>
      <c r="C475" s="15"/>
      <c r="D475" s="15"/>
      <c r="E475" s="15"/>
      <c r="F475" s="12"/>
      <c r="G475" s="12"/>
      <c r="H475" s="12"/>
      <c r="I475" s="12"/>
      <c r="J475" s="12"/>
      <c r="K475" s="12"/>
    </row>
    <row r="476" spans="1:11" s="9" customFormat="1" ht="13.2">
      <c r="A476" s="15"/>
      <c r="B476" s="15"/>
      <c r="C476" s="15"/>
      <c r="D476" s="15"/>
      <c r="E476" s="15"/>
      <c r="F476" s="12"/>
      <c r="G476" s="12"/>
      <c r="H476" s="12"/>
      <c r="I476" s="12"/>
      <c r="J476" s="12"/>
      <c r="K476" s="12"/>
    </row>
    <row r="477" spans="1:11" s="9" customFormat="1" ht="13.2">
      <c r="A477" s="15"/>
      <c r="B477" s="15"/>
      <c r="C477" s="15"/>
      <c r="D477" s="15"/>
      <c r="E477" s="15"/>
      <c r="F477" s="12"/>
      <c r="G477" s="12"/>
      <c r="H477" s="12"/>
      <c r="I477" s="12"/>
      <c r="J477" s="12"/>
      <c r="K477" s="12"/>
    </row>
    <row r="478" spans="1:11" s="9" customFormat="1" ht="13.2">
      <c r="A478" s="15"/>
      <c r="B478" s="15"/>
      <c r="C478" s="15"/>
      <c r="D478" s="15"/>
      <c r="E478" s="15"/>
      <c r="F478" s="8"/>
      <c r="G478" s="8"/>
      <c r="H478" s="8"/>
      <c r="I478" s="8"/>
      <c r="J478" s="8"/>
      <c r="K478" s="8"/>
    </row>
    <row r="479" spans="1:11" s="9" customFormat="1" ht="13.2">
      <c r="A479" s="15"/>
      <c r="B479" s="15"/>
      <c r="C479" s="15"/>
      <c r="D479" s="15"/>
      <c r="E479" s="15"/>
      <c r="F479" s="8"/>
      <c r="G479" s="8"/>
      <c r="H479" s="8"/>
      <c r="I479" s="8"/>
      <c r="J479" s="8"/>
      <c r="K479" s="8"/>
    </row>
    <row r="480" spans="1:11" s="9" customFormat="1" ht="13.2">
      <c r="A480" s="15"/>
      <c r="B480" s="15"/>
      <c r="C480" s="15"/>
      <c r="D480" s="15"/>
      <c r="E480" s="15"/>
      <c r="F480" s="8"/>
      <c r="G480" s="8"/>
      <c r="H480" s="8"/>
      <c r="I480" s="8"/>
      <c r="J480" s="8"/>
      <c r="K480" s="8"/>
    </row>
    <row r="481" spans="1:11" s="9" customFormat="1" ht="13.2">
      <c r="A481" s="15"/>
      <c r="B481" s="15"/>
      <c r="C481" s="15"/>
      <c r="D481" s="15"/>
      <c r="E481" s="15"/>
      <c r="F481" s="8"/>
      <c r="G481" s="8"/>
      <c r="H481" s="8"/>
      <c r="I481" s="8"/>
      <c r="J481" s="8"/>
      <c r="K481" s="8"/>
    </row>
    <row r="482" spans="1:11" s="9" customFormat="1" ht="13.2">
      <c r="A482" s="15"/>
      <c r="B482" s="15"/>
      <c r="C482" s="15"/>
      <c r="D482" s="15"/>
      <c r="E482" s="15"/>
      <c r="F482" s="8"/>
      <c r="G482" s="8"/>
      <c r="H482" s="8"/>
      <c r="I482" s="8"/>
      <c r="J482" s="8"/>
      <c r="K482" s="8"/>
    </row>
    <row r="483" spans="1:11" s="9" customFormat="1" ht="13.2">
      <c r="A483" s="15"/>
      <c r="B483" s="15"/>
      <c r="C483" s="15"/>
      <c r="D483" s="15"/>
      <c r="E483" s="15"/>
      <c r="F483" s="8"/>
      <c r="G483" s="8"/>
      <c r="H483" s="8"/>
      <c r="I483" s="8"/>
      <c r="J483" s="8"/>
      <c r="K483" s="8"/>
    </row>
    <row r="484" spans="1:11" s="9" customFormat="1" ht="13.2">
      <c r="A484" s="15"/>
      <c r="B484" s="15"/>
      <c r="C484" s="15"/>
      <c r="D484" s="15"/>
      <c r="E484" s="15"/>
      <c r="F484" s="11"/>
      <c r="G484" s="11"/>
      <c r="H484" s="11"/>
      <c r="I484" s="11"/>
      <c r="J484" s="11"/>
      <c r="K484" s="11"/>
    </row>
    <row r="485" spans="1:11" s="9" customFormat="1" ht="13.2">
      <c r="A485" s="15"/>
      <c r="B485" s="15"/>
      <c r="C485" s="15"/>
      <c r="D485" s="15"/>
      <c r="E485" s="15"/>
      <c r="F485" s="11"/>
      <c r="G485" s="11"/>
      <c r="H485" s="11"/>
      <c r="I485" s="11"/>
      <c r="J485" s="11"/>
      <c r="K485" s="11"/>
    </row>
    <row r="486" spans="1:11" s="9" customFormat="1" ht="13.2">
      <c r="A486" s="15"/>
      <c r="B486" s="15"/>
      <c r="C486" s="15"/>
      <c r="D486" s="15"/>
      <c r="E486" s="15"/>
      <c r="F486" s="11"/>
      <c r="G486" s="11"/>
      <c r="H486" s="11"/>
      <c r="I486" s="11"/>
      <c r="J486" s="11"/>
      <c r="K486" s="11"/>
    </row>
    <row r="487" spans="1:11" s="9" customFormat="1" ht="13.2">
      <c r="A487" s="15"/>
      <c r="B487" s="15"/>
      <c r="C487" s="15"/>
      <c r="D487" s="15"/>
      <c r="E487" s="15"/>
      <c r="F487" s="11"/>
      <c r="G487" s="11"/>
      <c r="H487" s="11"/>
      <c r="I487" s="11"/>
      <c r="J487" s="11"/>
      <c r="K487" s="11"/>
    </row>
    <row r="488" spans="1:11" s="9" customFormat="1" ht="13.2">
      <c r="A488" s="15"/>
      <c r="B488" s="15"/>
      <c r="C488" s="15"/>
      <c r="D488" s="15"/>
      <c r="E488" s="15"/>
      <c r="F488" s="11"/>
      <c r="G488" s="11"/>
      <c r="H488" s="11"/>
      <c r="I488" s="11"/>
      <c r="J488" s="11"/>
      <c r="K488" s="11"/>
    </row>
    <row r="489" spans="1:11" s="9" customFormat="1" ht="13.2">
      <c r="A489" s="15"/>
      <c r="B489" s="15"/>
      <c r="C489" s="15"/>
      <c r="D489" s="15"/>
      <c r="E489" s="15"/>
      <c r="F489" s="11"/>
      <c r="G489" s="11"/>
      <c r="H489" s="11"/>
      <c r="I489" s="11"/>
      <c r="J489" s="11"/>
      <c r="K489" s="11"/>
    </row>
    <row r="490" spans="1:11" s="9" customFormat="1" ht="13.2">
      <c r="A490" s="15"/>
      <c r="B490" s="15"/>
      <c r="C490" s="15"/>
      <c r="D490" s="15"/>
      <c r="E490" s="15"/>
      <c r="F490" s="8"/>
      <c r="G490" s="8"/>
      <c r="H490" s="8"/>
      <c r="I490" s="8"/>
      <c r="J490" s="8"/>
      <c r="K490" s="8"/>
    </row>
    <row r="491" spans="1:11" s="9" customFormat="1" ht="13.2">
      <c r="A491" s="15"/>
      <c r="B491" s="15"/>
      <c r="C491" s="15"/>
      <c r="D491" s="15"/>
      <c r="E491" s="15"/>
      <c r="F491" s="8"/>
      <c r="G491" s="8"/>
      <c r="H491" s="8"/>
      <c r="I491" s="8"/>
      <c r="J491" s="8"/>
      <c r="K491" s="8"/>
    </row>
    <row r="492" spans="1:11" s="9" customFormat="1" ht="13.2">
      <c r="A492" s="15"/>
      <c r="B492" s="15"/>
      <c r="C492" s="15"/>
      <c r="D492" s="15"/>
      <c r="E492" s="15"/>
      <c r="F492" s="8"/>
      <c r="G492" s="8"/>
      <c r="H492" s="8"/>
      <c r="I492" s="8"/>
      <c r="J492" s="8"/>
      <c r="K492" s="8"/>
    </row>
    <row r="493" spans="1:11" s="9" customFormat="1" ht="13.2">
      <c r="A493" s="15"/>
      <c r="B493" s="15"/>
      <c r="C493" s="15"/>
      <c r="D493" s="15"/>
      <c r="E493" s="15"/>
      <c r="F493" s="8"/>
      <c r="G493" s="8"/>
      <c r="H493" s="8"/>
      <c r="I493" s="8"/>
      <c r="J493" s="8"/>
      <c r="K493" s="8"/>
    </row>
    <row r="494" spans="1:11" s="9" customFormat="1" ht="13.2">
      <c r="A494" s="15"/>
      <c r="B494" s="15"/>
      <c r="C494" s="15"/>
      <c r="D494" s="15"/>
      <c r="E494" s="15"/>
      <c r="F494" s="8"/>
      <c r="G494" s="8"/>
      <c r="H494" s="8"/>
      <c r="I494" s="8"/>
      <c r="J494" s="8"/>
      <c r="K494" s="8"/>
    </row>
    <row r="495" spans="1:11" s="9" customFormat="1" ht="13.2">
      <c r="A495" s="15"/>
      <c r="B495" s="15"/>
      <c r="C495" s="15"/>
      <c r="D495" s="15"/>
      <c r="E495" s="15"/>
      <c r="F495" s="8"/>
      <c r="G495" s="8"/>
      <c r="H495" s="8"/>
      <c r="I495" s="8"/>
      <c r="J495" s="8"/>
      <c r="K495" s="8"/>
    </row>
    <row r="496" spans="1:11" s="9" customFormat="1" ht="13.2">
      <c r="A496" s="15"/>
      <c r="B496" s="15"/>
      <c r="C496" s="15"/>
      <c r="D496" s="15"/>
      <c r="E496" s="15"/>
      <c r="F496" s="8"/>
      <c r="G496" s="8"/>
      <c r="H496" s="8"/>
      <c r="I496" s="8"/>
      <c r="J496" s="8"/>
      <c r="K496" s="8"/>
    </row>
    <row r="497" spans="1:11" s="9" customFormat="1" ht="13.2">
      <c r="A497" s="6"/>
      <c r="B497" s="6"/>
      <c r="C497" s="6"/>
      <c r="D497" s="6"/>
      <c r="E497" s="6"/>
      <c r="F497" s="12"/>
      <c r="G497" s="12"/>
      <c r="H497" s="12"/>
      <c r="I497" s="12"/>
      <c r="J497" s="12"/>
      <c r="K497" s="12"/>
    </row>
    <row r="498" spans="1:11" s="9" customFormat="1" ht="13.2">
      <c r="A498" s="6"/>
      <c r="B498" s="6"/>
      <c r="C498" s="6"/>
      <c r="D498" s="6"/>
      <c r="E498" s="6"/>
      <c r="F498" s="12"/>
      <c r="G498" s="12"/>
      <c r="H498" s="12"/>
      <c r="I498" s="12"/>
      <c r="J498" s="12"/>
      <c r="K498" s="12"/>
    </row>
    <row r="499" spans="1:11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  <c r="K499" s="11"/>
    </row>
    <row r="500" spans="1:11" s="9" customFormat="1" ht="13.2">
      <c r="A500" s="6"/>
      <c r="B500" s="6"/>
      <c r="C500" s="6"/>
      <c r="D500" s="6"/>
      <c r="E500" s="6"/>
      <c r="F500" s="12"/>
      <c r="G500" s="12"/>
      <c r="H500" s="12"/>
      <c r="I500" s="12"/>
      <c r="J500" s="12"/>
      <c r="K500" s="12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8"/>
      <c r="G502" s="8"/>
      <c r="H502" s="8"/>
      <c r="I502" s="8"/>
      <c r="J502" s="8"/>
      <c r="K502" s="8"/>
    </row>
    <row r="503" spans="1:11" s="9" customFormat="1" ht="13.2">
      <c r="A503" s="6"/>
      <c r="B503" s="6"/>
      <c r="C503" s="6"/>
      <c r="D503" s="6"/>
      <c r="E503" s="6"/>
      <c r="F503" s="11"/>
      <c r="G503" s="11"/>
      <c r="H503" s="11"/>
      <c r="I503" s="11"/>
      <c r="J503" s="11"/>
      <c r="K503" s="11"/>
    </row>
    <row r="504" spans="1:11" s="9" customFormat="1" ht="13.2">
      <c r="A504" s="6"/>
      <c r="B504" s="6"/>
      <c r="C504" s="6"/>
      <c r="D504" s="6"/>
      <c r="E504" s="6"/>
      <c r="F504" s="12"/>
      <c r="G504" s="12"/>
      <c r="H504" s="12"/>
      <c r="I504" s="12"/>
      <c r="J504" s="12"/>
      <c r="K504" s="12"/>
    </row>
    <row r="505" spans="1:11" s="9" customFormat="1" ht="13.2">
      <c r="A505" s="6"/>
      <c r="B505" s="6"/>
      <c r="C505" s="6"/>
      <c r="D505" s="6"/>
      <c r="E505" s="6"/>
      <c r="F505" s="11"/>
      <c r="G505" s="11"/>
      <c r="H505" s="11"/>
      <c r="I505" s="11"/>
      <c r="J505" s="11"/>
      <c r="K505" s="11"/>
    </row>
    <row r="506" spans="1:11" s="9" customFormat="1" ht="13.2">
      <c r="A506" s="6"/>
      <c r="B506" s="6"/>
      <c r="C506" s="6"/>
      <c r="D506" s="6"/>
      <c r="E506" s="6"/>
      <c r="F506" s="11"/>
      <c r="G506" s="11"/>
      <c r="H506" s="11"/>
      <c r="I506" s="11"/>
      <c r="J506" s="11"/>
      <c r="K506" s="11"/>
    </row>
    <row r="507" spans="1:11" s="9" customFormat="1" ht="13.2">
      <c r="A507" s="6"/>
      <c r="B507" s="6"/>
      <c r="C507" s="6"/>
      <c r="D507" s="6"/>
      <c r="E507" s="6"/>
      <c r="F507" s="11"/>
      <c r="G507" s="11"/>
      <c r="H507" s="11"/>
      <c r="I507" s="11"/>
      <c r="J507" s="11"/>
      <c r="K507" s="11"/>
    </row>
    <row r="508" spans="1:11" s="9" customFormat="1" ht="13.2">
      <c r="A508" s="6"/>
      <c r="B508" s="6"/>
      <c r="C508" s="6"/>
      <c r="D508" s="6"/>
      <c r="E508" s="6"/>
      <c r="F508" s="11"/>
      <c r="G508" s="11"/>
      <c r="H508" s="11"/>
      <c r="I508" s="11"/>
      <c r="J508" s="11"/>
      <c r="K508" s="11"/>
    </row>
    <row r="509" spans="1:11" s="9" customFormat="1" ht="13.2">
      <c r="A509" s="6"/>
      <c r="B509" s="6"/>
      <c r="C509" s="6"/>
      <c r="D509" s="6"/>
      <c r="E509" s="6"/>
      <c r="F509" s="11"/>
      <c r="G509" s="11"/>
      <c r="H509" s="11"/>
      <c r="I509" s="11"/>
      <c r="J509" s="11"/>
      <c r="K509" s="11"/>
    </row>
    <row r="510" spans="1:11" s="9" customFormat="1" ht="13.2">
      <c r="A510" s="6"/>
      <c r="B510" s="6"/>
      <c r="C510" s="6"/>
      <c r="D510" s="6"/>
      <c r="E510" s="6"/>
      <c r="F510" s="11"/>
      <c r="G510" s="11"/>
      <c r="H510" s="11"/>
      <c r="I510" s="11"/>
      <c r="J510" s="11"/>
      <c r="K510" s="11"/>
    </row>
    <row r="511" spans="1:11" s="9" customFormat="1" ht="13.2">
      <c r="A511" s="6"/>
      <c r="B511" s="6"/>
      <c r="C511" s="6"/>
      <c r="D511" s="6"/>
      <c r="E511" s="6"/>
      <c r="F511" s="11"/>
      <c r="G511" s="11"/>
      <c r="H511" s="11"/>
      <c r="I511" s="11"/>
      <c r="J511" s="11"/>
      <c r="K511" s="11"/>
    </row>
    <row r="512" spans="1:11" s="9" customFormat="1" ht="13.2">
      <c r="A512" s="6"/>
      <c r="B512" s="6"/>
      <c r="C512" s="6"/>
      <c r="D512" s="6"/>
      <c r="E512" s="6"/>
      <c r="F512" s="11"/>
      <c r="G512" s="11"/>
      <c r="H512" s="11"/>
      <c r="I512" s="11"/>
      <c r="J512" s="11"/>
      <c r="K512" s="11"/>
    </row>
    <row r="513" spans="1:11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  <c r="K513" s="8"/>
    </row>
    <row r="514" spans="1:11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  <c r="K514" s="8"/>
    </row>
    <row r="515" spans="1:11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  <c r="K515" s="8"/>
    </row>
    <row r="516" spans="1:11" s="9" customFormat="1" ht="13.2">
      <c r="A516" s="6"/>
      <c r="B516" s="6"/>
      <c r="C516" s="6"/>
      <c r="D516" s="6"/>
      <c r="E516" s="6"/>
      <c r="F516" s="8"/>
      <c r="G516" s="8"/>
      <c r="H516" s="8"/>
      <c r="I516" s="8"/>
      <c r="J516" s="8"/>
      <c r="K516" s="8"/>
    </row>
    <row r="517" spans="1:11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  <c r="K517" s="8"/>
    </row>
    <row r="518" spans="1:11" s="9" customFormat="1" ht="13.2">
      <c r="A518" s="6"/>
      <c r="B518" s="6"/>
      <c r="C518" s="6"/>
      <c r="D518" s="6"/>
      <c r="E518" s="6"/>
      <c r="F518" s="8"/>
      <c r="G518" s="8"/>
      <c r="H518" s="8"/>
      <c r="I518" s="8"/>
      <c r="J518" s="8"/>
      <c r="K518" s="8"/>
    </row>
    <row r="519" spans="1:11" s="9" customFormat="1" ht="13.2">
      <c r="A519" s="6"/>
      <c r="B519" s="6"/>
      <c r="C519" s="6"/>
      <c r="D519" s="6"/>
      <c r="E519" s="6"/>
      <c r="F519" s="12"/>
      <c r="G519" s="12"/>
      <c r="H519" s="12"/>
      <c r="I519" s="12"/>
      <c r="J519" s="12"/>
      <c r="K519" s="12"/>
    </row>
    <row r="520" spans="1:11" s="9" customFormat="1" ht="13.2">
      <c r="A520" s="6"/>
      <c r="B520" s="6"/>
      <c r="C520" s="6"/>
      <c r="D520" s="6"/>
      <c r="E520" s="6"/>
      <c r="F520" s="10"/>
      <c r="G520" s="10"/>
      <c r="H520" s="10"/>
      <c r="I520" s="10"/>
      <c r="J520" s="10"/>
      <c r="K520" s="10"/>
    </row>
    <row r="521" spans="1:11" s="9" customFormat="1" ht="13.2">
      <c r="A521" s="6"/>
      <c r="B521" s="6"/>
      <c r="C521" s="6"/>
      <c r="D521" s="6"/>
      <c r="E521" s="6"/>
      <c r="F521" s="12"/>
      <c r="G521" s="12"/>
      <c r="H521" s="12"/>
      <c r="I521" s="12"/>
      <c r="J521" s="12"/>
      <c r="K521" s="12"/>
    </row>
    <row r="522" spans="1:11" s="9" customFormat="1" ht="13.2">
      <c r="A522" s="6"/>
      <c r="B522" s="6"/>
      <c r="C522" s="6"/>
      <c r="D522" s="6"/>
      <c r="E522" s="6"/>
      <c r="F522" s="12"/>
      <c r="G522" s="12"/>
      <c r="H522" s="12"/>
      <c r="I522" s="12"/>
      <c r="J522" s="12"/>
      <c r="K522" s="12"/>
    </row>
    <row r="523" spans="1:11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  <c r="K523" s="8"/>
    </row>
    <row r="524" spans="1:11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  <c r="K524" s="8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11"/>
      <c r="G527" s="11"/>
      <c r="H527" s="11"/>
      <c r="I527" s="11"/>
      <c r="J527" s="11"/>
      <c r="K527" s="11"/>
    </row>
    <row r="528" spans="1:11" s="9" customFormat="1" ht="13.2">
      <c r="A528" s="6"/>
      <c r="B528" s="6"/>
      <c r="C528" s="6"/>
      <c r="D528" s="6"/>
      <c r="E528" s="6"/>
      <c r="F528" s="12"/>
      <c r="G528" s="12"/>
      <c r="H528" s="12"/>
      <c r="I528" s="12"/>
      <c r="J528" s="12"/>
      <c r="K528" s="12"/>
    </row>
    <row r="529" spans="1:11" s="9" customFormat="1" ht="13.2">
      <c r="A529" s="6"/>
      <c r="B529" s="6"/>
      <c r="C529" s="6"/>
      <c r="D529" s="6"/>
      <c r="E529" s="6"/>
      <c r="F529" s="10"/>
      <c r="G529" s="10"/>
      <c r="H529" s="10"/>
      <c r="I529" s="10"/>
      <c r="J529" s="10"/>
      <c r="K529" s="10"/>
    </row>
    <row r="530" spans="1:11" s="9" customFormat="1" ht="13.2">
      <c r="A530" s="6"/>
      <c r="B530" s="6"/>
      <c r="C530" s="6"/>
      <c r="D530" s="6"/>
      <c r="E530" s="6"/>
      <c r="F530" s="11"/>
      <c r="G530" s="11"/>
      <c r="H530" s="11"/>
      <c r="I530" s="11"/>
      <c r="J530" s="11"/>
      <c r="K530" s="11"/>
    </row>
    <row r="531" spans="1:11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  <c r="K531" s="8"/>
    </row>
    <row r="532" spans="1:11" s="9" customFormat="1" ht="13.2">
      <c r="A532" s="6"/>
      <c r="B532" s="6"/>
      <c r="C532" s="6"/>
      <c r="D532" s="6"/>
      <c r="E532" s="6"/>
      <c r="F532" s="7"/>
      <c r="G532" s="7"/>
      <c r="H532" s="7"/>
      <c r="I532" s="7"/>
      <c r="J532" s="7"/>
      <c r="K532" s="7"/>
    </row>
    <row r="533" spans="1:11" s="9" customFormat="1" ht="13.2">
      <c r="A533" s="6"/>
      <c r="B533" s="6"/>
      <c r="C533" s="6"/>
      <c r="D533" s="6"/>
      <c r="E533" s="6"/>
      <c r="F533" s="7"/>
      <c r="G533" s="7"/>
      <c r="H533" s="7"/>
      <c r="I533" s="7"/>
      <c r="J533" s="7"/>
      <c r="K533" s="7"/>
    </row>
    <row r="534" spans="1:11" s="9" customFormat="1" ht="13.2">
      <c r="A534" s="6"/>
      <c r="B534" s="6"/>
      <c r="C534" s="6"/>
      <c r="D534" s="6"/>
      <c r="E534" s="6"/>
      <c r="F534" s="7"/>
      <c r="G534" s="7"/>
      <c r="H534" s="7"/>
      <c r="I534" s="7"/>
      <c r="J534" s="7"/>
      <c r="K534" s="7"/>
    </row>
    <row r="535" spans="1:11" s="9" customFormat="1" ht="13.2">
      <c r="A535" s="6"/>
      <c r="B535" s="6"/>
      <c r="C535" s="6"/>
      <c r="D535" s="6"/>
      <c r="E535" s="6"/>
      <c r="F535" s="7"/>
      <c r="G535" s="7"/>
      <c r="H535" s="7"/>
      <c r="I535" s="7"/>
      <c r="J535" s="7"/>
      <c r="K535" s="7"/>
    </row>
    <row r="536" spans="1:11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  <c r="K536" s="8"/>
    </row>
    <row r="537" spans="1:11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  <c r="K537" s="8"/>
    </row>
    <row r="538" spans="1:11" s="9" customFormat="1" ht="13.2">
      <c r="A538" s="6"/>
      <c r="B538" s="6"/>
      <c r="C538" s="6"/>
      <c r="D538" s="6"/>
      <c r="E538" s="6"/>
      <c r="F538" s="8"/>
      <c r="G538" s="8"/>
      <c r="H538" s="8"/>
      <c r="I538" s="8"/>
      <c r="J538" s="8"/>
      <c r="K538" s="8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  <c r="K540" s="8"/>
    </row>
    <row r="541" spans="1:11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  <c r="K541" s="8"/>
    </row>
    <row r="542" spans="1:11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  <c r="K542" s="8"/>
    </row>
    <row r="543" spans="1:11" s="9" customFormat="1" ht="13.2">
      <c r="A543" s="6"/>
      <c r="B543" s="6"/>
      <c r="C543" s="6"/>
      <c r="D543" s="6"/>
      <c r="E543" s="6"/>
      <c r="F543" s="8"/>
      <c r="G543" s="8"/>
      <c r="H543" s="8"/>
      <c r="I543" s="8"/>
      <c r="J543" s="8"/>
      <c r="K543" s="8"/>
    </row>
    <row r="544" spans="1:11" s="9" customFormat="1" ht="13.2">
      <c r="A544" s="6"/>
      <c r="B544" s="6"/>
      <c r="C544" s="6"/>
      <c r="D544" s="6"/>
      <c r="E544" s="6"/>
      <c r="F544" s="12"/>
      <c r="G544" s="12"/>
      <c r="H544" s="12"/>
      <c r="I544" s="12"/>
      <c r="J544" s="12"/>
      <c r="K544" s="12"/>
    </row>
    <row r="545" spans="1:11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  <c r="K545" s="11"/>
    </row>
    <row r="546" spans="1:11" s="9" customFormat="1" ht="13.2">
      <c r="A546" s="6"/>
      <c r="B546" s="6"/>
      <c r="C546" s="6"/>
      <c r="D546" s="6"/>
      <c r="E546" s="6"/>
      <c r="F546" s="12"/>
      <c r="G546" s="12"/>
      <c r="H546" s="12"/>
      <c r="I546" s="12"/>
      <c r="J546" s="12"/>
      <c r="K546" s="12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12"/>
      <c r="G548" s="12"/>
      <c r="H548" s="12"/>
      <c r="I548" s="12"/>
      <c r="J548" s="12"/>
      <c r="K548" s="12"/>
    </row>
    <row r="549" spans="1:11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  <c r="K549" s="8"/>
    </row>
    <row r="550" spans="1:11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  <c r="K550" s="8"/>
    </row>
    <row r="551" spans="1:11" s="9" customFormat="1" ht="13.2">
      <c r="A551" s="6"/>
      <c r="B551" s="6"/>
      <c r="C551" s="6"/>
      <c r="D551" s="6"/>
      <c r="E551" s="6"/>
      <c r="F551" s="12"/>
      <c r="G551" s="12"/>
      <c r="H551" s="12"/>
      <c r="I551" s="12"/>
      <c r="J551" s="12"/>
      <c r="K551" s="12"/>
    </row>
    <row r="552" spans="1:11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  <c r="K552" s="8"/>
    </row>
    <row r="553" spans="1:11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  <c r="K553" s="8"/>
    </row>
    <row r="554" spans="1:11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  <c r="K554" s="11"/>
    </row>
    <row r="555" spans="1:11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  <c r="K555" s="8"/>
    </row>
    <row r="556" spans="1:11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  <c r="K556" s="8"/>
    </row>
    <row r="557" spans="1:11" s="9" customFormat="1" ht="13.2">
      <c r="A557" s="6"/>
      <c r="B557" s="6"/>
      <c r="C557" s="6"/>
      <c r="D557" s="6"/>
      <c r="E557" s="6"/>
      <c r="F557" s="8"/>
      <c r="G557" s="8"/>
      <c r="H557" s="8"/>
      <c r="I557" s="8"/>
      <c r="J557" s="8"/>
      <c r="K557" s="8"/>
    </row>
    <row r="558" spans="1:11" s="9" customFormat="1" ht="13.2">
      <c r="A558" s="6"/>
      <c r="B558" s="6"/>
      <c r="C558" s="6"/>
      <c r="D558" s="6"/>
      <c r="E558" s="6"/>
      <c r="F558" s="11"/>
      <c r="G558" s="11"/>
      <c r="H558" s="11"/>
      <c r="I558" s="11"/>
      <c r="J558" s="11"/>
      <c r="K558" s="11"/>
    </row>
    <row r="559" spans="1:11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  <c r="K559" s="8"/>
    </row>
    <row r="560" spans="1:11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  <c r="K560" s="8"/>
    </row>
    <row r="561" spans="1:11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  <c r="K561" s="8"/>
    </row>
    <row r="562" spans="1:11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  <c r="K562" s="8"/>
    </row>
    <row r="563" spans="1:11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  <c r="K563" s="8"/>
    </row>
    <row r="564" spans="1:11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  <c r="K564" s="8"/>
    </row>
    <row r="565" spans="1:11" s="9" customFormat="1" ht="13.2">
      <c r="A565" s="6"/>
      <c r="B565" s="6"/>
      <c r="C565" s="6"/>
      <c r="D565" s="6"/>
      <c r="E565" s="6"/>
      <c r="F565" s="10"/>
      <c r="G565" s="10"/>
      <c r="H565" s="10"/>
      <c r="I565" s="10"/>
      <c r="J565" s="10"/>
      <c r="K565" s="10"/>
    </row>
    <row r="566" spans="1:11" s="9" customFormat="1" ht="13.2">
      <c r="A566" s="6"/>
      <c r="B566" s="6"/>
      <c r="C566" s="6"/>
      <c r="D566" s="6"/>
      <c r="E566" s="6"/>
      <c r="F566" s="11"/>
      <c r="G566" s="11"/>
      <c r="H566" s="11"/>
      <c r="I566" s="11"/>
      <c r="J566" s="11"/>
      <c r="K566" s="11"/>
    </row>
    <row r="567" spans="1:11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  <c r="K567" s="8"/>
    </row>
    <row r="568" spans="1:11" s="9" customFormat="1" ht="13.2">
      <c r="A568" s="6"/>
      <c r="B568" s="6"/>
      <c r="C568" s="6"/>
      <c r="D568" s="6"/>
      <c r="E568" s="6"/>
      <c r="F568" s="11"/>
      <c r="G568" s="11"/>
      <c r="H568" s="11"/>
      <c r="I568" s="11"/>
      <c r="J568" s="11"/>
      <c r="K568" s="11"/>
    </row>
    <row r="569" spans="1:11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  <c r="K569" s="8"/>
    </row>
    <row r="570" spans="1:11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  <c r="K570" s="8"/>
    </row>
    <row r="571" spans="1:11" s="9" customFormat="1" ht="13.2">
      <c r="A571" s="6"/>
      <c r="B571" s="6"/>
      <c r="C571" s="6"/>
      <c r="D571" s="6"/>
      <c r="E571" s="6"/>
      <c r="F571" s="11"/>
      <c r="G571" s="11"/>
      <c r="H571" s="11"/>
      <c r="I571" s="11"/>
      <c r="J571" s="11"/>
      <c r="K571" s="11"/>
    </row>
    <row r="572" spans="1:11" s="9" customFormat="1" ht="13.2">
      <c r="A572" s="6"/>
      <c r="B572" s="6"/>
      <c r="C572" s="6"/>
      <c r="D572" s="6"/>
      <c r="E572" s="6"/>
      <c r="F572" s="11"/>
      <c r="G572" s="11"/>
      <c r="H572" s="11"/>
      <c r="I572" s="11"/>
      <c r="J572" s="11"/>
      <c r="K572" s="11"/>
    </row>
    <row r="573" spans="1:11" s="9" customFormat="1" ht="13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spans="1:11" s="9" customFormat="1" ht="13.2">
      <c r="A574" s="6"/>
      <c r="B574" s="6"/>
      <c r="C574" s="6"/>
      <c r="D574" s="6"/>
      <c r="E574" s="6"/>
      <c r="F574" s="11"/>
      <c r="G574" s="11"/>
      <c r="H574" s="11"/>
      <c r="I574" s="11"/>
      <c r="J574" s="11"/>
      <c r="K574" s="11"/>
    </row>
    <row r="575" spans="1:11" s="9" customFormat="1" ht="13.2">
      <c r="A575" s="6"/>
      <c r="B575" s="6"/>
      <c r="C575" s="6"/>
      <c r="D575" s="6"/>
      <c r="E575" s="6"/>
      <c r="F575" s="11"/>
      <c r="G575" s="11"/>
      <c r="H575" s="11"/>
      <c r="I575" s="11"/>
      <c r="J575" s="11"/>
      <c r="K575" s="11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  <c r="K580" s="8"/>
    </row>
    <row r="581" spans="1:11" s="9" customFormat="1" ht="13.2">
      <c r="A581" s="6"/>
      <c r="B581" s="6"/>
      <c r="C581" s="6"/>
      <c r="D581" s="6"/>
      <c r="E581" s="6"/>
      <c r="F581" s="7"/>
      <c r="G581" s="7"/>
      <c r="H581" s="7"/>
      <c r="I581" s="7"/>
      <c r="J581" s="7"/>
      <c r="K581" s="7"/>
    </row>
    <row r="582" spans="1:11" s="9" customFormat="1" ht="13.2">
      <c r="A582" s="6"/>
      <c r="B582" s="6"/>
      <c r="C582" s="6"/>
      <c r="D582" s="6"/>
      <c r="E582" s="6"/>
      <c r="F582" s="7"/>
      <c r="G582" s="7"/>
      <c r="H582" s="7"/>
      <c r="I582" s="7"/>
      <c r="J582" s="7"/>
      <c r="K582" s="7"/>
    </row>
    <row r="583" spans="1:11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  <c r="K583" s="8"/>
    </row>
    <row r="584" spans="1:11" s="9" customFormat="1" ht="13.2">
      <c r="A584" s="6"/>
      <c r="B584" s="6"/>
      <c r="C584" s="6"/>
      <c r="D584" s="6"/>
      <c r="E584" s="6"/>
      <c r="F584" s="11"/>
      <c r="G584" s="11"/>
      <c r="H584" s="11"/>
      <c r="I584" s="11"/>
      <c r="J584" s="11"/>
      <c r="K584" s="11"/>
    </row>
    <row r="585" spans="1:11" s="9" customFormat="1" ht="13.2">
      <c r="A585" s="6"/>
      <c r="B585" s="6"/>
      <c r="C585" s="6"/>
      <c r="D585" s="6"/>
      <c r="E585" s="6"/>
      <c r="F585" s="7"/>
      <c r="G585" s="7"/>
      <c r="H585" s="7"/>
      <c r="I585" s="7"/>
      <c r="J585" s="7"/>
      <c r="K585" s="7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7"/>
      <c r="G587" s="7"/>
      <c r="H587" s="7"/>
      <c r="I587" s="7"/>
      <c r="J587" s="7"/>
      <c r="K587" s="7"/>
    </row>
    <row r="588" spans="1:11" s="9" customFormat="1" ht="13.2">
      <c r="A588" s="6"/>
      <c r="B588" s="6"/>
      <c r="C588" s="6"/>
      <c r="D588" s="6"/>
      <c r="E588" s="6"/>
      <c r="F588" s="7"/>
      <c r="G588" s="7"/>
      <c r="H588" s="7"/>
      <c r="I588" s="7"/>
      <c r="J588" s="7"/>
      <c r="K588" s="7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7"/>
      <c r="G596" s="7"/>
      <c r="H596" s="7"/>
      <c r="I596" s="7"/>
      <c r="J596" s="7"/>
      <c r="K596" s="7"/>
    </row>
    <row r="597" spans="1:11" s="9" customFormat="1" ht="13.2">
      <c r="A597" s="6"/>
      <c r="B597" s="6"/>
      <c r="C597" s="6"/>
      <c r="D597" s="6"/>
      <c r="E597" s="6"/>
      <c r="F597" s="7"/>
      <c r="G597" s="7"/>
      <c r="H597" s="7"/>
      <c r="I597" s="7"/>
      <c r="J597" s="7"/>
      <c r="K597" s="7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8"/>
      <c r="G608" s="8"/>
      <c r="H608" s="8"/>
      <c r="I608" s="8"/>
      <c r="J608" s="8"/>
      <c r="K608" s="8"/>
    </row>
    <row r="609" spans="1:11" s="9" customFormat="1" ht="13.2">
      <c r="A609" s="6"/>
      <c r="B609" s="6"/>
      <c r="C609" s="6"/>
      <c r="D609" s="6"/>
      <c r="E609" s="6"/>
      <c r="F609" s="8"/>
      <c r="G609" s="8"/>
      <c r="H609" s="8"/>
      <c r="I609" s="8"/>
      <c r="J609" s="8"/>
      <c r="K609" s="8"/>
    </row>
    <row r="610" spans="1:11" s="9" customFormat="1" ht="13.2">
      <c r="A610" s="6"/>
      <c r="B610" s="6"/>
      <c r="C610" s="6"/>
      <c r="D610" s="6"/>
      <c r="E610" s="6"/>
      <c r="F610" s="8"/>
      <c r="G610" s="8"/>
      <c r="H610" s="8"/>
      <c r="I610" s="8"/>
      <c r="J610" s="8"/>
      <c r="K610" s="8"/>
    </row>
    <row r="611" spans="1:11" s="9" customFormat="1" ht="13.2">
      <c r="A611" s="6"/>
      <c r="B611" s="6"/>
      <c r="C611" s="6"/>
      <c r="D611" s="6"/>
      <c r="E611" s="6"/>
      <c r="F611" s="8"/>
      <c r="G611" s="8"/>
      <c r="H611" s="8"/>
      <c r="I611" s="8"/>
      <c r="J611" s="8"/>
      <c r="K611" s="8"/>
    </row>
    <row r="612" spans="1:11" s="9" customFormat="1" ht="13.2">
      <c r="A612" s="6"/>
      <c r="B612" s="6"/>
      <c r="C612" s="6"/>
      <c r="D612" s="6"/>
      <c r="E612" s="6"/>
      <c r="F612" s="8"/>
      <c r="G612" s="8"/>
      <c r="H612" s="8"/>
      <c r="I612" s="8"/>
      <c r="J612" s="8"/>
      <c r="K612" s="8"/>
    </row>
    <row r="613" spans="1:11" s="9" customFormat="1" ht="13.2">
      <c r="A613" s="6"/>
      <c r="B613" s="6"/>
      <c r="C613" s="6"/>
      <c r="D613" s="6"/>
      <c r="E613" s="6"/>
      <c r="F613" s="8"/>
      <c r="G613" s="8"/>
      <c r="H613" s="8"/>
      <c r="I613" s="8"/>
      <c r="J613" s="8"/>
      <c r="K613" s="8"/>
    </row>
    <row r="614" spans="1:11" s="9" customFormat="1" ht="13.2">
      <c r="A614" s="6"/>
      <c r="B614" s="6"/>
      <c r="C614" s="6"/>
      <c r="D614" s="6"/>
      <c r="E614" s="6"/>
      <c r="F614" s="8"/>
      <c r="G614" s="8"/>
      <c r="H614" s="8"/>
      <c r="I614" s="8"/>
      <c r="J614" s="8"/>
      <c r="K614" s="8"/>
    </row>
    <row r="615" spans="1:11" s="9" customFormat="1" ht="13.2">
      <c r="A615" s="6"/>
      <c r="B615" s="6"/>
      <c r="C615" s="6"/>
      <c r="D615" s="6"/>
      <c r="E615" s="6"/>
      <c r="F615" s="8"/>
      <c r="G615" s="8"/>
      <c r="H615" s="8"/>
      <c r="I615" s="8"/>
      <c r="J615" s="8"/>
      <c r="K615" s="8"/>
    </row>
    <row r="616" spans="1:11" s="9" customFormat="1" ht="13.2">
      <c r="A616" s="6"/>
      <c r="B616" s="6"/>
      <c r="C616" s="6"/>
      <c r="D616" s="6"/>
      <c r="E616" s="6"/>
      <c r="F616" s="8"/>
      <c r="G616" s="8"/>
      <c r="H616" s="8"/>
      <c r="I616" s="8"/>
      <c r="J616" s="8"/>
      <c r="K616" s="8"/>
    </row>
    <row r="617" spans="1:11" s="9" customFormat="1" ht="13.2">
      <c r="A617" s="6"/>
      <c r="B617" s="6"/>
      <c r="C617" s="6"/>
      <c r="D617" s="6"/>
      <c r="E617" s="6"/>
      <c r="F617" s="8"/>
      <c r="G617" s="8"/>
      <c r="H617" s="8"/>
      <c r="I617" s="8"/>
      <c r="J617" s="8"/>
      <c r="K617" s="8"/>
    </row>
    <row r="618" spans="1:11" s="9" customFormat="1" ht="13.2">
      <c r="A618" s="6"/>
      <c r="B618" s="6"/>
      <c r="C618" s="6"/>
      <c r="D618" s="6"/>
      <c r="E618" s="6"/>
      <c r="F618" s="8"/>
      <c r="G618" s="8"/>
      <c r="H618" s="8"/>
      <c r="I618" s="8"/>
      <c r="J618" s="8"/>
      <c r="K618" s="8"/>
    </row>
    <row r="619" spans="1:11" s="9" customFormat="1" ht="13.2">
      <c r="A619" s="6"/>
      <c r="B619" s="6"/>
      <c r="C619" s="6"/>
      <c r="D619" s="6"/>
      <c r="E619" s="6"/>
      <c r="F619" s="8"/>
      <c r="G619" s="8"/>
      <c r="H619" s="8"/>
      <c r="I619" s="8"/>
      <c r="J619" s="8"/>
      <c r="K619" s="8"/>
    </row>
    <row r="620" spans="1:11" s="9" customFormat="1" ht="13.2">
      <c r="A620" s="6"/>
      <c r="B620" s="6"/>
      <c r="C620" s="6"/>
      <c r="D620" s="6"/>
      <c r="E620" s="6"/>
      <c r="F620" s="8"/>
      <c r="G620" s="8"/>
      <c r="H620" s="8"/>
      <c r="I620" s="8"/>
      <c r="J620" s="8"/>
      <c r="K620" s="8"/>
    </row>
    <row r="621" spans="1:11" s="9" customFormat="1" ht="13.2">
      <c r="A621" s="6"/>
      <c r="B621" s="6"/>
      <c r="C621" s="6"/>
      <c r="D621" s="6"/>
      <c r="E621" s="6"/>
      <c r="F621" s="8"/>
      <c r="G621" s="8"/>
      <c r="H621" s="8"/>
      <c r="I621" s="8"/>
      <c r="J621" s="8"/>
      <c r="K621" s="8"/>
    </row>
    <row r="622" spans="1:11" s="9" customFormat="1" ht="13.2">
      <c r="A622" s="6"/>
      <c r="B622" s="6"/>
      <c r="C622" s="6"/>
      <c r="D622" s="6"/>
      <c r="E622" s="6"/>
      <c r="F622" s="8"/>
      <c r="G622" s="8"/>
      <c r="H622" s="8"/>
      <c r="I622" s="8"/>
      <c r="J622" s="8"/>
      <c r="K622" s="8"/>
    </row>
    <row r="623" spans="1:11" s="9" customFormat="1" ht="13.2">
      <c r="A623" s="6"/>
      <c r="B623" s="6"/>
      <c r="C623" s="6"/>
      <c r="D623" s="6"/>
      <c r="E623" s="6"/>
      <c r="F623" s="8"/>
      <c r="G623" s="8"/>
      <c r="H623" s="8"/>
      <c r="I623" s="8"/>
      <c r="J623" s="8"/>
      <c r="K623" s="8"/>
    </row>
    <row r="624" spans="1:11" s="9" customFormat="1" ht="13.2">
      <c r="A624" s="6"/>
      <c r="B624" s="6"/>
      <c r="C624" s="6"/>
      <c r="D624" s="6"/>
      <c r="E624" s="6"/>
      <c r="F624" s="8"/>
      <c r="G624" s="8"/>
      <c r="H624" s="8"/>
      <c r="I624" s="8"/>
      <c r="J624" s="8"/>
      <c r="K624" s="8"/>
    </row>
    <row r="625" spans="1:11" s="9" customFormat="1" ht="13.2">
      <c r="A625" s="6"/>
      <c r="B625" s="6"/>
      <c r="C625" s="6"/>
      <c r="D625" s="6"/>
      <c r="E625" s="6"/>
      <c r="F625" s="10"/>
      <c r="G625" s="10"/>
      <c r="H625" s="10"/>
      <c r="I625" s="10"/>
      <c r="J625" s="10"/>
      <c r="K625" s="10"/>
    </row>
    <row r="626" spans="1:11" s="9" customFormat="1" ht="13.2">
      <c r="A626" s="6"/>
      <c r="B626" s="6"/>
      <c r="C626" s="6"/>
      <c r="D626" s="6"/>
      <c r="E626" s="6"/>
      <c r="F626" s="10"/>
      <c r="G626" s="10"/>
      <c r="H626" s="10"/>
      <c r="I626" s="10"/>
      <c r="J626" s="10"/>
      <c r="K626" s="10"/>
    </row>
    <row r="627" spans="1:11" s="9" customFormat="1" ht="13.2">
      <c r="A627" s="6"/>
      <c r="B627" s="6"/>
      <c r="C627" s="6"/>
      <c r="D627" s="6"/>
      <c r="E627" s="6"/>
      <c r="F627" s="10"/>
      <c r="G627" s="10"/>
      <c r="H627" s="10"/>
      <c r="I627" s="10"/>
      <c r="J627" s="10"/>
      <c r="K627" s="10"/>
    </row>
    <row r="628" spans="1:11" s="9" customFormat="1" ht="13.2">
      <c r="A628" s="6"/>
      <c r="B628" s="6"/>
      <c r="C628" s="6"/>
      <c r="D628" s="6"/>
      <c r="E628" s="6"/>
      <c r="F628" s="8"/>
      <c r="G628" s="8"/>
      <c r="H628" s="8"/>
      <c r="I628" s="8"/>
      <c r="J628" s="8"/>
      <c r="K628" s="8"/>
    </row>
    <row r="629" spans="1:11" s="9" customFormat="1" ht="13.2">
      <c r="A629" s="6"/>
      <c r="B629" s="6"/>
      <c r="C629" s="6"/>
      <c r="D629" s="6"/>
      <c r="E629" s="6"/>
      <c r="F629" s="8"/>
      <c r="G629" s="8"/>
      <c r="H629" s="8"/>
      <c r="I629" s="8"/>
      <c r="J629" s="8"/>
      <c r="K629" s="8"/>
    </row>
    <row r="630" spans="1:11" s="9" customFormat="1" ht="13.2">
      <c r="A630" s="6"/>
      <c r="B630" s="6"/>
      <c r="C630" s="6"/>
      <c r="D630" s="6"/>
      <c r="E630" s="6"/>
      <c r="F630" s="10"/>
      <c r="G630" s="10"/>
      <c r="H630" s="10"/>
      <c r="I630" s="10"/>
      <c r="J630" s="10"/>
      <c r="K630" s="10"/>
    </row>
    <row r="631" spans="1:11" s="9" customFormat="1" ht="13.2">
      <c r="A631" s="6"/>
      <c r="B631" s="6"/>
      <c r="C631" s="6"/>
      <c r="D631" s="6"/>
      <c r="E631" s="6"/>
      <c r="F631" s="10"/>
      <c r="G631" s="10"/>
      <c r="H631" s="10"/>
      <c r="I631" s="10"/>
      <c r="J631" s="10"/>
      <c r="K631" s="10"/>
    </row>
    <row r="632" spans="1:11" s="9" customFormat="1" ht="13.2">
      <c r="A632" s="6"/>
      <c r="B632" s="6"/>
      <c r="C632" s="6"/>
      <c r="D632" s="6"/>
      <c r="E632" s="6"/>
      <c r="F632" s="10"/>
      <c r="G632" s="10"/>
      <c r="H632" s="10"/>
      <c r="I632" s="10"/>
      <c r="J632" s="10"/>
      <c r="K632" s="10"/>
    </row>
    <row r="633" spans="1:11" s="9" customFormat="1" ht="13.2">
      <c r="A633" s="6"/>
      <c r="B633" s="6"/>
      <c r="C633" s="6"/>
      <c r="D633" s="6"/>
      <c r="E633" s="6"/>
      <c r="F633" s="8"/>
      <c r="G633" s="8"/>
      <c r="H633" s="8"/>
      <c r="I633" s="8"/>
      <c r="J633" s="8"/>
      <c r="K633" s="8"/>
    </row>
    <row r="634" spans="1:11" s="9" customFormat="1" ht="13.2">
      <c r="A634" s="6"/>
      <c r="B634" s="6"/>
      <c r="C634" s="6"/>
      <c r="D634" s="6"/>
      <c r="E634" s="6"/>
      <c r="F634" s="8"/>
      <c r="G634" s="8"/>
      <c r="H634" s="8"/>
      <c r="I634" s="8"/>
      <c r="J634" s="8"/>
      <c r="K634" s="8"/>
    </row>
    <row r="635" spans="1:11" s="9" customFormat="1" ht="13.2">
      <c r="A635" s="6"/>
      <c r="B635" s="6"/>
      <c r="C635" s="6"/>
      <c r="D635" s="6"/>
      <c r="E635" s="6"/>
      <c r="F635" s="8"/>
      <c r="G635" s="8"/>
      <c r="H635" s="8"/>
      <c r="I635" s="8"/>
      <c r="J635" s="8"/>
      <c r="K635" s="8"/>
    </row>
    <row r="636" spans="1:11" s="9" customFormat="1" ht="13.2">
      <c r="A636" s="6"/>
      <c r="B636" s="6"/>
      <c r="C636" s="6"/>
      <c r="D636" s="6"/>
      <c r="E636" s="6"/>
      <c r="F636" s="12"/>
      <c r="G636" s="12"/>
      <c r="H636" s="12"/>
      <c r="I636" s="12"/>
      <c r="J636" s="12"/>
      <c r="K636" s="12"/>
    </row>
    <row r="637" spans="1:11" s="9" customFormat="1" ht="13.2">
      <c r="A637" s="6"/>
      <c r="B637" s="6"/>
      <c r="C637" s="6"/>
      <c r="D637" s="6"/>
      <c r="E637" s="6"/>
      <c r="F637" s="12"/>
      <c r="G637" s="12"/>
      <c r="H637" s="12"/>
      <c r="I637" s="12"/>
      <c r="J637" s="12"/>
      <c r="K637" s="12"/>
    </row>
    <row r="638" spans="1:11" s="9" customFormat="1" ht="13.2">
      <c r="A638" s="6"/>
      <c r="B638" s="6"/>
      <c r="C638" s="6"/>
      <c r="D638" s="6"/>
      <c r="E638" s="6"/>
      <c r="F638" s="12"/>
      <c r="G638" s="12"/>
      <c r="H638" s="12"/>
      <c r="I638" s="12"/>
      <c r="J638" s="12"/>
      <c r="K638" s="12"/>
    </row>
    <row r="639" spans="1:11" s="9" customFormat="1" ht="13.2">
      <c r="A639" s="6"/>
      <c r="B639" s="6"/>
      <c r="C639" s="6"/>
      <c r="D639" s="6"/>
      <c r="E639" s="6"/>
      <c r="F639" s="12"/>
      <c r="G639" s="12"/>
      <c r="H639" s="12"/>
      <c r="I639" s="12"/>
      <c r="J639" s="12"/>
      <c r="K639" s="12"/>
    </row>
    <row r="640" spans="1:11" s="9" customFormat="1" ht="13.2">
      <c r="A640" s="6"/>
      <c r="B640" s="6"/>
      <c r="C640" s="6"/>
      <c r="D640" s="6"/>
      <c r="E640" s="6"/>
      <c r="F640" s="12"/>
      <c r="G640" s="12"/>
      <c r="H640" s="12"/>
      <c r="I640" s="12"/>
      <c r="J640" s="12"/>
      <c r="K640" s="12"/>
    </row>
    <row r="641" spans="1:13" s="9" customFormat="1" ht="13.2">
      <c r="A641" s="6"/>
      <c r="B641" s="6"/>
      <c r="C641" s="6"/>
      <c r="D641" s="6"/>
      <c r="E641" s="6"/>
      <c r="F641" s="12"/>
      <c r="G641" s="12"/>
      <c r="H641" s="12"/>
      <c r="I641" s="12"/>
      <c r="J641" s="12"/>
      <c r="K641" s="12"/>
    </row>
    <row r="642" spans="1:13" s="9" customFormat="1" ht="13.2">
      <c r="A642" s="6"/>
      <c r="B642" s="6"/>
      <c r="C642" s="6"/>
      <c r="D642" s="6"/>
      <c r="E642" s="6"/>
      <c r="F642" s="12"/>
      <c r="G642" s="12"/>
      <c r="H642" s="12"/>
      <c r="I642" s="12"/>
      <c r="J642" s="12"/>
      <c r="K642" s="12"/>
    </row>
    <row r="643" spans="1:13" s="9" customForma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s="9" customForma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s="9" customForma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s="9" customForma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s="9" customForma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s="9" customForma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</sheetData>
  <mergeCells count="305">
    <mergeCell ref="B22:F22"/>
    <mergeCell ref="B23:F23"/>
    <mergeCell ref="B39:F39"/>
    <mergeCell ref="B42:F42"/>
    <mergeCell ref="B44:F44"/>
    <mergeCell ref="B48:F48"/>
    <mergeCell ref="B49:F49"/>
    <mergeCell ref="B58:F58"/>
    <mergeCell ref="B59:F59"/>
    <mergeCell ref="B3:H3"/>
    <mergeCell ref="L3:M3"/>
    <mergeCell ref="B4:H4"/>
    <mergeCell ref="L4:M4"/>
    <mergeCell ref="B5:H5"/>
    <mergeCell ref="L5:M5"/>
    <mergeCell ref="B6:H6"/>
    <mergeCell ref="L6:M6"/>
    <mergeCell ref="L8:M8"/>
    <mergeCell ref="A9:A10"/>
    <mergeCell ref="B9:F10"/>
    <mergeCell ref="G9:I10"/>
    <mergeCell ref="J9:L9"/>
    <mergeCell ref="M9:M10"/>
    <mergeCell ref="J10:K10"/>
    <mergeCell ref="B14:E14"/>
    <mergeCell ref="G14:I14"/>
    <mergeCell ref="J14:K14"/>
    <mergeCell ref="B15:F15"/>
    <mergeCell ref="G15:I15"/>
    <mergeCell ref="J15:K15"/>
    <mergeCell ref="G11:I11"/>
    <mergeCell ref="J11:K11"/>
    <mergeCell ref="B12:F12"/>
    <mergeCell ref="G12:I12"/>
    <mergeCell ref="J12:K12"/>
    <mergeCell ref="G13:I13"/>
    <mergeCell ref="J13:K13"/>
    <mergeCell ref="G19:I19"/>
    <mergeCell ref="J19:K19"/>
    <mergeCell ref="G20:I20"/>
    <mergeCell ref="J20:K20"/>
    <mergeCell ref="G22:I22"/>
    <mergeCell ref="J22:K22"/>
    <mergeCell ref="G16:I16"/>
    <mergeCell ref="J16:K16"/>
    <mergeCell ref="G17:I17"/>
    <mergeCell ref="J17:K17"/>
    <mergeCell ref="G18:I18"/>
    <mergeCell ref="J18:K18"/>
    <mergeCell ref="G26:I26"/>
    <mergeCell ref="J26:K26"/>
    <mergeCell ref="B27:F27"/>
    <mergeCell ref="G27:I27"/>
    <mergeCell ref="J27:K27"/>
    <mergeCell ref="G28:I28"/>
    <mergeCell ref="J28:K28"/>
    <mergeCell ref="B26:F26"/>
    <mergeCell ref="G23:I23"/>
    <mergeCell ref="J23:K23"/>
    <mergeCell ref="G24:I24"/>
    <mergeCell ref="J24:K24"/>
    <mergeCell ref="G25:I25"/>
    <mergeCell ref="J25:K25"/>
    <mergeCell ref="G29:I29"/>
    <mergeCell ref="J29:K29"/>
    <mergeCell ref="B30:F30"/>
    <mergeCell ref="G30:I30"/>
    <mergeCell ref="J30:K30"/>
    <mergeCell ref="B31:F31"/>
    <mergeCell ref="G31:I31"/>
    <mergeCell ref="J31:K31"/>
    <mergeCell ref="B29:F29"/>
    <mergeCell ref="G33:I33"/>
    <mergeCell ref="G38:I38"/>
    <mergeCell ref="J38:K38"/>
    <mergeCell ref="G40:I40"/>
    <mergeCell ref="J40:K40"/>
    <mergeCell ref="G59:I59"/>
    <mergeCell ref="J59:K59"/>
    <mergeCell ref="G52:I53"/>
    <mergeCell ref="J52:J53"/>
    <mergeCell ref="B64:F64"/>
    <mergeCell ref="G64:H64"/>
    <mergeCell ref="J64:K64"/>
    <mergeCell ref="B65:F65"/>
    <mergeCell ref="G65:H65"/>
    <mergeCell ref="J65:K65"/>
    <mergeCell ref="B60:F60"/>
    <mergeCell ref="B62:F62"/>
    <mergeCell ref="G62:H62"/>
    <mergeCell ref="J62:K62"/>
    <mergeCell ref="B63:F63"/>
    <mergeCell ref="G63:H63"/>
    <mergeCell ref="J63:K63"/>
    <mergeCell ref="A70:F70"/>
    <mergeCell ref="H70:M70"/>
    <mergeCell ref="A71:F71"/>
    <mergeCell ref="H71:M71"/>
    <mergeCell ref="A72:F72"/>
    <mergeCell ref="H72:M72"/>
    <mergeCell ref="B66:F66"/>
    <mergeCell ref="G66:H66"/>
    <mergeCell ref="J66:K66"/>
    <mergeCell ref="B67:F67"/>
    <mergeCell ref="G67:I67"/>
    <mergeCell ref="A69:F69"/>
    <mergeCell ref="H69:M69"/>
    <mergeCell ref="A76:F76"/>
    <mergeCell ref="H76:M76"/>
    <mergeCell ref="A77:F77"/>
    <mergeCell ref="H77:M77"/>
    <mergeCell ref="A78:F78"/>
    <mergeCell ref="H78:M78"/>
    <mergeCell ref="A73:F73"/>
    <mergeCell ref="H73:M73"/>
    <mergeCell ref="A74:F74"/>
    <mergeCell ref="H74:M74"/>
    <mergeCell ref="A75:F75"/>
    <mergeCell ref="H75:M75"/>
    <mergeCell ref="A82:F82"/>
    <mergeCell ref="H82:I82"/>
    <mergeCell ref="J82:K82"/>
    <mergeCell ref="H83:I83"/>
    <mergeCell ref="J83:K83"/>
    <mergeCell ref="A84:F84"/>
    <mergeCell ref="H84:I84"/>
    <mergeCell ref="J84:K84"/>
    <mergeCell ref="A79:F79"/>
    <mergeCell ref="H79:M79"/>
    <mergeCell ref="H80:K80"/>
    <mergeCell ref="L80:M80"/>
    <mergeCell ref="A81:F81"/>
    <mergeCell ref="H81:I81"/>
    <mergeCell ref="J81:K81"/>
    <mergeCell ref="A87:F87"/>
    <mergeCell ref="H87:I87"/>
    <mergeCell ref="J87:K87"/>
    <mergeCell ref="A88:F88"/>
    <mergeCell ref="H88:I88"/>
    <mergeCell ref="J88:K88"/>
    <mergeCell ref="A85:F85"/>
    <mergeCell ref="H85:I85"/>
    <mergeCell ref="J85:K85"/>
    <mergeCell ref="A86:F86"/>
    <mergeCell ref="H86:I86"/>
    <mergeCell ref="J86:K86"/>
    <mergeCell ref="A91:F91"/>
    <mergeCell ref="H91:I91"/>
    <mergeCell ref="J91:K91"/>
    <mergeCell ref="B95:C95"/>
    <mergeCell ref="D95:E95"/>
    <mergeCell ref="F95:G95"/>
    <mergeCell ref="H95:I95"/>
    <mergeCell ref="J95:L95"/>
    <mergeCell ref="A89:F89"/>
    <mergeCell ref="H89:I89"/>
    <mergeCell ref="J89:K89"/>
    <mergeCell ref="A90:F90"/>
    <mergeCell ref="H90:I90"/>
    <mergeCell ref="J90:K90"/>
    <mergeCell ref="A102:B102"/>
    <mergeCell ref="D102:F102"/>
    <mergeCell ref="H102:J102"/>
    <mergeCell ref="B108:H108"/>
    <mergeCell ref="L108:M108"/>
    <mergeCell ref="B109:H109"/>
    <mergeCell ref="L109:M109"/>
    <mergeCell ref="B96:C97"/>
    <mergeCell ref="D96:E97"/>
    <mergeCell ref="F96:G97"/>
    <mergeCell ref="H96:I97"/>
    <mergeCell ref="J96:L97"/>
    <mergeCell ref="A101:B101"/>
    <mergeCell ref="D101:F101"/>
    <mergeCell ref="H101:J101"/>
    <mergeCell ref="L101:M101"/>
    <mergeCell ref="B110:H110"/>
    <mergeCell ref="L110:M110"/>
    <mergeCell ref="B111:H111"/>
    <mergeCell ref="L111:M111"/>
    <mergeCell ref="L113:M113"/>
    <mergeCell ref="A114:A115"/>
    <mergeCell ref="B114:F115"/>
    <mergeCell ref="G114:I115"/>
    <mergeCell ref="J114:L114"/>
    <mergeCell ref="M114:M115"/>
    <mergeCell ref="B119:F119"/>
    <mergeCell ref="G119:I119"/>
    <mergeCell ref="B120:F120"/>
    <mergeCell ref="G120:I120"/>
    <mergeCell ref="B121:F121"/>
    <mergeCell ref="G121:I121"/>
    <mergeCell ref="B116:F116"/>
    <mergeCell ref="G116:I116"/>
    <mergeCell ref="B117:F117"/>
    <mergeCell ref="G117:I117"/>
    <mergeCell ref="B118:F118"/>
    <mergeCell ref="G118:I118"/>
    <mergeCell ref="B125:F125"/>
    <mergeCell ref="G125:I125"/>
    <mergeCell ref="B126:F126"/>
    <mergeCell ref="G126:I126"/>
    <mergeCell ref="B127:F127"/>
    <mergeCell ref="G127:I127"/>
    <mergeCell ref="B122:F122"/>
    <mergeCell ref="G122:I122"/>
    <mergeCell ref="B123:F123"/>
    <mergeCell ref="G123:I123"/>
    <mergeCell ref="B124:F124"/>
    <mergeCell ref="G124:I124"/>
    <mergeCell ref="B131:F131"/>
    <mergeCell ref="G131:I131"/>
    <mergeCell ref="B132:F132"/>
    <mergeCell ref="G132:I132"/>
    <mergeCell ref="B133:F133"/>
    <mergeCell ref="G133:I133"/>
    <mergeCell ref="B128:F128"/>
    <mergeCell ref="G128:I128"/>
    <mergeCell ref="B129:F129"/>
    <mergeCell ref="G129:I129"/>
    <mergeCell ref="B130:F130"/>
    <mergeCell ref="G130:I130"/>
    <mergeCell ref="B139:F139"/>
    <mergeCell ref="G139:H139"/>
    <mergeCell ref="B140:F140"/>
    <mergeCell ref="G140:H140"/>
    <mergeCell ref="B141:F141"/>
    <mergeCell ref="G141:H141"/>
    <mergeCell ref="B134:F134"/>
    <mergeCell ref="G134:I134"/>
    <mergeCell ref="B135:F135"/>
    <mergeCell ref="G135:I135"/>
    <mergeCell ref="B136:F136"/>
    <mergeCell ref="B138:F138"/>
    <mergeCell ref="G138:H138"/>
    <mergeCell ref="A146:F146"/>
    <mergeCell ref="H146:M146"/>
    <mergeCell ref="A147:F147"/>
    <mergeCell ref="H147:M147"/>
    <mergeCell ref="A148:F148"/>
    <mergeCell ref="H148:M148"/>
    <mergeCell ref="B142:F142"/>
    <mergeCell ref="G142:H142"/>
    <mergeCell ref="B143:F143"/>
    <mergeCell ref="G143:I143"/>
    <mergeCell ref="A145:F145"/>
    <mergeCell ref="H145:M145"/>
    <mergeCell ref="A152:F152"/>
    <mergeCell ref="H152:M152"/>
    <mergeCell ref="A153:F153"/>
    <mergeCell ref="H153:M153"/>
    <mergeCell ref="A154:F154"/>
    <mergeCell ref="H154:M154"/>
    <mergeCell ref="A149:F149"/>
    <mergeCell ref="H149:M149"/>
    <mergeCell ref="A150:F150"/>
    <mergeCell ref="H150:M150"/>
    <mergeCell ref="A151:F151"/>
    <mergeCell ref="H151:M151"/>
    <mergeCell ref="A158:F158"/>
    <mergeCell ref="H158:I158"/>
    <mergeCell ref="A159:F159"/>
    <mergeCell ref="H159:I159"/>
    <mergeCell ref="A160:F160"/>
    <mergeCell ref="H160:I160"/>
    <mergeCell ref="A155:F155"/>
    <mergeCell ref="H155:M155"/>
    <mergeCell ref="H156:J156"/>
    <mergeCell ref="L156:M156"/>
    <mergeCell ref="A157:F157"/>
    <mergeCell ref="H157:I157"/>
    <mergeCell ref="A165:F165"/>
    <mergeCell ref="H165:I165"/>
    <mergeCell ref="A166:F166"/>
    <mergeCell ref="H166:I166"/>
    <mergeCell ref="A161:F161"/>
    <mergeCell ref="H161:I161"/>
    <mergeCell ref="A162:F162"/>
    <mergeCell ref="H162:I162"/>
    <mergeCell ref="A163:F163"/>
    <mergeCell ref="H163:I163"/>
    <mergeCell ref="L52:L53"/>
    <mergeCell ref="M52:M53"/>
    <mergeCell ref="A52:A53"/>
    <mergeCell ref="A177:B177"/>
    <mergeCell ref="D177:F177"/>
    <mergeCell ref="H177:J177"/>
    <mergeCell ref="L177:M177"/>
    <mergeCell ref="A178:B178"/>
    <mergeCell ref="D178:F178"/>
    <mergeCell ref="H178:J178"/>
    <mergeCell ref="J171:L171"/>
    <mergeCell ref="B172:C173"/>
    <mergeCell ref="D172:E173"/>
    <mergeCell ref="F172:G173"/>
    <mergeCell ref="H172:I173"/>
    <mergeCell ref="J172:L173"/>
    <mergeCell ref="A167:F167"/>
    <mergeCell ref="H167:I167"/>
    <mergeCell ref="B171:C171"/>
    <mergeCell ref="D171:E171"/>
    <mergeCell ref="F171:G171"/>
    <mergeCell ref="H171:I171"/>
    <mergeCell ref="A164:F164"/>
    <mergeCell ref="H164:I164"/>
  </mergeCells>
  <printOptions horizontalCentered="1"/>
  <pageMargins left="0.31496062992126" right="0.31496062992126" top="0.35433070866141703" bottom="0.35433070866141703" header="0.31496062992126" footer="0.31496062992126"/>
  <pageSetup paperSize="14" scale="49" orientation="portrait" r:id="rId1"/>
  <rowBreaks count="1" manualBreakCount="1">
    <brk id="102" max="11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BBBF-1863-4655-8AE8-CFD9D37C5EFC}">
  <sheetPr>
    <tabColor rgb="FFFFC000"/>
    <pageSetUpPr fitToPage="1"/>
  </sheetPr>
  <dimension ref="A1:O637"/>
  <sheetViews>
    <sheetView view="pageBreakPreview" topLeftCell="A34" zoomScale="99" zoomScaleNormal="55" zoomScaleSheetLayoutView="99" zoomScalePageLayoutView="25" workbookViewId="0">
      <selection activeCell="M91" sqref="A1:M91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5.4414062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554" t="s">
        <v>372</v>
      </c>
      <c r="C4" s="554"/>
      <c r="D4" s="554"/>
      <c r="E4" s="554"/>
      <c r="F4" s="554"/>
      <c r="G4" s="554"/>
      <c r="H4" s="554"/>
      <c r="J4" s="22"/>
      <c r="K4" s="22"/>
      <c r="L4" s="555"/>
      <c r="M4" s="555"/>
    </row>
    <row r="5" spans="1:13" s="16" customFormat="1" ht="16.5" customHeight="1">
      <c r="A5" s="69"/>
      <c r="B5" s="554" t="s">
        <v>373</v>
      </c>
      <c r="C5" s="554"/>
      <c r="D5" s="554"/>
      <c r="E5" s="554"/>
      <c r="F5" s="554"/>
      <c r="G5" s="554"/>
      <c r="H5" s="554"/>
      <c r="I5" s="21" t="s">
        <v>5</v>
      </c>
      <c r="J5" s="22"/>
      <c r="K5" s="22"/>
      <c r="L5" s="557" t="s">
        <v>375</v>
      </c>
      <c r="M5" s="557"/>
    </row>
    <row r="6" spans="1:13" s="16" customFormat="1" ht="16.5" customHeight="1">
      <c r="A6" s="22" t="s">
        <v>10</v>
      </c>
      <c r="B6" s="556" t="s">
        <v>374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380"/>
      <c r="M7" s="380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3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32"/>
    </row>
    <row r="11" spans="1:13" s="326" customFormat="1" ht="16.5" customHeight="1">
      <c r="A11" s="396" t="s">
        <v>274</v>
      </c>
      <c r="B11" s="424" t="s">
        <v>377</v>
      </c>
      <c r="C11" s="427"/>
      <c r="D11" s="427"/>
      <c r="E11" s="427"/>
      <c r="F11" s="428"/>
      <c r="G11" s="735"/>
      <c r="H11" s="735"/>
      <c r="I11" s="735"/>
      <c r="J11" s="738"/>
      <c r="K11" s="739"/>
      <c r="L11" s="358"/>
      <c r="M11" s="509"/>
    </row>
    <row r="12" spans="1:13" s="18" customFormat="1" ht="16.5" customHeight="1">
      <c r="A12" s="707" t="s">
        <v>376</v>
      </c>
      <c r="B12" s="795" t="s">
        <v>378</v>
      </c>
      <c r="C12" s="796"/>
      <c r="D12" s="796"/>
      <c r="E12" s="796"/>
      <c r="F12" s="797"/>
      <c r="G12" s="709"/>
      <c r="H12" s="710"/>
      <c r="I12" s="711"/>
      <c r="J12" s="798"/>
      <c r="K12" s="799"/>
      <c r="L12" s="719"/>
      <c r="M12" s="805" t="s">
        <v>381</v>
      </c>
    </row>
    <row r="13" spans="1:13" s="18" customFormat="1" ht="16.5" customHeight="1">
      <c r="A13" s="708"/>
      <c r="B13" s="809"/>
      <c r="C13" s="810"/>
      <c r="D13" s="810"/>
      <c r="E13" s="810"/>
      <c r="F13" s="811"/>
      <c r="G13" s="712"/>
      <c r="H13" s="713"/>
      <c r="I13" s="714"/>
      <c r="J13" s="807"/>
      <c r="K13" s="808"/>
      <c r="L13" s="720"/>
      <c r="M13" s="806"/>
    </row>
    <row r="14" spans="1:13" s="326" customFormat="1" ht="16.5" customHeight="1">
      <c r="A14" s="396" t="s">
        <v>276</v>
      </c>
      <c r="B14" s="424" t="s">
        <v>103</v>
      </c>
      <c r="C14" s="430"/>
      <c r="D14" s="430"/>
      <c r="E14" s="430"/>
      <c r="F14" s="394"/>
      <c r="G14" s="735"/>
      <c r="H14" s="735"/>
      <c r="I14" s="735"/>
      <c r="J14" s="736"/>
      <c r="K14" s="737"/>
      <c r="L14" s="390"/>
      <c r="M14" s="509"/>
    </row>
    <row r="15" spans="1:13" s="18" customFormat="1" ht="16.2" customHeight="1">
      <c r="A15" s="395" t="s">
        <v>104</v>
      </c>
      <c r="B15" s="744" t="s">
        <v>262</v>
      </c>
      <c r="C15" s="745"/>
      <c r="D15" s="745"/>
      <c r="E15" s="745"/>
      <c r="F15" s="394"/>
      <c r="G15" s="735"/>
      <c r="H15" s="735"/>
      <c r="I15" s="735"/>
      <c r="J15" s="736"/>
      <c r="K15" s="737"/>
      <c r="L15" s="390"/>
      <c r="M15" s="509" t="s">
        <v>305</v>
      </c>
    </row>
    <row r="16" spans="1:13" s="326" customFormat="1" ht="16.5" customHeight="1">
      <c r="A16" s="395" t="s">
        <v>107</v>
      </c>
      <c r="B16" s="744" t="s">
        <v>310</v>
      </c>
      <c r="C16" s="745"/>
      <c r="D16" s="745"/>
      <c r="E16" s="745"/>
      <c r="F16" s="746"/>
      <c r="G16" s="735"/>
      <c r="H16" s="735"/>
      <c r="I16" s="735"/>
      <c r="J16" s="738"/>
      <c r="K16" s="739"/>
      <c r="L16" s="357"/>
      <c r="M16" s="509" t="s">
        <v>381</v>
      </c>
    </row>
    <row r="17" spans="1:13" s="18" customFormat="1" ht="16.5" customHeight="1">
      <c r="A17" s="431" t="s">
        <v>111</v>
      </c>
      <c r="B17" s="432" t="s">
        <v>112</v>
      </c>
      <c r="C17" s="433"/>
      <c r="D17" s="434"/>
      <c r="E17" s="434"/>
      <c r="F17" s="433"/>
      <c r="G17" s="735"/>
      <c r="H17" s="735"/>
      <c r="I17" s="735"/>
      <c r="J17" s="747"/>
      <c r="K17" s="748"/>
      <c r="L17" s="390"/>
      <c r="M17" s="525" t="s">
        <v>381</v>
      </c>
    </row>
    <row r="18" spans="1:13" s="326" customFormat="1" ht="16.5" customHeight="1">
      <c r="A18" s="443" t="s">
        <v>278</v>
      </c>
      <c r="B18" s="393" t="s">
        <v>114</v>
      </c>
      <c r="C18" s="433"/>
      <c r="D18" s="434"/>
      <c r="E18" s="434"/>
      <c r="F18" s="433"/>
      <c r="G18" s="735"/>
      <c r="H18" s="735"/>
      <c r="I18" s="735"/>
      <c r="J18" s="747"/>
      <c r="K18" s="748"/>
      <c r="L18" s="390"/>
      <c r="M18" s="525"/>
    </row>
    <row r="19" spans="1:13" s="326" customFormat="1" ht="16.5" customHeight="1">
      <c r="A19" s="395" t="s">
        <v>133</v>
      </c>
      <c r="B19" s="432" t="s">
        <v>379</v>
      </c>
      <c r="C19" s="394"/>
      <c r="D19" s="434"/>
      <c r="E19" s="434"/>
      <c r="F19" s="433"/>
      <c r="G19" s="735"/>
      <c r="H19" s="735"/>
      <c r="I19" s="735"/>
      <c r="J19" s="747"/>
      <c r="K19" s="748"/>
      <c r="L19" s="390"/>
      <c r="M19" s="509" t="s">
        <v>382</v>
      </c>
    </row>
    <row r="20" spans="1:13" s="18" customFormat="1" ht="16.5" customHeight="1">
      <c r="A20" s="395" t="s">
        <v>136</v>
      </c>
      <c r="B20" s="432" t="s">
        <v>380</v>
      </c>
      <c r="C20" s="394"/>
      <c r="D20" s="434"/>
      <c r="E20" s="434"/>
      <c r="F20" s="433"/>
      <c r="G20" s="735"/>
      <c r="H20" s="735"/>
      <c r="I20" s="735"/>
      <c r="J20" s="747"/>
      <c r="K20" s="748"/>
      <c r="L20" s="390"/>
      <c r="M20" s="509" t="s">
        <v>382</v>
      </c>
    </row>
    <row r="21" spans="1:13" s="326" customFormat="1" ht="16.5" customHeight="1">
      <c r="A21" s="395" t="s">
        <v>115</v>
      </c>
      <c r="B21" s="432" t="s">
        <v>306</v>
      </c>
      <c r="C21" s="394"/>
      <c r="D21" s="434"/>
      <c r="E21" s="434"/>
      <c r="F21" s="433"/>
      <c r="G21" s="735"/>
      <c r="H21" s="735"/>
      <c r="I21" s="735"/>
      <c r="J21" s="747"/>
      <c r="K21" s="748"/>
      <c r="L21" s="390"/>
      <c r="M21" s="509" t="s">
        <v>265</v>
      </c>
    </row>
    <row r="22" spans="1:13" s="18" customFormat="1" ht="16.5" customHeight="1">
      <c r="A22" s="395" t="s">
        <v>138</v>
      </c>
      <c r="B22" s="432" t="s">
        <v>298</v>
      </c>
      <c r="C22" s="394"/>
      <c r="D22" s="434"/>
      <c r="E22" s="434"/>
      <c r="F22" s="433"/>
      <c r="G22" s="735"/>
      <c r="H22" s="735"/>
      <c r="I22" s="735"/>
      <c r="J22" s="747"/>
      <c r="K22" s="748"/>
      <c r="L22" s="390"/>
      <c r="M22" s="509" t="s">
        <v>265</v>
      </c>
    </row>
    <row r="23" spans="1:13" s="326" customFormat="1" ht="16.5" customHeight="1">
      <c r="A23" s="395" t="s">
        <v>301</v>
      </c>
      <c r="B23" s="432" t="s">
        <v>384</v>
      </c>
      <c r="C23" s="394"/>
      <c r="D23" s="434"/>
      <c r="E23" s="434"/>
      <c r="F23" s="433"/>
      <c r="G23" s="735"/>
      <c r="H23" s="735"/>
      <c r="I23" s="735"/>
      <c r="J23" s="747"/>
      <c r="K23" s="748"/>
      <c r="L23" s="333"/>
      <c r="M23" s="509" t="s">
        <v>265</v>
      </c>
    </row>
    <row r="24" spans="1:13" s="18" customFormat="1" ht="16.5" customHeight="1">
      <c r="A24" s="395" t="s">
        <v>277</v>
      </c>
      <c r="B24" s="432" t="s">
        <v>307</v>
      </c>
      <c r="C24" s="394"/>
      <c r="D24" s="434"/>
      <c r="E24" s="434"/>
      <c r="F24" s="433"/>
      <c r="G24" s="735"/>
      <c r="H24" s="735"/>
      <c r="I24" s="735"/>
      <c r="J24" s="747"/>
      <c r="K24" s="748"/>
      <c r="L24" s="333"/>
      <c r="M24" s="509" t="s">
        <v>265</v>
      </c>
    </row>
    <row r="25" spans="1:13" s="326" customFormat="1" ht="16.5" customHeight="1">
      <c r="A25" s="395" t="s">
        <v>119</v>
      </c>
      <c r="B25" s="432" t="s">
        <v>385</v>
      </c>
      <c r="C25" s="394"/>
      <c r="D25" s="434"/>
      <c r="E25" s="434"/>
      <c r="F25" s="433"/>
      <c r="G25" s="735"/>
      <c r="H25" s="735"/>
      <c r="I25" s="735"/>
      <c r="J25" s="747"/>
      <c r="K25" s="748"/>
      <c r="L25" s="333"/>
      <c r="M25" s="509" t="s">
        <v>331</v>
      </c>
    </row>
    <row r="26" spans="1:13" s="18" customFormat="1" ht="16.5" customHeight="1">
      <c r="A26" s="396" t="s">
        <v>280</v>
      </c>
      <c r="B26" s="393" t="s">
        <v>290</v>
      </c>
      <c r="C26" s="394"/>
      <c r="D26" s="434"/>
      <c r="E26" s="434"/>
      <c r="F26" s="433"/>
      <c r="G26" s="735"/>
      <c r="H26" s="735"/>
      <c r="I26" s="735"/>
      <c r="J26" s="747"/>
      <c r="K26" s="748"/>
      <c r="L26" s="333"/>
      <c r="M26" s="509"/>
    </row>
    <row r="27" spans="1:13" s="326" customFormat="1" ht="18" customHeight="1">
      <c r="A27" s="395" t="s">
        <v>124</v>
      </c>
      <c r="B27" s="749" t="s">
        <v>299</v>
      </c>
      <c r="C27" s="750"/>
      <c r="D27" s="750"/>
      <c r="E27" s="750"/>
      <c r="F27" s="751"/>
      <c r="G27" s="735"/>
      <c r="H27" s="735"/>
      <c r="I27" s="735"/>
      <c r="J27" s="747"/>
      <c r="K27" s="748"/>
      <c r="L27" s="333"/>
      <c r="M27" s="509" t="s">
        <v>265</v>
      </c>
    </row>
    <row r="28" spans="1:13" s="18" customFormat="1" ht="16.5" customHeight="1">
      <c r="A28" s="396" t="s">
        <v>302</v>
      </c>
      <c r="B28" s="511" t="s">
        <v>127</v>
      </c>
      <c r="C28" s="477"/>
      <c r="D28" s="512"/>
      <c r="E28" s="512"/>
      <c r="F28" s="513"/>
      <c r="G28" s="735"/>
      <c r="H28" s="735"/>
      <c r="I28" s="735"/>
      <c r="J28" s="747"/>
      <c r="K28" s="748"/>
      <c r="L28" s="333"/>
      <c r="M28" s="509"/>
    </row>
    <row r="29" spans="1:13" s="326" customFormat="1" ht="16.5" customHeight="1">
      <c r="A29" s="803" t="s">
        <v>291</v>
      </c>
      <c r="B29" s="476" t="s">
        <v>386</v>
      </c>
      <c r="C29" s="519"/>
      <c r="D29" s="512"/>
      <c r="E29" s="512"/>
      <c r="F29" s="513"/>
      <c r="G29" s="710"/>
      <c r="H29" s="710"/>
      <c r="I29" s="711"/>
      <c r="J29" s="715"/>
      <c r="K29" s="716"/>
      <c r="L29" s="719"/>
      <c r="M29" s="805" t="s">
        <v>331</v>
      </c>
    </row>
    <row r="30" spans="1:13" s="326" customFormat="1" ht="16.5" customHeight="1">
      <c r="A30" s="804"/>
      <c r="B30" s="520" t="s">
        <v>387</v>
      </c>
      <c r="C30" s="518"/>
      <c r="D30" s="518"/>
      <c r="E30" s="518"/>
      <c r="F30" s="521"/>
      <c r="G30" s="713"/>
      <c r="H30" s="713"/>
      <c r="I30" s="714"/>
      <c r="J30" s="717"/>
      <c r="K30" s="718"/>
      <c r="L30" s="720"/>
      <c r="M30" s="806"/>
    </row>
    <row r="31" spans="1:13" s="326" customFormat="1" ht="16.5" customHeight="1">
      <c r="A31" s="803" t="s">
        <v>383</v>
      </c>
      <c r="B31" s="476" t="s">
        <v>388</v>
      </c>
      <c r="C31" s="519"/>
      <c r="D31" s="512"/>
      <c r="E31" s="512"/>
      <c r="F31" s="513"/>
      <c r="G31" s="710"/>
      <c r="H31" s="710"/>
      <c r="I31" s="711"/>
      <c r="J31" s="715"/>
      <c r="K31" s="716"/>
      <c r="L31" s="719"/>
      <c r="M31" s="805" t="s">
        <v>331</v>
      </c>
    </row>
    <row r="32" spans="1:13" s="326" customFormat="1" ht="16.5" customHeight="1">
      <c r="A32" s="804"/>
      <c r="B32" s="514" t="s">
        <v>389</v>
      </c>
      <c r="C32" s="523"/>
      <c r="D32" s="516"/>
      <c r="E32" s="516"/>
      <c r="F32" s="517"/>
      <c r="G32" s="713"/>
      <c r="H32" s="713"/>
      <c r="I32" s="714"/>
      <c r="J32" s="717"/>
      <c r="K32" s="718"/>
      <c r="L32" s="720"/>
      <c r="M32" s="806"/>
    </row>
    <row r="33" spans="1:13" s="326" customFormat="1" ht="16.5" customHeight="1">
      <c r="A33" s="396" t="s">
        <v>303</v>
      </c>
      <c r="B33" s="522" t="s">
        <v>297</v>
      </c>
      <c r="C33" s="515"/>
      <c r="D33" s="516"/>
      <c r="E33" s="516"/>
      <c r="F33" s="517"/>
      <c r="G33" s="752"/>
      <c r="H33" s="753"/>
      <c r="I33" s="754"/>
      <c r="J33" s="747"/>
      <c r="K33" s="748"/>
      <c r="L33" s="333"/>
      <c r="M33" s="509"/>
    </row>
    <row r="34" spans="1:13" s="326" customFormat="1" ht="16.5" customHeight="1">
      <c r="A34" s="396">
        <v>1</v>
      </c>
      <c r="B34" s="812" t="s">
        <v>390</v>
      </c>
      <c r="C34" s="813"/>
      <c r="D34" s="813"/>
      <c r="E34" s="813"/>
      <c r="F34" s="814"/>
      <c r="G34" s="421"/>
      <c r="H34" s="422"/>
      <c r="I34" s="423"/>
      <c r="J34" s="418"/>
      <c r="K34" s="419"/>
      <c r="L34" s="333"/>
      <c r="M34" s="509"/>
    </row>
    <row r="35" spans="1:13" s="326" customFormat="1" ht="16.5" customHeight="1">
      <c r="A35" s="395" t="s">
        <v>281</v>
      </c>
      <c r="B35" s="432" t="s">
        <v>391</v>
      </c>
      <c r="C35" s="394"/>
      <c r="D35" s="434"/>
      <c r="E35" s="434"/>
      <c r="F35" s="433"/>
      <c r="G35" s="421"/>
      <c r="H35" s="422"/>
      <c r="I35" s="423"/>
      <c r="J35" s="418"/>
      <c r="K35" s="419"/>
      <c r="L35" s="333"/>
      <c r="M35" s="509" t="s">
        <v>148</v>
      </c>
    </row>
    <row r="36" spans="1:13" s="326" customFormat="1" ht="16.5" customHeight="1">
      <c r="A36" s="395" t="s">
        <v>293</v>
      </c>
      <c r="B36" s="432" t="s">
        <v>392</v>
      </c>
      <c r="C36" s="394"/>
      <c r="D36" s="434"/>
      <c r="E36" s="434"/>
      <c r="F36" s="433"/>
      <c r="G36" s="421"/>
      <c r="H36" s="422"/>
      <c r="I36" s="423"/>
      <c r="J36" s="418"/>
      <c r="K36" s="419"/>
      <c r="L36" s="333"/>
      <c r="M36" s="509" t="s">
        <v>148</v>
      </c>
    </row>
    <row r="37" spans="1:13" s="326" customFormat="1" ht="16.5" customHeight="1">
      <c r="A37" s="395" t="s">
        <v>294</v>
      </c>
      <c r="B37" s="432" t="s">
        <v>300</v>
      </c>
      <c r="C37" s="394"/>
      <c r="D37" s="434"/>
      <c r="E37" s="434"/>
      <c r="F37" s="433"/>
      <c r="G37" s="421"/>
      <c r="H37" s="422"/>
      <c r="I37" s="423"/>
      <c r="J37" s="418"/>
      <c r="K37" s="419"/>
      <c r="L37" s="333"/>
      <c r="M37" s="509" t="s">
        <v>265</v>
      </c>
    </row>
    <row r="38" spans="1:13" s="326" customFormat="1" ht="16.5" customHeight="1">
      <c r="A38" s="396">
        <v>2</v>
      </c>
      <c r="B38" s="393" t="s">
        <v>393</v>
      </c>
      <c r="C38" s="394"/>
      <c r="D38" s="434"/>
      <c r="E38" s="434"/>
      <c r="F38" s="433"/>
      <c r="G38" s="421"/>
      <c r="H38" s="422"/>
      <c r="I38" s="423"/>
      <c r="J38" s="418"/>
      <c r="K38" s="419"/>
      <c r="L38" s="333"/>
      <c r="M38" s="509"/>
    </row>
    <row r="39" spans="1:13" s="326" customFormat="1" ht="16.5" customHeight="1">
      <c r="A39" s="395" t="s">
        <v>281</v>
      </c>
      <c r="B39" s="432" t="s">
        <v>396</v>
      </c>
      <c r="C39" s="394"/>
      <c r="D39" s="434"/>
      <c r="E39" s="434"/>
      <c r="F39" s="433"/>
      <c r="G39" s="421"/>
      <c r="H39" s="422"/>
      <c r="I39" s="423"/>
      <c r="J39" s="418"/>
      <c r="K39" s="419"/>
      <c r="L39" s="333"/>
      <c r="M39" s="509" t="s">
        <v>148</v>
      </c>
    </row>
    <row r="40" spans="1:13" s="326" customFormat="1" ht="16.5" customHeight="1">
      <c r="A40" s="395" t="s">
        <v>293</v>
      </c>
      <c r="B40" s="432" t="s">
        <v>397</v>
      </c>
      <c r="C40" s="394"/>
      <c r="D40" s="434"/>
      <c r="E40" s="434"/>
      <c r="F40" s="433"/>
      <c r="G40" s="752"/>
      <c r="H40" s="753"/>
      <c r="I40" s="754"/>
      <c r="J40" s="747"/>
      <c r="K40" s="748"/>
      <c r="L40" s="333"/>
      <c r="M40" s="509" t="s">
        <v>148</v>
      </c>
    </row>
    <row r="41" spans="1:13" s="326" customFormat="1" ht="16.5" customHeight="1">
      <c r="A41" s="332" t="s">
        <v>294</v>
      </c>
      <c r="B41" s="432" t="s">
        <v>398</v>
      </c>
      <c r="C41" s="394"/>
      <c r="D41" s="434"/>
      <c r="E41" s="434"/>
      <c r="F41" s="433"/>
      <c r="G41" s="385"/>
      <c r="H41" s="386"/>
      <c r="I41" s="387"/>
      <c r="J41" s="390"/>
      <c r="K41" s="391"/>
      <c r="L41" s="333"/>
      <c r="M41" s="509" t="s">
        <v>265</v>
      </c>
    </row>
    <row r="42" spans="1:13" s="326" customFormat="1" ht="16.5" customHeight="1">
      <c r="A42" s="396">
        <v>3</v>
      </c>
      <c r="B42" s="393" t="s">
        <v>399</v>
      </c>
      <c r="C42" s="394"/>
      <c r="D42" s="434"/>
      <c r="E42" s="434"/>
      <c r="F42" s="433"/>
      <c r="G42" s="752"/>
      <c r="H42" s="753"/>
      <c r="I42" s="754"/>
      <c r="J42" s="747"/>
      <c r="K42" s="748"/>
      <c r="L42" s="333"/>
      <c r="M42" s="509"/>
    </row>
    <row r="43" spans="1:13" s="326" customFormat="1" ht="16.5" customHeight="1" thickBot="1">
      <c r="A43" s="346" t="s">
        <v>281</v>
      </c>
      <c r="B43" s="432" t="s">
        <v>394</v>
      </c>
      <c r="C43" s="394"/>
      <c r="D43" s="434"/>
      <c r="E43" s="434"/>
      <c r="F43" s="433"/>
      <c r="G43" s="385"/>
      <c r="H43" s="386"/>
      <c r="I43" s="387"/>
      <c r="J43" s="390"/>
      <c r="K43" s="391"/>
      <c r="L43" s="333"/>
      <c r="M43" s="509" t="s">
        <v>402</v>
      </c>
    </row>
    <row r="44" spans="1:13" s="326" customFormat="1" ht="16.5" customHeight="1">
      <c r="A44" s="407" t="s">
        <v>293</v>
      </c>
      <c r="B44" s="432" t="s">
        <v>395</v>
      </c>
      <c r="C44" s="394"/>
      <c r="D44" s="434"/>
      <c r="E44" s="434"/>
      <c r="F44" s="433"/>
      <c r="G44" s="421"/>
      <c r="H44" s="422"/>
      <c r="I44" s="423"/>
      <c r="J44" s="418"/>
      <c r="K44" s="419"/>
      <c r="L44" s="333"/>
      <c r="M44" s="509" t="s">
        <v>402</v>
      </c>
    </row>
    <row r="45" spans="1:13" s="326" customFormat="1" ht="16.5" customHeight="1">
      <c r="A45" s="442" t="s">
        <v>294</v>
      </c>
      <c r="B45" s="432" t="s">
        <v>400</v>
      </c>
      <c r="C45" s="394"/>
      <c r="D45" s="434"/>
      <c r="E45" s="434"/>
      <c r="F45" s="433"/>
      <c r="G45" s="421"/>
      <c r="H45" s="422"/>
      <c r="I45" s="423"/>
      <c r="J45" s="418"/>
      <c r="K45" s="419"/>
      <c r="L45" s="333"/>
      <c r="M45" s="509" t="s">
        <v>265</v>
      </c>
    </row>
    <row r="46" spans="1:13" s="326" customFormat="1" ht="16.5" customHeight="1">
      <c r="A46" s="442" t="s">
        <v>154</v>
      </c>
      <c r="B46" s="432" t="s">
        <v>401</v>
      </c>
      <c r="C46" s="394"/>
      <c r="D46" s="434"/>
      <c r="E46" s="434"/>
      <c r="F46" s="433"/>
      <c r="G46" s="421"/>
      <c r="H46" s="422"/>
      <c r="I46" s="423"/>
      <c r="J46" s="418"/>
      <c r="K46" s="419"/>
      <c r="L46" s="333"/>
      <c r="M46" s="509" t="s">
        <v>382</v>
      </c>
    </row>
    <row r="47" spans="1:13" s="326" customFormat="1" ht="16.5" customHeight="1">
      <c r="A47" s="442"/>
      <c r="B47" s="778"/>
      <c r="C47" s="779"/>
      <c r="D47" s="779"/>
      <c r="E47" s="779"/>
      <c r="F47" s="780"/>
      <c r="G47" s="421"/>
      <c r="H47" s="422"/>
      <c r="I47" s="423"/>
      <c r="J47" s="418"/>
      <c r="K47" s="419"/>
      <c r="L47" s="333"/>
      <c r="M47" s="509"/>
    </row>
    <row r="48" spans="1:13" s="18" customFormat="1" ht="16.5" customHeight="1" thickBot="1">
      <c r="A48" s="346"/>
      <c r="B48" s="815"/>
      <c r="C48" s="816"/>
      <c r="D48" s="816"/>
      <c r="E48" s="816"/>
      <c r="F48" s="817"/>
      <c r="G48" s="757"/>
      <c r="H48" s="757"/>
      <c r="I48" s="757"/>
      <c r="J48" s="758"/>
      <c r="K48" s="759"/>
      <c r="L48" s="350"/>
      <c r="M48" s="510"/>
    </row>
    <row r="49" spans="1:15" s="18" customFormat="1" ht="16.5" customHeight="1">
      <c r="A49" s="377"/>
      <c r="B49" s="566"/>
      <c r="C49" s="566"/>
      <c r="D49" s="566"/>
      <c r="E49" s="566"/>
      <c r="F49" s="566"/>
      <c r="G49" s="377"/>
      <c r="H49" s="41"/>
      <c r="I49" s="41"/>
      <c r="J49" s="42"/>
      <c r="K49" s="42"/>
      <c r="L49" s="43"/>
      <c r="M49" s="3"/>
    </row>
    <row r="50" spans="1:15" s="18" customFormat="1" ht="16.5" customHeight="1">
      <c r="A50" s="26"/>
      <c r="B50" s="375"/>
      <c r="C50" s="375"/>
      <c r="D50" s="375"/>
      <c r="E50" s="375"/>
      <c r="F50" s="17"/>
      <c r="G50" s="17"/>
      <c r="H50" s="17"/>
      <c r="I50" s="17"/>
      <c r="J50" s="17"/>
      <c r="K50" s="17"/>
      <c r="L50" s="3"/>
      <c r="M50" s="3"/>
      <c r="O50" s="18" t="s">
        <v>46</v>
      </c>
    </row>
    <row r="51" spans="1:15" s="25" customFormat="1" ht="16.5" customHeight="1">
      <c r="A51" s="19" t="s">
        <v>13</v>
      </c>
      <c r="B51" s="567" t="s">
        <v>14</v>
      </c>
      <c r="C51" s="567"/>
      <c r="D51" s="567"/>
      <c r="E51" s="567"/>
      <c r="F51" s="567"/>
      <c r="G51" s="568" t="s">
        <v>24</v>
      </c>
      <c r="H51" s="568"/>
      <c r="I51" s="378" t="s">
        <v>17</v>
      </c>
      <c r="J51" s="733" t="s">
        <v>25</v>
      </c>
      <c r="K51" s="734"/>
      <c r="L51" s="381" t="s">
        <v>26</v>
      </c>
      <c r="M51" s="381" t="s">
        <v>27</v>
      </c>
    </row>
    <row r="52" spans="1:15" s="18" customFormat="1" ht="16.5" customHeight="1">
      <c r="A52" s="317"/>
      <c r="B52" s="563"/>
      <c r="C52" s="563"/>
      <c r="D52" s="563"/>
      <c r="E52" s="563"/>
      <c r="F52" s="563"/>
      <c r="G52" s="564"/>
      <c r="H52" s="564"/>
      <c r="I52" s="376"/>
      <c r="J52" s="755"/>
      <c r="K52" s="756"/>
      <c r="L52" s="371"/>
      <c r="M52" s="371"/>
    </row>
    <row r="53" spans="1:15" s="52" customFormat="1" ht="16.5" customHeight="1">
      <c r="A53" s="379"/>
      <c r="B53" s="563"/>
      <c r="C53" s="563"/>
      <c r="D53" s="563"/>
      <c r="E53" s="563"/>
      <c r="F53" s="563"/>
      <c r="G53" s="564"/>
      <c r="H53" s="564"/>
      <c r="I53" s="376"/>
      <c r="J53" s="755"/>
      <c r="K53" s="756"/>
      <c r="L53" s="371"/>
      <c r="M53" s="371"/>
    </row>
    <row r="54" spans="1:15" s="52" customFormat="1" ht="16.5" customHeight="1">
      <c r="A54" s="379"/>
      <c r="B54" s="563"/>
      <c r="C54" s="563"/>
      <c r="D54" s="563"/>
      <c r="E54" s="563"/>
      <c r="F54" s="563"/>
      <c r="G54" s="564"/>
      <c r="H54" s="564"/>
      <c r="I54" s="376"/>
      <c r="J54" s="755"/>
      <c r="K54" s="756"/>
      <c r="L54" s="371"/>
      <c r="M54" s="371"/>
    </row>
    <row r="55" spans="1:15" s="52" customFormat="1" ht="16.5" customHeight="1">
      <c r="A55" s="379"/>
      <c r="B55" s="563"/>
      <c r="C55" s="563"/>
      <c r="D55" s="563"/>
      <c r="E55" s="563"/>
      <c r="F55" s="563"/>
      <c r="G55" s="564"/>
      <c r="H55" s="564"/>
      <c r="I55" s="376"/>
      <c r="J55" s="755"/>
      <c r="K55" s="756"/>
      <c r="L55" s="371"/>
      <c r="M55" s="371"/>
    </row>
    <row r="56" spans="1:15" s="52" customFormat="1" ht="16.5" customHeight="1">
      <c r="A56" s="32"/>
      <c r="B56" s="565"/>
      <c r="C56" s="565"/>
      <c r="D56" s="565"/>
      <c r="E56" s="565"/>
      <c r="F56" s="565"/>
      <c r="G56" s="565"/>
      <c r="H56" s="565"/>
      <c r="I56" s="565"/>
      <c r="J56" s="17"/>
      <c r="K56" s="17"/>
      <c r="L56" s="3"/>
      <c r="M56" s="3"/>
    </row>
    <row r="57" spans="1:15" s="51" customFormat="1" ht="16.5" customHeight="1">
      <c r="A57" s="34" t="s">
        <v>28</v>
      </c>
      <c r="B57" s="34"/>
      <c r="C57" s="34"/>
      <c r="D57" s="34"/>
      <c r="E57" s="34"/>
      <c r="F57" s="17"/>
      <c r="G57" s="38"/>
      <c r="H57" s="36" t="s">
        <v>29</v>
      </c>
      <c r="I57" s="34"/>
      <c r="J57" s="34"/>
      <c r="K57" s="34"/>
      <c r="L57" s="34"/>
      <c r="M57" s="34"/>
    </row>
    <row r="58" spans="1:15" s="51" customFormat="1" ht="16.5" customHeight="1">
      <c r="A58" s="569"/>
      <c r="B58" s="569"/>
      <c r="C58" s="569"/>
      <c r="D58" s="569"/>
      <c r="E58" s="569"/>
      <c r="F58" s="569"/>
      <c r="G58" s="373"/>
      <c r="H58" s="569"/>
      <c r="I58" s="569"/>
      <c r="J58" s="569"/>
      <c r="K58" s="569"/>
      <c r="L58" s="569"/>
      <c r="M58" s="569"/>
    </row>
    <row r="59" spans="1:15" s="51" customFormat="1" ht="16.5" customHeight="1">
      <c r="A59" s="571"/>
      <c r="B59" s="571"/>
      <c r="C59" s="571"/>
      <c r="D59" s="571"/>
      <c r="E59" s="571"/>
      <c r="F59" s="571"/>
      <c r="G59" s="373"/>
      <c r="H59" s="571"/>
      <c r="I59" s="571"/>
      <c r="J59" s="571"/>
      <c r="K59" s="571"/>
      <c r="L59" s="571"/>
      <c r="M59" s="571"/>
    </row>
    <row r="60" spans="1:15" s="51" customFormat="1" ht="16.5" customHeight="1">
      <c r="A60" s="571"/>
      <c r="B60" s="571"/>
      <c r="C60" s="571"/>
      <c r="D60" s="571"/>
      <c r="E60" s="571"/>
      <c r="F60" s="571"/>
      <c r="G60" s="57"/>
      <c r="H60" s="569"/>
      <c r="I60" s="569"/>
      <c r="J60" s="569"/>
      <c r="K60" s="569"/>
      <c r="L60" s="569"/>
      <c r="M60" s="569"/>
    </row>
    <row r="61" spans="1:15" s="51" customFormat="1" ht="16.5" customHeight="1">
      <c r="A61" s="569"/>
      <c r="B61" s="569"/>
      <c r="C61" s="569"/>
      <c r="D61" s="569"/>
      <c r="E61" s="569"/>
      <c r="F61" s="569"/>
      <c r="G61" s="57"/>
      <c r="H61" s="569"/>
      <c r="I61" s="569"/>
      <c r="J61" s="569"/>
      <c r="K61" s="569"/>
      <c r="L61" s="569"/>
      <c r="M61" s="569"/>
    </row>
    <row r="62" spans="1:15" s="51" customFormat="1" ht="16.5" customHeight="1">
      <c r="A62" s="570"/>
      <c r="B62" s="570"/>
      <c r="C62" s="570"/>
      <c r="D62" s="570"/>
      <c r="E62" s="570"/>
      <c r="F62" s="570"/>
      <c r="G62" s="39"/>
      <c r="H62" s="569"/>
      <c r="I62" s="569"/>
      <c r="J62" s="569"/>
      <c r="K62" s="569"/>
      <c r="L62" s="569"/>
      <c r="M62" s="569"/>
    </row>
    <row r="63" spans="1:15" s="3" customFormat="1" ht="16.5" customHeight="1">
      <c r="A63" s="571"/>
      <c r="B63" s="571"/>
      <c r="C63" s="571"/>
      <c r="D63" s="571"/>
      <c r="E63" s="571"/>
      <c r="F63" s="571"/>
      <c r="G63" s="373"/>
      <c r="H63" s="569"/>
      <c r="I63" s="569"/>
      <c r="J63" s="569"/>
      <c r="K63" s="569"/>
      <c r="L63" s="569"/>
      <c r="M63" s="569"/>
    </row>
    <row r="64" spans="1:15" s="3" customFormat="1" ht="16.5" customHeight="1">
      <c r="A64" s="571"/>
      <c r="B64" s="571"/>
      <c r="C64" s="571"/>
      <c r="D64" s="571"/>
      <c r="E64" s="571"/>
      <c r="F64" s="571"/>
      <c r="G64" s="57"/>
      <c r="H64" s="569"/>
      <c r="I64" s="569"/>
      <c r="J64" s="569"/>
      <c r="K64" s="569"/>
      <c r="L64" s="569"/>
      <c r="M64" s="569"/>
    </row>
    <row r="65" spans="1:13" s="3" customFormat="1" ht="16.5" customHeight="1">
      <c r="A65" s="571"/>
      <c r="B65" s="571"/>
      <c r="C65" s="571"/>
      <c r="D65" s="571"/>
      <c r="E65" s="571"/>
      <c r="F65" s="571"/>
      <c r="G65" s="373"/>
      <c r="H65" s="569"/>
      <c r="I65" s="569"/>
      <c r="J65" s="569"/>
      <c r="K65" s="569"/>
      <c r="L65" s="569"/>
      <c r="M65" s="569"/>
    </row>
    <row r="66" spans="1:13" s="3" customFormat="1" ht="16.5" customHeight="1">
      <c r="A66" s="571"/>
      <c r="B66" s="571"/>
      <c r="C66" s="571"/>
      <c r="D66" s="571"/>
      <c r="E66" s="571"/>
      <c r="F66" s="571"/>
      <c r="G66" s="373"/>
      <c r="H66" s="569"/>
      <c r="I66" s="569"/>
      <c r="J66" s="569"/>
      <c r="K66" s="569"/>
      <c r="L66" s="569"/>
      <c r="M66" s="569"/>
    </row>
    <row r="67" spans="1:13" s="3" customFormat="1" ht="16.5" customHeight="1">
      <c r="A67" s="571"/>
      <c r="B67" s="571"/>
      <c r="C67" s="571"/>
      <c r="D67" s="571"/>
      <c r="E67" s="571"/>
      <c r="F67" s="571"/>
      <c r="G67" s="57"/>
      <c r="H67" s="569"/>
      <c r="I67" s="569"/>
      <c r="J67" s="569"/>
      <c r="K67" s="569"/>
      <c r="L67" s="569"/>
      <c r="M67" s="569"/>
    </row>
    <row r="68" spans="1:13" s="3" customFormat="1" ht="16.5" customHeight="1">
      <c r="A68" s="572"/>
      <c r="B68" s="572"/>
      <c r="C68" s="572"/>
      <c r="D68" s="572"/>
      <c r="E68" s="572"/>
      <c r="F68" s="572"/>
      <c r="G68" s="57"/>
      <c r="H68" s="572"/>
      <c r="I68" s="572"/>
      <c r="J68" s="572"/>
      <c r="K68" s="572"/>
      <c r="L68" s="572"/>
      <c r="M68" s="572"/>
    </row>
    <row r="69" spans="1:13" s="3" customFormat="1" ht="16.5" customHeight="1">
      <c r="A69" s="70" t="s">
        <v>34</v>
      </c>
      <c r="B69" s="5"/>
      <c r="C69" s="4"/>
      <c r="H69" s="760" t="s">
        <v>35</v>
      </c>
      <c r="I69" s="761"/>
      <c r="J69" s="761"/>
      <c r="K69" s="762"/>
      <c r="L69" s="573" t="s">
        <v>36</v>
      </c>
      <c r="M69" s="573"/>
    </row>
    <row r="70" spans="1:13" s="3" customFormat="1" ht="16.5" customHeight="1">
      <c r="A70" s="576"/>
      <c r="B70" s="576"/>
      <c r="C70" s="576"/>
      <c r="D70" s="576"/>
      <c r="E70" s="576"/>
      <c r="F70" s="576"/>
      <c r="G70" s="71"/>
      <c r="H70" s="577" t="s">
        <v>14</v>
      </c>
      <c r="I70" s="577"/>
      <c r="J70" s="763" t="s">
        <v>24</v>
      </c>
      <c r="K70" s="764"/>
      <c r="L70" s="372" t="s">
        <v>14</v>
      </c>
      <c r="M70" s="372" t="s">
        <v>24</v>
      </c>
    </row>
    <row r="71" spans="1:13" s="3" customFormat="1" ht="16.5" customHeight="1">
      <c r="A71" s="576"/>
      <c r="B71" s="576"/>
      <c r="C71" s="576"/>
      <c r="D71" s="576"/>
      <c r="E71" s="576"/>
      <c r="F71" s="576"/>
      <c r="G71" s="72"/>
      <c r="H71" s="575"/>
      <c r="I71" s="575"/>
      <c r="J71" s="765"/>
      <c r="K71" s="766"/>
      <c r="L71" s="76"/>
      <c r="M71" s="371"/>
    </row>
    <row r="72" spans="1:13" s="3" customFormat="1" ht="16.5" customHeight="1">
      <c r="A72" s="370"/>
      <c r="B72" s="370"/>
      <c r="C72" s="370"/>
      <c r="D72" s="370"/>
      <c r="E72" s="370"/>
      <c r="F72" s="370"/>
      <c r="G72" s="72"/>
      <c r="H72" s="575"/>
      <c r="I72" s="575"/>
      <c r="J72" s="765"/>
      <c r="K72" s="766"/>
      <c r="L72" s="76"/>
      <c r="M72" s="371"/>
    </row>
    <row r="73" spans="1:13" s="3" customFormat="1" ht="16.5" customHeight="1">
      <c r="A73" s="574"/>
      <c r="B73" s="574"/>
      <c r="C73" s="574"/>
      <c r="D73" s="574"/>
      <c r="E73" s="574"/>
      <c r="F73" s="574"/>
      <c r="G73" s="72"/>
      <c r="H73" s="575"/>
      <c r="I73" s="575"/>
      <c r="J73" s="765"/>
      <c r="K73" s="766"/>
      <c r="L73" s="76"/>
      <c r="M73" s="371"/>
    </row>
    <row r="74" spans="1:13" s="3" customFormat="1" ht="16.5" customHeight="1">
      <c r="A74" s="767"/>
      <c r="B74" s="767"/>
      <c r="C74" s="767"/>
      <c r="D74" s="767"/>
      <c r="E74" s="767"/>
      <c r="F74" s="767"/>
      <c r="G74" s="72"/>
      <c r="H74" s="765"/>
      <c r="I74" s="766"/>
      <c r="J74" s="765"/>
      <c r="K74" s="766"/>
      <c r="L74" s="76"/>
      <c r="M74" s="371"/>
    </row>
    <row r="75" spans="1:13" s="3" customFormat="1" ht="16.5" customHeight="1">
      <c r="A75" s="767"/>
      <c r="B75" s="767"/>
      <c r="C75" s="767"/>
      <c r="D75" s="767"/>
      <c r="E75" s="767"/>
      <c r="F75" s="767"/>
      <c r="G75" s="72"/>
      <c r="H75" s="765"/>
      <c r="I75" s="766"/>
      <c r="J75" s="765"/>
      <c r="K75" s="766"/>
      <c r="L75" s="77"/>
      <c r="M75" s="371"/>
    </row>
    <row r="76" spans="1:13" s="3" customFormat="1" ht="70.8" customHeight="1">
      <c r="A76" s="767"/>
      <c r="B76" s="767"/>
      <c r="C76" s="767"/>
      <c r="D76" s="767"/>
      <c r="E76" s="767"/>
      <c r="F76" s="767"/>
      <c r="G76" s="72"/>
      <c r="H76" s="765"/>
      <c r="I76" s="766"/>
      <c r="J76" s="765"/>
      <c r="K76" s="766"/>
      <c r="M76" s="73"/>
    </row>
    <row r="77" spans="1:13" s="3" customFormat="1" ht="16.5" customHeight="1">
      <c r="A77" s="574"/>
      <c r="B77" s="574"/>
      <c r="C77" s="574"/>
      <c r="D77" s="574"/>
      <c r="E77" s="574"/>
      <c r="F77" s="574"/>
      <c r="G77" s="72"/>
      <c r="H77" s="575"/>
      <c r="I77" s="575"/>
      <c r="J77" s="765"/>
      <c r="K77" s="766"/>
      <c r="L77" s="77"/>
      <c r="M77" s="73"/>
    </row>
    <row r="78" spans="1:13" s="3" customFormat="1" ht="16.5" customHeight="1">
      <c r="A78" s="574"/>
      <c r="B78" s="574"/>
      <c r="C78" s="574"/>
      <c r="D78" s="574"/>
      <c r="E78" s="574"/>
      <c r="F78" s="574"/>
      <c r="G78" s="72"/>
      <c r="H78" s="575"/>
      <c r="I78" s="575"/>
      <c r="J78" s="765"/>
      <c r="K78" s="766"/>
      <c r="L78" s="77"/>
      <c r="M78" s="73"/>
    </row>
    <row r="79" spans="1:13" s="3" customFormat="1" ht="16.5" customHeight="1">
      <c r="A79" s="574"/>
      <c r="B79" s="574"/>
      <c r="C79" s="574"/>
      <c r="D79" s="574"/>
      <c r="E79" s="574"/>
      <c r="F79" s="574"/>
      <c r="G79" s="72"/>
      <c r="H79" s="575"/>
      <c r="I79" s="575"/>
      <c r="J79" s="765"/>
      <c r="K79" s="766"/>
      <c r="L79" s="77"/>
      <c r="M79" s="73"/>
    </row>
    <row r="80" spans="1:13" s="3" customFormat="1" ht="16.5" customHeight="1">
      <c r="A80" s="574"/>
      <c r="B80" s="574"/>
      <c r="C80" s="574"/>
      <c r="D80" s="574"/>
      <c r="E80" s="574"/>
      <c r="F80" s="574"/>
      <c r="G80" s="72"/>
      <c r="H80" s="575"/>
      <c r="I80" s="575"/>
      <c r="J80" s="765"/>
      <c r="K80" s="766"/>
      <c r="L80" s="77"/>
      <c r="M80" s="73"/>
    </row>
    <row r="81" spans="1:15" s="3" customFormat="1" ht="16.5" customHeight="1">
      <c r="A81" s="45"/>
      <c r="B81" s="46"/>
      <c r="C81" s="46"/>
      <c r="D81" s="46"/>
      <c r="E81" s="44"/>
      <c r="F81" s="46"/>
      <c r="G81" s="46"/>
      <c r="H81" s="46"/>
      <c r="I81" s="46"/>
      <c r="J81" s="46"/>
      <c r="K81" s="46"/>
      <c r="L81" s="47"/>
      <c r="M81" s="46"/>
    </row>
    <row r="82" spans="1:15" s="3" customFormat="1" ht="16.5" customHeight="1">
      <c r="A82" s="45" t="s">
        <v>45</v>
      </c>
      <c r="B82" s="46"/>
      <c r="C82" s="46"/>
      <c r="D82" s="46"/>
      <c r="E82" s="44"/>
      <c r="F82" s="46"/>
      <c r="G82" s="46"/>
      <c r="H82" s="46"/>
      <c r="I82" s="46"/>
      <c r="J82" s="46"/>
      <c r="K82" s="46"/>
      <c r="L82" s="47"/>
      <c r="M82" s="46"/>
    </row>
    <row r="83" spans="1:15" s="3" customFormat="1" ht="16.5" customHeight="1">
      <c r="A83" s="45"/>
      <c r="B83" s="46"/>
      <c r="C83" s="46"/>
      <c r="D83" s="46"/>
      <c r="E83" s="44"/>
      <c r="F83" s="46"/>
      <c r="G83" s="46"/>
      <c r="H83" s="46"/>
      <c r="I83" s="48"/>
      <c r="J83" s="48"/>
      <c r="K83" s="48"/>
      <c r="L83" s="47"/>
      <c r="M83" s="46"/>
    </row>
    <row r="84" spans="1:15" s="3" customFormat="1" ht="31.5" customHeight="1">
      <c r="A84" s="46" t="s">
        <v>46</v>
      </c>
      <c r="B84" s="578" t="s">
        <v>47</v>
      </c>
      <c r="C84" s="579"/>
      <c r="D84" s="578" t="s">
        <v>48</v>
      </c>
      <c r="E84" s="579"/>
      <c r="F84" s="578" t="s">
        <v>49</v>
      </c>
      <c r="G84" s="579"/>
      <c r="H84" s="578" t="s">
        <v>50</v>
      </c>
      <c r="I84" s="579"/>
      <c r="J84" s="578" t="s">
        <v>51</v>
      </c>
      <c r="K84" s="769"/>
      <c r="L84" s="579"/>
      <c r="M84" s="49"/>
    </row>
    <row r="85" spans="1:15" s="3" customFormat="1" ht="16.5" customHeight="1">
      <c r="A85" s="50"/>
      <c r="B85" s="583"/>
      <c r="C85" s="584"/>
      <c r="D85" s="587"/>
      <c r="E85" s="588"/>
      <c r="F85" s="665"/>
      <c r="G85" s="666"/>
      <c r="H85" s="665"/>
      <c r="I85" s="666"/>
      <c r="J85" s="587"/>
      <c r="K85" s="770"/>
      <c r="L85" s="588"/>
      <c r="M85" s="49"/>
    </row>
    <row r="86" spans="1:15" s="22" customFormat="1" ht="16.5" customHeight="1">
      <c r="A86" s="50"/>
      <c r="B86" s="585"/>
      <c r="C86" s="586"/>
      <c r="D86" s="589"/>
      <c r="E86" s="590"/>
      <c r="F86" s="667"/>
      <c r="G86" s="668"/>
      <c r="H86" s="667"/>
      <c r="I86" s="668"/>
      <c r="J86" s="589"/>
      <c r="K86" s="771"/>
      <c r="L86" s="590"/>
      <c r="M86" s="49"/>
    </row>
    <row r="87" spans="1:15" s="22" customFormat="1" ht="16.5" customHeight="1">
      <c r="A87" s="35"/>
      <c r="B87" s="27"/>
      <c r="C87" s="27"/>
      <c r="D87" s="27"/>
      <c r="E87" s="35"/>
      <c r="F87" s="58"/>
      <c r="G87" s="58"/>
      <c r="H87" s="58"/>
      <c r="I87" s="58"/>
      <c r="J87" s="68"/>
      <c r="K87" s="68"/>
      <c r="L87" s="68"/>
      <c r="M87" s="3"/>
    </row>
    <row r="88" spans="1:15" s="22" customFormat="1" ht="16.5" customHeight="1">
      <c r="A88" s="35" t="s">
        <v>53</v>
      </c>
      <c r="B88" s="27"/>
      <c r="C88" s="27"/>
      <c r="D88" s="35" t="s">
        <v>54</v>
      </c>
      <c r="F88" s="58"/>
      <c r="H88" s="35" t="s">
        <v>250</v>
      </c>
      <c r="I88" s="58"/>
      <c r="L88" s="68" t="s">
        <v>266</v>
      </c>
      <c r="M88" s="3"/>
    </row>
    <row r="89" spans="1:15" s="22" customFormat="1" ht="16.5" customHeight="1">
      <c r="A89" s="29"/>
      <c r="B89" s="29"/>
      <c r="C89" s="29"/>
      <c r="D89" s="29"/>
      <c r="E89" s="29"/>
      <c r="F89" s="29"/>
      <c r="H89" s="29"/>
      <c r="I89" s="29"/>
      <c r="J89" s="3"/>
      <c r="K89" s="3"/>
      <c r="L89" s="3"/>
      <c r="M89" s="3"/>
    </row>
    <row r="90" spans="1:15" s="22" customFormat="1" ht="16.5" customHeight="1">
      <c r="A90" s="673" t="s">
        <v>371</v>
      </c>
      <c r="B90" s="673"/>
      <c r="C90" s="318"/>
      <c r="D90" s="674" t="s">
        <v>296</v>
      </c>
      <c r="E90" s="674"/>
      <c r="F90" s="674"/>
      <c r="H90" s="675" t="s">
        <v>247</v>
      </c>
      <c r="I90" s="675"/>
      <c r="J90" s="675"/>
      <c r="K90" s="383"/>
      <c r="L90" s="768"/>
      <c r="M90" s="768"/>
      <c r="O90" s="218"/>
    </row>
    <row r="91" spans="1:15" s="3" customFormat="1" ht="16.5" customHeight="1">
      <c r="A91" s="663" t="s">
        <v>59</v>
      </c>
      <c r="B91" s="663"/>
      <c r="C91" s="319"/>
      <c r="D91" s="664" t="s">
        <v>60</v>
      </c>
      <c r="E91" s="664"/>
      <c r="F91" s="664"/>
      <c r="H91" s="663" t="s">
        <v>252</v>
      </c>
      <c r="I91" s="663"/>
      <c r="J91" s="663"/>
      <c r="K91" s="383"/>
      <c r="L91" s="320" t="s">
        <v>253</v>
      </c>
      <c r="M91" s="320"/>
    </row>
    <row r="92" spans="1:15" s="3" customFormat="1" ht="16.5" customHeight="1">
      <c r="A92" s="383"/>
      <c r="B92" s="383"/>
      <c r="C92" s="319"/>
      <c r="D92" s="384"/>
      <c r="E92" s="384"/>
      <c r="F92" s="384"/>
      <c r="H92" s="383"/>
      <c r="I92" s="383"/>
      <c r="J92" s="383"/>
      <c r="K92" s="383"/>
      <c r="L92" s="320"/>
      <c r="M92" s="320"/>
    </row>
    <row r="93" spans="1:15" s="3" customFormat="1" ht="16.5" customHeight="1">
      <c r="A93" s="37"/>
      <c r="B93" s="27"/>
      <c r="C93" s="27"/>
      <c r="D93" s="27"/>
      <c r="E93" s="27"/>
      <c r="F93" s="29"/>
      <c r="G93" s="29"/>
      <c r="H93" s="29"/>
      <c r="I93" s="29"/>
      <c r="J93" s="29"/>
      <c r="K93" s="29"/>
    </row>
    <row r="94" spans="1:15" s="3" customFormat="1" ht="16.5" customHeight="1">
      <c r="A94" s="37"/>
      <c r="B94" s="27"/>
      <c r="C94" s="27"/>
      <c r="D94" s="27"/>
      <c r="E94" s="27"/>
      <c r="F94" s="29"/>
      <c r="G94" s="29"/>
      <c r="H94" s="29"/>
      <c r="I94" s="29"/>
      <c r="J94" s="29"/>
      <c r="K94" s="29"/>
    </row>
    <row r="95" spans="1:15" s="3" customFormat="1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5" s="3" customFormat="1" ht="16.5" customHeight="1">
      <c r="A96" s="40"/>
      <c r="B96" s="40"/>
      <c r="C96" s="40"/>
      <c r="D96" s="40"/>
      <c r="E96" s="40"/>
      <c r="F96" s="1"/>
      <c r="G96" s="1"/>
      <c r="H96" s="1"/>
      <c r="I96" s="1"/>
      <c r="J96" s="1"/>
      <c r="K96" s="1"/>
      <c r="L96" s="1"/>
      <c r="M96" s="1"/>
    </row>
    <row r="97" spans="1:13" s="3" customFormat="1" ht="16.5" customHeight="1">
      <c r="A97" s="21" t="s">
        <v>0</v>
      </c>
      <c r="B97" s="554"/>
      <c r="C97" s="554"/>
      <c r="D97" s="554"/>
      <c r="E97" s="554"/>
      <c r="F97" s="554"/>
      <c r="G97" s="554"/>
      <c r="H97" s="554"/>
      <c r="I97" s="16"/>
      <c r="J97" s="22"/>
      <c r="K97" s="22"/>
      <c r="L97" s="555"/>
      <c r="M97" s="555"/>
    </row>
    <row r="98" spans="1:13" s="3" customFormat="1" ht="15" customHeight="1">
      <c r="A98" s="21" t="s">
        <v>2</v>
      </c>
      <c r="B98" s="556" t="s">
        <v>269</v>
      </c>
      <c r="C98" s="556"/>
      <c r="D98" s="556"/>
      <c r="E98" s="556"/>
      <c r="F98" s="556"/>
      <c r="G98" s="556"/>
      <c r="H98" s="556"/>
      <c r="I98" s="16"/>
      <c r="J98" s="22"/>
      <c r="K98" s="22"/>
      <c r="L98" s="555"/>
      <c r="M98" s="555"/>
    </row>
    <row r="99" spans="1:13" s="3" customFormat="1" ht="15" customHeight="1">
      <c r="A99" s="69"/>
      <c r="B99" s="554" t="s">
        <v>270</v>
      </c>
      <c r="C99" s="554"/>
      <c r="D99" s="554"/>
      <c r="E99" s="554"/>
      <c r="F99" s="554"/>
      <c r="G99" s="554"/>
      <c r="H99" s="554"/>
      <c r="I99" s="21" t="s">
        <v>5</v>
      </c>
      <c r="J99" s="22"/>
      <c r="K99" s="22"/>
      <c r="L99" s="557" t="s">
        <v>271</v>
      </c>
      <c r="M99" s="557"/>
    </row>
    <row r="100" spans="1:13" s="3" customFormat="1" ht="15" customHeight="1">
      <c r="A100" s="22" t="s">
        <v>10</v>
      </c>
      <c r="B100" s="556" t="s">
        <v>272</v>
      </c>
      <c r="C100" s="556"/>
      <c r="D100" s="556"/>
      <c r="E100" s="556"/>
      <c r="F100" s="556"/>
      <c r="G100" s="556"/>
      <c r="H100" s="556"/>
      <c r="I100" s="21" t="s">
        <v>8</v>
      </c>
      <c r="J100" s="21"/>
      <c r="K100" s="21"/>
      <c r="L100" s="669" t="s">
        <v>273</v>
      </c>
      <c r="M100" s="669"/>
    </row>
    <row r="101" spans="1:13" s="3" customFormat="1" ht="15" customHeight="1">
      <c r="A101" s="22"/>
      <c r="B101" s="16"/>
      <c r="C101" s="16"/>
      <c r="D101" s="16"/>
      <c r="E101" s="16"/>
      <c r="F101" s="16"/>
      <c r="G101" s="16"/>
      <c r="H101" s="16"/>
      <c r="I101" s="16"/>
      <c r="J101" s="59"/>
      <c r="K101" s="59"/>
      <c r="L101" s="380"/>
      <c r="M101" s="380"/>
    </row>
    <row r="102" spans="1:13" s="3" customFormat="1" ht="15" customHeight="1">
      <c r="A102" s="24" t="s">
        <v>12</v>
      </c>
      <c r="L102" s="555"/>
      <c r="M102" s="555"/>
    </row>
    <row r="103" spans="1:13" s="3" customFormat="1" ht="17.399999999999999">
      <c r="A103" s="552" t="s">
        <v>13</v>
      </c>
      <c r="B103" s="552" t="s">
        <v>14</v>
      </c>
      <c r="C103" s="552"/>
      <c r="D103" s="552"/>
      <c r="E103" s="552"/>
      <c r="F103" s="552"/>
      <c r="G103" s="552" t="s">
        <v>15</v>
      </c>
      <c r="H103" s="552"/>
      <c r="I103" s="552"/>
      <c r="J103" s="553" t="s">
        <v>16</v>
      </c>
      <c r="K103" s="553"/>
      <c r="L103" s="553"/>
      <c r="M103" s="552" t="s">
        <v>17</v>
      </c>
    </row>
    <row r="104" spans="1:13" s="3" customFormat="1" ht="21.9" customHeight="1">
      <c r="A104" s="552"/>
      <c r="B104" s="552"/>
      <c r="C104" s="552"/>
      <c r="D104" s="552"/>
      <c r="E104" s="552"/>
      <c r="F104" s="552"/>
      <c r="G104" s="552"/>
      <c r="H104" s="552"/>
      <c r="I104" s="552"/>
      <c r="J104" s="381" t="s">
        <v>18</v>
      </c>
      <c r="K104" s="381"/>
      <c r="L104" s="20" t="s">
        <v>19</v>
      </c>
      <c r="M104" s="552"/>
    </row>
    <row r="105" spans="1:13" s="3" customFormat="1" ht="21.9" customHeight="1">
      <c r="A105" s="379"/>
      <c r="B105" s="558"/>
      <c r="C105" s="558"/>
      <c r="D105" s="558"/>
      <c r="E105" s="558"/>
      <c r="F105" s="558"/>
      <c r="G105" s="559"/>
      <c r="H105" s="559"/>
      <c r="I105" s="559"/>
      <c r="J105" s="216"/>
      <c r="K105" s="216"/>
      <c r="L105" s="53"/>
      <c r="M105" s="371"/>
    </row>
    <row r="106" spans="1:13" s="3" customFormat="1" ht="21.9" customHeight="1">
      <c r="A106" s="215"/>
      <c r="B106" s="558"/>
      <c r="C106" s="558"/>
      <c r="D106" s="558"/>
      <c r="E106" s="558"/>
      <c r="F106" s="558"/>
      <c r="G106" s="559"/>
      <c r="H106" s="559"/>
      <c r="I106" s="559"/>
      <c r="J106" s="216"/>
      <c r="K106" s="216"/>
      <c r="L106" s="53"/>
      <c r="M106" s="371"/>
    </row>
    <row r="107" spans="1:13" s="3" customFormat="1" ht="21.9" customHeight="1">
      <c r="A107" s="215"/>
      <c r="B107" s="558"/>
      <c r="C107" s="558"/>
      <c r="D107" s="558"/>
      <c r="E107" s="558"/>
      <c r="F107" s="558"/>
      <c r="G107" s="559"/>
      <c r="H107" s="559"/>
      <c r="I107" s="559"/>
      <c r="J107" s="216"/>
      <c r="K107" s="216"/>
      <c r="L107" s="53"/>
      <c r="M107" s="371"/>
    </row>
    <row r="108" spans="1:13" s="3" customFormat="1" ht="21.9" customHeight="1">
      <c r="A108" s="215"/>
      <c r="B108" s="558"/>
      <c r="C108" s="558"/>
      <c r="D108" s="558"/>
      <c r="E108" s="558"/>
      <c r="F108" s="558"/>
      <c r="G108" s="559"/>
      <c r="H108" s="559"/>
      <c r="I108" s="559"/>
      <c r="J108" s="216"/>
      <c r="K108" s="216"/>
      <c r="L108" s="53"/>
      <c r="M108" s="371"/>
    </row>
    <row r="109" spans="1:13" s="3" customFormat="1" ht="21.9" customHeight="1">
      <c r="A109" s="215"/>
      <c r="B109" s="558"/>
      <c r="C109" s="558"/>
      <c r="D109" s="558"/>
      <c r="E109" s="558"/>
      <c r="F109" s="558"/>
      <c r="G109" s="559"/>
      <c r="H109" s="559"/>
      <c r="I109" s="559"/>
      <c r="J109" s="53"/>
      <c r="K109" s="53"/>
      <c r="L109" s="53"/>
      <c r="M109" s="371"/>
    </row>
    <row r="110" spans="1:13" s="3" customFormat="1" ht="21.9" customHeight="1">
      <c r="A110" s="54"/>
      <c r="B110" s="558"/>
      <c r="C110" s="558"/>
      <c r="D110" s="558"/>
      <c r="E110" s="558"/>
      <c r="F110" s="558"/>
      <c r="G110" s="559"/>
      <c r="H110" s="559"/>
      <c r="I110" s="559"/>
      <c r="J110" s="53"/>
      <c r="K110" s="53"/>
      <c r="L110" s="53"/>
      <c r="M110" s="371"/>
    </row>
    <row r="111" spans="1:13" s="3" customFormat="1" ht="21.9" customHeight="1">
      <c r="A111" s="54"/>
      <c r="B111" s="562"/>
      <c r="C111" s="562"/>
      <c r="D111" s="562"/>
      <c r="E111" s="562"/>
      <c r="F111" s="562"/>
      <c r="G111" s="559"/>
      <c r="H111" s="559"/>
      <c r="I111" s="559"/>
      <c r="J111" s="53"/>
      <c r="K111" s="53"/>
      <c r="L111" s="53"/>
      <c r="M111" s="371"/>
    </row>
    <row r="112" spans="1:13" s="3" customFormat="1" ht="21.9" customHeight="1">
      <c r="A112" s="54"/>
      <c r="B112" s="562"/>
      <c r="C112" s="562"/>
      <c r="D112" s="562"/>
      <c r="E112" s="562"/>
      <c r="F112" s="562"/>
      <c r="G112" s="559"/>
      <c r="H112" s="559"/>
      <c r="I112" s="559"/>
      <c r="J112" s="53"/>
      <c r="K112" s="53"/>
      <c r="L112" s="53"/>
      <c r="M112" s="371"/>
    </row>
    <row r="113" spans="1:13" s="3" customFormat="1" ht="21.9" customHeight="1">
      <c r="A113" s="61"/>
      <c r="B113" s="562"/>
      <c r="C113" s="562"/>
      <c r="D113" s="562"/>
      <c r="E113" s="562"/>
      <c r="F113" s="562"/>
      <c r="G113" s="559"/>
      <c r="H113" s="559"/>
      <c r="I113" s="559"/>
      <c r="J113" s="53"/>
      <c r="K113" s="53"/>
      <c r="L113" s="53"/>
      <c r="M113" s="371"/>
    </row>
    <row r="114" spans="1:13" s="3" customFormat="1" ht="21.9" customHeight="1">
      <c r="A114" s="61"/>
      <c r="B114" s="562"/>
      <c r="C114" s="562"/>
      <c r="D114" s="562"/>
      <c r="E114" s="562"/>
      <c r="F114" s="562"/>
      <c r="G114" s="559"/>
      <c r="H114" s="559"/>
      <c r="I114" s="559"/>
      <c r="J114" s="53"/>
      <c r="K114" s="53"/>
      <c r="L114" s="53"/>
      <c r="M114" s="371"/>
    </row>
    <row r="115" spans="1:13" s="3" customFormat="1" ht="21.9" customHeight="1">
      <c r="A115" s="61"/>
      <c r="B115" s="562"/>
      <c r="C115" s="562"/>
      <c r="D115" s="562"/>
      <c r="E115" s="562"/>
      <c r="F115" s="562"/>
      <c r="G115" s="559"/>
      <c r="H115" s="559"/>
      <c r="I115" s="559"/>
      <c r="J115" s="53"/>
      <c r="K115" s="53"/>
      <c r="L115" s="53"/>
      <c r="M115" s="371"/>
    </row>
    <row r="116" spans="1:13" s="3" customFormat="1" ht="21.9" customHeight="1">
      <c r="A116" s="61"/>
      <c r="B116" s="562"/>
      <c r="C116" s="562"/>
      <c r="D116" s="562"/>
      <c r="E116" s="562"/>
      <c r="F116" s="562"/>
      <c r="G116" s="559"/>
      <c r="H116" s="559"/>
      <c r="I116" s="559"/>
      <c r="J116" s="53"/>
      <c r="K116" s="53"/>
      <c r="L116" s="53"/>
      <c r="M116" s="371"/>
    </row>
    <row r="117" spans="1:13" s="3" customFormat="1" ht="21.9" customHeight="1">
      <c r="A117" s="61"/>
      <c r="B117" s="562"/>
      <c r="C117" s="562"/>
      <c r="D117" s="562"/>
      <c r="E117" s="562"/>
      <c r="F117" s="562"/>
      <c r="G117" s="559"/>
      <c r="H117" s="559"/>
      <c r="I117" s="559"/>
      <c r="J117" s="53"/>
      <c r="K117" s="53"/>
      <c r="L117" s="53"/>
      <c r="M117" s="371"/>
    </row>
    <row r="118" spans="1:13" s="3" customFormat="1" ht="21.9" customHeight="1">
      <c r="A118" s="61"/>
      <c r="B118" s="562"/>
      <c r="C118" s="562"/>
      <c r="D118" s="562"/>
      <c r="E118" s="562"/>
      <c r="F118" s="562"/>
      <c r="G118" s="559"/>
      <c r="H118" s="559"/>
      <c r="I118" s="559"/>
      <c r="J118" s="53"/>
      <c r="K118" s="53"/>
      <c r="L118" s="53"/>
      <c r="M118" s="371"/>
    </row>
    <row r="119" spans="1:13" s="3" customFormat="1" ht="21.9" customHeight="1">
      <c r="A119" s="61"/>
      <c r="B119" s="562"/>
      <c r="C119" s="562"/>
      <c r="D119" s="562"/>
      <c r="E119" s="562"/>
      <c r="F119" s="562"/>
      <c r="G119" s="559"/>
      <c r="H119" s="559"/>
      <c r="I119" s="559"/>
      <c r="J119" s="53"/>
      <c r="K119" s="53"/>
      <c r="L119" s="53"/>
      <c r="M119" s="371"/>
    </row>
    <row r="120" spans="1:13" s="3" customFormat="1" ht="21.9" customHeight="1">
      <c r="A120" s="61"/>
      <c r="B120" s="562"/>
      <c r="C120" s="562"/>
      <c r="D120" s="562"/>
      <c r="E120" s="562"/>
      <c r="F120" s="562"/>
      <c r="G120" s="559"/>
      <c r="H120" s="559"/>
      <c r="I120" s="559"/>
      <c r="J120" s="53"/>
      <c r="K120" s="53"/>
      <c r="L120" s="53"/>
      <c r="M120" s="371"/>
    </row>
    <row r="121" spans="1:13" s="3" customFormat="1" ht="21.9" customHeight="1">
      <c r="A121" s="61"/>
      <c r="B121" s="562"/>
      <c r="C121" s="562"/>
      <c r="D121" s="562"/>
      <c r="E121" s="562"/>
      <c r="F121" s="562"/>
      <c r="G121" s="559"/>
      <c r="H121" s="559"/>
      <c r="I121" s="559"/>
      <c r="J121" s="53"/>
      <c r="K121" s="53"/>
      <c r="L121" s="53"/>
      <c r="M121" s="371"/>
    </row>
    <row r="122" spans="1:13" s="3" customFormat="1" ht="21.9" customHeight="1">
      <c r="A122" s="61"/>
      <c r="B122" s="562"/>
      <c r="C122" s="562"/>
      <c r="D122" s="562"/>
      <c r="E122" s="562"/>
      <c r="F122" s="562"/>
      <c r="G122" s="559"/>
      <c r="H122" s="559"/>
      <c r="I122" s="559"/>
      <c r="J122" s="53"/>
      <c r="K122" s="53"/>
      <c r="L122" s="53"/>
      <c r="M122" s="371"/>
    </row>
    <row r="123" spans="1:13" s="3" customFormat="1" ht="21.9" customHeight="1">
      <c r="A123" s="61"/>
      <c r="B123" s="562"/>
      <c r="C123" s="562"/>
      <c r="D123" s="562"/>
      <c r="E123" s="562"/>
      <c r="F123" s="562"/>
      <c r="G123" s="559"/>
      <c r="H123" s="559"/>
      <c r="I123" s="559"/>
      <c r="J123" s="53"/>
      <c r="K123" s="53"/>
      <c r="L123" s="53"/>
      <c r="M123" s="371"/>
    </row>
    <row r="124" spans="1:13" s="3" customFormat="1" ht="21.9" customHeight="1">
      <c r="A124" s="61"/>
      <c r="B124" s="562"/>
      <c r="C124" s="562"/>
      <c r="D124" s="562"/>
      <c r="E124" s="562"/>
      <c r="F124" s="562"/>
      <c r="G124" s="559"/>
      <c r="H124" s="559"/>
      <c r="I124" s="559"/>
      <c r="J124" s="53"/>
      <c r="K124" s="53"/>
      <c r="L124" s="53"/>
      <c r="M124" s="371"/>
    </row>
    <row r="125" spans="1:13" s="3" customFormat="1" ht="21.9" customHeight="1">
      <c r="A125" s="377"/>
      <c r="B125" s="566"/>
      <c r="C125" s="566"/>
      <c r="D125" s="566"/>
      <c r="E125" s="566"/>
      <c r="F125" s="566"/>
      <c r="G125" s="377"/>
      <c r="H125" s="41"/>
      <c r="I125" s="41"/>
      <c r="J125" s="42"/>
      <c r="K125" s="42"/>
      <c r="L125" s="43"/>
    </row>
    <row r="126" spans="1:13" s="3" customFormat="1" ht="21.9" customHeight="1">
      <c r="A126" s="26" t="s">
        <v>23</v>
      </c>
      <c r="B126" s="375"/>
      <c r="C126" s="375"/>
      <c r="D126" s="375"/>
      <c r="E126" s="375"/>
      <c r="F126" s="17"/>
      <c r="G126" s="17"/>
      <c r="H126" s="17"/>
      <c r="I126" s="17"/>
      <c r="J126" s="17"/>
      <c r="K126" s="17"/>
    </row>
    <row r="127" spans="1:13" s="3" customFormat="1" ht="21.9" customHeight="1">
      <c r="A127" s="19" t="s">
        <v>13</v>
      </c>
      <c r="B127" s="567" t="s">
        <v>14</v>
      </c>
      <c r="C127" s="567"/>
      <c r="D127" s="567"/>
      <c r="E127" s="567"/>
      <c r="F127" s="567"/>
      <c r="G127" s="568" t="s">
        <v>24</v>
      </c>
      <c r="H127" s="568"/>
      <c r="I127" s="378" t="s">
        <v>17</v>
      </c>
      <c r="J127" s="381" t="s">
        <v>25</v>
      </c>
      <c r="K127" s="381"/>
      <c r="L127" s="381" t="s">
        <v>26</v>
      </c>
      <c r="M127" s="381" t="s">
        <v>27</v>
      </c>
    </row>
    <row r="128" spans="1:13" s="3" customFormat="1" ht="21.9" customHeight="1">
      <c r="A128" s="317"/>
      <c r="B128" s="563"/>
      <c r="C128" s="563"/>
      <c r="D128" s="563"/>
      <c r="E128" s="563"/>
      <c r="F128" s="563"/>
      <c r="G128" s="564"/>
      <c r="H128" s="564"/>
      <c r="I128" s="376"/>
      <c r="J128" s="376"/>
      <c r="K128" s="376"/>
      <c r="L128" s="371"/>
      <c r="M128" s="371"/>
    </row>
    <row r="129" spans="1:13" s="3" customFormat="1" ht="21.9" customHeight="1">
      <c r="A129" s="379"/>
      <c r="B129" s="563"/>
      <c r="C129" s="563"/>
      <c r="D129" s="563"/>
      <c r="E129" s="563"/>
      <c r="F129" s="563"/>
      <c r="G129" s="564"/>
      <c r="H129" s="564"/>
      <c r="I129" s="376"/>
      <c r="J129" s="376"/>
      <c r="K129" s="376"/>
      <c r="L129" s="371"/>
      <c r="M129" s="371"/>
    </row>
    <row r="130" spans="1:13" s="3" customFormat="1" ht="21.9" customHeight="1">
      <c r="A130" s="379"/>
      <c r="B130" s="563"/>
      <c r="C130" s="563"/>
      <c r="D130" s="563"/>
      <c r="E130" s="563"/>
      <c r="F130" s="563"/>
      <c r="G130" s="564"/>
      <c r="H130" s="564"/>
      <c r="I130" s="376"/>
      <c r="J130" s="376"/>
      <c r="K130" s="376"/>
      <c r="L130" s="371"/>
      <c r="M130" s="371"/>
    </row>
    <row r="131" spans="1:13" s="3" customFormat="1" ht="21.9" customHeight="1">
      <c r="A131" s="379"/>
      <c r="B131" s="563"/>
      <c r="C131" s="563"/>
      <c r="D131" s="563"/>
      <c r="E131" s="563"/>
      <c r="F131" s="563"/>
      <c r="G131" s="564"/>
      <c r="H131" s="564"/>
      <c r="I131" s="376"/>
      <c r="J131" s="376"/>
      <c r="K131" s="376"/>
      <c r="L131" s="371"/>
      <c r="M131" s="371"/>
    </row>
    <row r="132" spans="1:13" s="3" customFormat="1" ht="21.9" customHeight="1">
      <c r="A132" s="32"/>
      <c r="B132" s="565"/>
      <c r="C132" s="565"/>
      <c r="D132" s="565"/>
      <c r="E132" s="565"/>
      <c r="F132" s="565"/>
      <c r="G132" s="565"/>
      <c r="H132" s="565"/>
      <c r="I132" s="565"/>
      <c r="J132" s="17"/>
      <c r="K132" s="17"/>
    </row>
    <row r="133" spans="1:13" s="3" customFormat="1" ht="21.9" customHeight="1">
      <c r="A133" s="34" t="s">
        <v>28</v>
      </c>
      <c r="B133" s="34"/>
      <c r="C133" s="34"/>
      <c r="D133" s="34"/>
      <c r="E133" s="34"/>
      <c r="F133" s="17"/>
      <c r="G133" s="38"/>
      <c r="H133" s="36" t="s">
        <v>29</v>
      </c>
      <c r="I133" s="34"/>
      <c r="J133" s="34"/>
      <c r="K133" s="34"/>
      <c r="L133" s="34"/>
      <c r="M133" s="34"/>
    </row>
    <row r="134" spans="1:13" s="3" customFormat="1" ht="21.9" customHeight="1">
      <c r="A134" s="569"/>
      <c r="B134" s="569"/>
      <c r="C134" s="569"/>
      <c r="D134" s="569"/>
      <c r="E134" s="569"/>
      <c r="F134" s="569"/>
      <c r="G134" s="373"/>
      <c r="H134" s="569"/>
      <c r="I134" s="569"/>
      <c r="J134" s="569"/>
      <c r="K134" s="569"/>
      <c r="L134" s="569"/>
      <c r="M134" s="569"/>
    </row>
    <row r="135" spans="1:13" s="3" customFormat="1" ht="21.9" customHeight="1">
      <c r="A135" s="571"/>
      <c r="B135" s="571"/>
      <c r="C135" s="571"/>
      <c r="D135" s="571"/>
      <c r="E135" s="571"/>
      <c r="F135" s="571"/>
      <c r="G135" s="373"/>
      <c r="H135" s="569"/>
      <c r="I135" s="569"/>
      <c r="J135" s="569"/>
      <c r="K135" s="569"/>
      <c r="L135" s="569"/>
      <c r="M135" s="569"/>
    </row>
    <row r="136" spans="1:13" s="3" customFormat="1" ht="21.9" customHeight="1">
      <c r="A136" s="571"/>
      <c r="B136" s="571"/>
      <c r="C136" s="571"/>
      <c r="D136" s="571"/>
      <c r="E136" s="571"/>
      <c r="F136" s="571"/>
      <c r="G136" s="57"/>
      <c r="H136" s="569"/>
      <c r="I136" s="569"/>
      <c r="J136" s="569"/>
      <c r="K136" s="569"/>
      <c r="L136" s="569"/>
      <c r="M136" s="569"/>
    </row>
    <row r="137" spans="1:13" s="3" customFormat="1" ht="21.9" customHeight="1">
      <c r="A137" s="569"/>
      <c r="B137" s="569"/>
      <c r="C137" s="569"/>
      <c r="D137" s="569"/>
      <c r="E137" s="569"/>
      <c r="F137" s="569"/>
      <c r="G137" s="57"/>
      <c r="H137" s="569"/>
      <c r="I137" s="569"/>
      <c r="J137" s="569"/>
      <c r="K137" s="569"/>
      <c r="L137" s="569"/>
      <c r="M137" s="569"/>
    </row>
    <row r="138" spans="1:13" s="3" customFormat="1" ht="21.9" customHeight="1">
      <c r="A138" s="570"/>
      <c r="B138" s="570"/>
      <c r="C138" s="570"/>
      <c r="D138" s="570"/>
      <c r="E138" s="570"/>
      <c r="F138" s="570"/>
      <c r="G138" s="39"/>
      <c r="H138" s="569"/>
      <c r="I138" s="569"/>
      <c r="J138" s="569"/>
      <c r="K138" s="569"/>
      <c r="L138" s="569"/>
      <c r="M138" s="569"/>
    </row>
    <row r="139" spans="1:13" s="3" customFormat="1" ht="21.9" customHeight="1">
      <c r="A139" s="571"/>
      <c r="B139" s="571"/>
      <c r="C139" s="571"/>
      <c r="D139" s="571"/>
      <c r="E139" s="571"/>
      <c r="F139" s="571"/>
      <c r="G139" s="373"/>
      <c r="H139" s="569"/>
      <c r="I139" s="569"/>
      <c r="J139" s="569"/>
      <c r="K139" s="569"/>
      <c r="L139" s="569"/>
      <c r="M139" s="569"/>
    </row>
    <row r="140" spans="1:13" s="3" customFormat="1" ht="21.9" customHeight="1">
      <c r="A140" s="571"/>
      <c r="B140" s="571"/>
      <c r="C140" s="571"/>
      <c r="D140" s="571"/>
      <c r="E140" s="571"/>
      <c r="F140" s="571"/>
      <c r="G140" s="57"/>
      <c r="H140" s="569"/>
      <c r="I140" s="569"/>
      <c r="J140" s="569"/>
      <c r="K140" s="569"/>
      <c r="L140" s="569"/>
      <c r="M140" s="569"/>
    </row>
    <row r="141" spans="1:13" s="3" customFormat="1" ht="21.9" customHeight="1">
      <c r="A141" s="571"/>
      <c r="B141" s="571"/>
      <c r="C141" s="571"/>
      <c r="D141" s="571"/>
      <c r="E141" s="571"/>
      <c r="F141" s="571"/>
      <c r="G141" s="373"/>
      <c r="H141" s="569"/>
      <c r="I141" s="569"/>
      <c r="J141" s="569"/>
      <c r="K141" s="569"/>
      <c r="L141" s="569"/>
      <c r="M141" s="569"/>
    </row>
    <row r="142" spans="1:13" s="3" customFormat="1" ht="21.9" customHeight="1">
      <c r="A142" s="571"/>
      <c r="B142" s="571"/>
      <c r="C142" s="571"/>
      <c r="D142" s="571"/>
      <c r="E142" s="571"/>
      <c r="F142" s="571"/>
      <c r="G142" s="373"/>
      <c r="H142" s="569"/>
      <c r="I142" s="569"/>
      <c r="J142" s="569"/>
      <c r="K142" s="569"/>
      <c r="L142" s="569"/>
      <c r="M142" s="569"/>
    </row>
    <row r="143" spans="1:13" s="3" customFormat="1" ht="21.9" customHeight="1">
      <c r="A143" s="571"/>
      <c r="B143" s="571"/>
      <c r="C143" s="571"/>
      <c r="D143" s="571"/>
      <c r="E143" s="571"/>
      <c r="F143" s="571"/>
      <c r="G143" s="57"/>
      <c r="H143" s="569"/>
      <c r="I143" s="569"/>
      <c r="J143" s="569"/>
      <c r="K143" s="569"/>
      <c r="L143" s="569"/>
      <c r="M143" s="569"/>
    </row>
    <row r="144" spans="1:13" s="3" customFormat="1" ht="21.9" customHeight="1">
      <c r="A144" s="572"/>
      <c r="B144" s="572"/>
      <c r="C144" s="572"/>
      <c r="D144" s="572"/>
      <c r="E144" s="572"/>
      <c r="F144" s="572"/>
      <c r="G144" s="57"/>
      <c r="H144" s="572"/>
      <c r="I144" s="572"/>
      <c r="J144" s="572"/>
      <c r="K144" s="572"/>
      <c r="L144" s="572"/>
      <c r="M144" s="572"/>
    </row>
    <row r="145" spans="1:13" s="3" customFormat="1" ht="21.9" customHeight="1">
      <c r="A145" s="70" t="s">
        <v>34</v>
      </c>
      <c r="B145" s="5"/>
      <c r="C145" s="4"/>
      <c r="H145" s="573" t="s">
        <v>35</v>
      </c>
      <c r="I145" s="573"/>
      <c r="J145" s="573"/>
      <c r="K145" s="374"/>
      <c r="L145" s="573" t="s">
        <v>36</v>
      </c>
      <c r="M145" s="573"/>
    </row>
    <row r="146" spans="1:13" s="3" customFormat="1" ht="21.9" customHeight="1">
      <c r="A146" s="576"/>
      <c r="B146" s="576"/>
      <c r="C146" s="576"/>
      <c r="D146" s="576"/>
      <c r="E146" s="576"/>
      <c r="F146" s="576"/>
      <c r="G146" s="71"/>
      <c r="H146" s="577" t="s">
        <v>14</v>
      </c>
      <c r="I146" s="577"/>
      <c r="J146" s="372" t="s">
        <v>24</v>
      </c>
      <c r="K146" s="372"/>
      <c r="L146" s="372" t="s">
        <v>14</v>
      </c>
      <c r="M146" s="372" t="s">
        <v>24</v>
      </c>
    </row>
    <row r="147" spans="1:13" s="3" customFormat="1" ht="21.9" customHeight="1">
      <c r="A147" s="574"/>
      <c r="B147" s="574"/>
      <c r="C147" s="574"/>
      <c r="D147" s="574"/>
      <c r="E147" s="574"/>
      <c r="F147" s="574"/>
      <c r="G147" s="72"/>
      <c r="H147" s="575"/>
      <c r="I147" s="575"/>
      <c r="J147" s="371"/>
      <c r="K147" s="371"/>
      <c r="L147" s="76"/>
      <c r="M147" s="371"/>
    </row>
    <row r="148" spans="1:13" s="3" customFormat="1" ht="21.9" customHeight="1">
      <c r="A148" s="574"/>
      <c r="B148" s="574"/>
      <c r="C148" s="574"/>
      <c r="D148" s="574"/>
      <c r="E148" s="574"/>
      <c r="F148" s="574"/>
      <c r="G148" s="72"/>
      <c r="H148" s="575"/>
      <c r="I148" s="575"/>
      <c r="J148" s="371"/>
      <c r="K148" s="371"/>
      <c r="L148" s="76"/>
      <c r="M148" s="371"/>
    </row>
    <row r="149" spans="1:13" s="3" customFormat="1" ht="21.9" customHeight="1">
      <c r="A149" s="574"/>
      <c r="B149" s="574"/>
      <c r="C149" s="574"/>
      <c r="D149" s="574"/>
      <c r="E149" s="574"/>
      <c r="F149" s="574"/>
      <c r="G149" s="72"/>
      <c r="H149" s="575"/>
      <c r="I149" s="575"/>
      <c r="J149" s="371"/>
      <c r="K149" s="371"/>
      <c r="L149" s="76"/>
      <c r="M149" s="371"/>
    </row>
    <row r="150" spans="1:13" s="3" customFormat="1" ht="21.9" customHeight="1">
      <c r="A150" s="574"/>
      <c r="B150" s="574"/>
      <c r="C150" s="574"/>
      <c r="D150" s="574"/>
      <c r="E150" s="574"/>
      <c r="F150" s="574"/>
      <c r="G150" s="72"/>
      <c r="H150" s="575"/>
      <c r="I150" s="575"/>
      <c r="J150" s="371"/>
      <c r="K150" s="371"/>
      <c r="L150" s="76"/>
      <c r="M150" s="371"/>
    </row>
    <row r="151" spans="1:13" s="3" customFormat="1" ht="21.9" customHeight="1">
      <c r="A151" s="574"/>
      <c r="B151" s="574"/>
      <c r="C151" s="574"/>
      <c r="D151" s="574"/>
      <c r="E151" s="574"/>
      <c r="F151" s="574"/>
      <c r="G151" s="72"/>
      <c r="H151" s="575"/>
      <c r="I151" s="575"/>
      <c r="J151" s="371"/>
      <c r="K151" s="371"/>
      <c r="L151" s="77"/>
      <c r="M151" s="371"/>
    </row>
    <row r="152" spans="1:13" s="3" customFormat="1" ht="21.9" customHeight="1">
      <c r="A152" s="574"/>
      <c r="B152" s="574"/>
      <c r="C152" s="574"/>
      <c r="D152" s="574"/>
      <c r="E152" s="574"/>
      <c r="F152" s="574"/>
      <c r="G152" s="72"/>
      <c r="H152" s="575"/>
      <c r="I152" s="575"/>
      <c r="J152" s="73"/>
      <c r="K152" s="72"/>
      <c r="M152" s="73"/>
    </row>
    <row r="153" spans="1:13" s="3" customFormat="1" ht="21.9" customHeight="1">
      <c r="A153" s="574"/>
      <c r="B153" s="574"/>
      <c r="C153" s="574"/>
      <c r="D153" s="574"/>
      <c r="E153" s="574"/>
      <c r="F153" s="574"/>
      <c r="G153" s="72"/>
      <c r="H153" s="575"/>
      <c r="I153" s="575"/>
      <c r="J153" s="73"/>
      <c r="K153" s="73"/>
      <c r="L153" s="77"/>
      <c r="M153" s="73"/>
    </row>
    <row r="154" spans="1:13" s="3" customFormat="1" ht="21.9" customHeight="1">
      <c r="A154" s="574"/>
      <c r="B154" s="574"/>
      <c r="C154" s="574"/>
      <c r="D154" s="574"/>
      <c r="E154" s="574"/>
      <c r="F154" s="574"/>
      <c r="G154" s="72"/>
      <c r="H154" s="575"/>
      <c r="I154" s="575"/>
      <c r="J154" s="73"/>
      <c r="K154" s="73"/>
      <c r="L154" s="77"/>
      <c r="M154" s="73"/>
    </row>
    <row r="155" spans="1:13" s="3" customFormat="1" ht="21.9" customHeight="1">
      <c r="A155" s="574"/>
      <c r="B155" s="574"/>
      <c r="C155" s="574"/>
      <c r="D155" s="574"/>
      <c r="E155" s="574"/>
      <c r="F155" s="574"/>
      <c r="G155" s="72"/>
      <c r="H155" s="575"/>
      <c r="I155" s="575"/>
      <c r="J155" s="73"/>
      <c r="K155" s="73"/>
      <c r="L155" s="77"/>
      <c r="M155" s="73"/>
    </row>
    <row r="156" spans="1:13" s="3" customFormat="1" ht="21.9" customHeight="1">
      <c r="A156" s="574"/>
      <c r="B156" s="574"/>
      <c r="C156" s="574"/>
      <c r="D156" s="574"/>
      <c r="E156" s="574"/>
      <c r="F156" s="574"/>
      <c r="G156" s="72"/>
      <c r="H156" s="575"/>
      <c r="I156" s="575"/>
      <c r="J156" s="73"/>
      <c r="K156" s="73"/>
      <c r="L156" s="77"/>
      <c r="M156" s="73"/>
    </row>
    <row r="157" spans="1:13" s="3" customFormat="1" ht="21.9" customHeight="1">
      <c r="A157" s="45"/>
      <c r="B157" s="46"/>
      <c r="C157" s="46"/>
      <c r="D157" s="46"/>
      <c r="E157" s="44"/>
      <c r="F157" s="46"/>
      <c r="G157" s="46"/>
      <c r="H157" s="46"/>
      <c r="I157" s="46"/>
      <c r="J157" s="46"/>
      <c r="K157" s="46"/>
      <c r="L157" s="47"/>
      <c r="M157" s="46"/>
    </row>
    <row r="158" spans="1:13" s="3" customFormat="1" ht="21.9" customHeight="1">
      <c r="A158" s="45" t="s">
        <v>45</v>
      </c>
      <c r="B158" s="46"/>
      <c r="C158" s="46"/>
      <c r="D158" s="46"/>
      <c r="E158" s="44"/>
      <c r="F158" s="46"/>
      <c r="G158" s="46"/>
      <c r="H158" s="46"/>
      <c r="I158" s="46"/>
      <c r="J158" s="46"/>
      <c r="K158" s="46"/>
      <c r="L158" s="47"/>
      <c r="M158" s="46"/>
    </row>
    <row r="159" spans="1:13" s="3" customFormat="1" ht="21.9" customHeight="1">
      <c r="A159" s="45"/>
      <c r="B159" s="46"/>
      <c r="C159" s="46"/>
      <c r="D159" s="46"/>
      <c r="E159" s="44"/>
      <c r="F159" s="46"/>
      <c r="G159" s="46"/>
      <c r="H159" s="46"/>
      <c r="I159" s="48"/>
      <c r="J159" s="48"/>
      <c r="K159" s="48"/>
      <c r="L159" s="47"/>
      <c r="M159" s="46"/>
    </row>
    <row r="160" spans="1:13" s="3" customFormat="1" ht="21.9" customHeight="1">
      <c r="A160" s="46" t="s">
        <v>46</v>
      </c>
      <c r="B160" s="578" t="s">
        <v>47</v>
      </c>
      <c r="C160" s="579"/>
      <c r="D160" s="578" t="s">
        <v>48</v>
      </c>
      <c r="E160" s="579"/>
      <c r="F160" s="578" t="s">
        <v>49</v>
      </c>
      <c r="G160" s="579"/>
      <c r="H160" s="578" t="s">
        <v>50</v>
      </c>
      <c r="I160" s="579"/>
      <c r="J160" s="578" t="s">
        <v>51</v>
      </c>
      <c r="K160" s="769"/>
      <c r="L160" s="579"/>
      <c r="M160" s="49"/>
    </row>
    <row r="161" spans="1:13" s="3" customFormat="1" ht="21.9" customHeight="1">
      <c r="A161" s="50"/>
      <c r="B161" s="583"/>
      <c r="C161" s="584"/>
      <c r="D161" s="587"/>
      <c r="E161" s="588"/>
      <c r="F161" s="665"/>
      <c r="G161" s="666"/>
      <c r="H161" s="665"/>
      <c r="I161" s="666"/>
      <c r="J161" s="587"/>
      <c r="K161" s="770"/>
      <c r="L161" s="588"/>
      <c r="M161" s="49"/>
    </row>
    <row r="162" spans="1:13" s="3" customFormat="1" ht="21.9" customHeight="1">
      <c r="A162" s="50"/>
      <c r="B162" s="585"/>
      <c r="C162" s="586"/>
      <c r="D162" s="589"/>
      <c r="E162" s="590"/>
      <c r="F162" s="667"/>
      <c r="G162" s="668"/>
      <c r="H162" s="667"/>
      <c r="I162" s="668"/>
      <c r="J162" s="589"/>
      <c r="K162" s="771"/>
      <c r="L162" s="590"/>
      <c r="M162" s="49"/>
    </row>
    <row r="163" spans="1:13" s="3" customFormat="1" ht="21.9" customHeight="1">
      <c r="A163" s="35"/>
      <c r="B163" s="27"/>
      <c r="C163" s="27"/>
      <c r="D163" s="27"/>
      <c r="E163" s="35"/>
      <c r="F163" s="58"/>
      <c r="G163" s="58"/>
      <c r="H163" s="58"/>
      <c r="I163" s="58"/>
      <c r="J163" s="68"/>
      <c r="K163" s="68"/>
      <c r="L163" s="68"/>
    </row>
    <row r="164" spans="1:13" s="3" customFormat="1" ht="21.9" customHeight="1">
      <c r="A164" s="35" t="s">
        <v>53</v>
      </c>
      <c r="B164" s="27"/>
      <c r="C164" s="27"/>
      <c r="D164" s="35" t="s">
        <v>54</v>
      </c>
      <c r="E164" s="22"/>
      <c r="F164" s="58"/>
      <c r="G164" s="22"/>
      <c r="H164" s="35" t="s">
        <v>250</v>
      </c>
      <c r="I164" s="58"/>
      <c r="J164" s="22"/>
      <c r="K164" s="22"/>
      <c r="L164" s="68" t="s">
        <v>266</v>
      </c>
    </row>
    <row r="165" spans="1:13" s="3" customFormat="1" ht="21.9" customHeight="1">
      <c r="A165" s="29"/>
      <c r="B165" s="29"/>
      <c r="C165" s="29"/>
      <c r="D165" s="29"/>
      <c r="E165" s="29"/>
      <c r="F165" s="29"/>
      <c r="G165" s="22"/>
      <c r="H165" s="29"/>
      <c r="I165" s="29"/>
    </row>
    <row r="166" spans="1:13" s="3" customFormat="1" ht="21.9" customHeight="1">
      <c r="A166" s="580"/>
      <c r="B166" s="580"/>
      <c r="C166" s="318"/>
      <c r="D166" s="671" t="s">
        <v>267</v>
      </c>
      <c r="E166" s="671"/>
      <c r="F166" s="671"/>
      <c r="G166" s="22"/>
      <c r="H166" s="672" t="s">
        <v>247</v>
      </c>
      <c r="I166" s="672"/>
      <c r="J166" s="672"/>
      <c r="K166" s="382"/>
      <c r="L166" s="662" t="s">
        <v>268</v>
      </c>
      <c r="M166" s="662"/>
    </row>
    <row r="167" spans="1:13" s="3" customFormat="1" ht="21.9" customHeight="1">
      <c r="A167" s="663" t="s">
        <v>59</v>
      </c>
      <c r="B167" s="663"/>
      <c r="C167" s="319"/>
      <c r="D167" s="664" t="s">
        <v>60</v>
      </c>
      <c r="E167" s="664"/>
      <c r="F167" s="664"/>
      <c r="H167" s="663" t="s">
        <v>252</v>
      </c>
      <c r="I167" s="663"/>
      <c r="J167" s="663"/>
      <c r="K167" s="383"/>
      <c r="L167" s="320" t="s">
        <v>253</v>
      </c>
      <c r="M167" s="320"/>
    </row>
    <row r="168" spans="1:13" s="3" customFormat="1" ht="21.9" customHeight="1">
      <c r="A168" s="32"/>
      <c r="B168" s="32"/>
      <c r="C168" s="32"/>
      <c r="D168" s="32"/>
      <c r="E168" s="32"/>
      <c r="F168" s="31"/>
      <c r="G168" s="31"/>
      <c r="H168" s="31"/>
      <c r="I168" s="31"/>
      <c r="J168" s="31"/>
      <c r="K168" s="31"/>
    </row>
    <row r="169" spans="1:13" s="3" customFormat="1" ht="21.9" customHeight="1">
      <c r="A169" s="32"/>
      <c r="B169" s="32"/>
      <c r="C169" s="32"/>
      <c r="D169" s="32"/>
      <c r="E169" s="32"/>
      <c r="F169" s="31"/>
      <c r="G169" s="31"/>
      <c r="H169" s="31"/>
      <c r="I169" s="31"/>
      <c r="J169" s="31"/>
      <c r="K169" s="31"/>
    </row>
    <row r="170" spans="1:13" s="3" customFormat="1" ht="21.9" customHeight="1">
      <c r="A170" s="32"/>
      <c r="B170" s="32"/>
      <c r="C170" s="32"/>
      <c r="D170" s="32"/>
      <c r="E170" s="32"/>
      <c r="F170" s="33"/>
      <c r="G170" s="33"/>
      <c r="H170" s="33"/>
      <c r="I170" s="33"/>
      <c r="J170" s="33"/>
      <c r="K170" s="33"/>
    </row>
    <row r="171" spans="1:13" s="3" customFormat="1" ht="21.9" customHeight="1">
      <c r="A171" s="32"/>
      <c r="B171" s="32"/>
      <c r="C171" s="32"/>
      <c r="D171" s="32"/>
      <c r="E171" s="32"/>
      <c r="F171" s="33"/>
      <c r="G171" s="33"/>
      <c r="H171" s="33"/>
      <c r="I171" s="33"/>
      <c r="J171" s="33"/>
      <c r="K171" s="33"/>
    </row>
    <row r="172" spans="1:13" s="3" customFormat="1" ht="21.9" customHeight="1">
      <c r="A172" s="13"/>
      <c r="B172" s="13"/>
      <c r="C172" s="13"/>
      <c r="D172" s="13"/>
      <c r="E172" s="13"/>
      <c r="F172" s="14"/>
      <c r="G172" s="14"/>
      <c r="H172" s="14"/>
      <c r="I172" s="14"/>
      <c r="J172" s="14"/>
      <c r="K172" s="14"/>
      <c r="L172" s="9"/>
      <c r="M172" s="9"/>
    </row>
    <row r="173" spans="1:13" s="3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  <c r="K173" s="14"/>
      <c r="L173" s="9"/>
      <c r="M173" s="9"/>
    </row>
    <row r="174" spans="1:13" s="3" customFormat="1" ht="21.9" customHeight="1">
      <c r="A174" s="13"/>
      <c r="B174" s="13"/>
      <c r="C174" s="13"/>
      <c r="D174" s="13"/>
      <c r="E174" s="13"/>
      <c r="F174" s="14"/>
      <c r="G174" s="14"/>
      <c r="H174" s="14"/>
      <c r="I174" s="14"/>
      <c r="J174" s="14"/>
      <c r="K174" s="14"/>
      <c r="L174" s="9"/>
      <c r="M174" s="9"/>
    </row>
    <row r="175" spans="1:13" s="3" customFormat="1" ht="21.9" customHeight="1">
      <c r="A175" s="13"/>
      <c r="B175" s="13"/>
      <c r="C175" s="13"/>
      <c r="D175" s="13"/>
      <c r="E175" s="13"/>
      <c r="F175" s="14"/>
      <c r="G175" s="14"/>
      <c r="H175" s="14"/>
      <c r="I175" s="14"/>
      <c r="J175" s="14"/>
      <c r="K175" s="14"/>
      <c r="L175" s="9"/>
      <c r="M175" s="9"/>
    </row>
    <row r="176" spans="1:13" s="3" customFormat="1" ht="21.9" customHeight="1">
      <c r="A176" s="13"/>
      <c r="B176" s="13"/>
      <c r="C176" s="13"/>
      <c r="D176" s="13"/>
      <c r="E176" s="13"/>
      <c r="F176" s="14"/>
      <c r="G176" s="14"/>
      <c r="H176" s="14"/>
      <c r="I176" s="14"/>
      <c r="J176" s="14"/>
      <c r="K176" s="14"/>
      <c r="L176" s="9"/>
      <c r="M176" s="9"/>
    </row>
    <row r="177" spans="1:13" s="3" customFormat="1" ht="21.9" customHeight="1">
      <c r="A177" s="13"/>
      <c r="B177" s="13"/>
      <c r="C177" s="13"/>
      <c r="D177" s="13"/>
      <c r="E177" s="13"/>
      <c r="F177" s="10"/>
      <c r="G177" s="10"/>
      <c r="H177" s="10"/>
      <c r="I177" s="10"/>
      <c r="J177" s="10"/>
      <c r="K177" s="10"/>
      <c r="L177" s="9"/>
      <c r="M177" s="9"/>
    </row>
    <row r="178" spans="1:13" s="9" customFormat="1" ht="21.9" customHeight="1">
      <c r="A178" s="13"/>
      <c r="B178" s="13"/>
      <c r="C178" s="13"/>
      <c r="D178" s="13"/>
      <c r="E178" s="13"/>
      <c r="F178" s="14"/>
      <c r="G178" s="14"/>
      <c r="H178" s="14"/>
      <c r="I178" s="14"/>
      <c r="J178" s="14"/>
      <c r="K178" s="14"/>
    </row>
    <row r="179" spans="1:13" s="9" customFormat="1" ht="21.9" customHeight="1">
      <c r="A179" s="13"/>
      <c r="B179" s="13"/>
      <c r="C179" s="13"/>
      <c r="D179" s="13"/>
      <c r="E179" s="13"/>
      <c r="F179" s="14"/>
      <c r="G179" s="14"/>
      <c r="H179" s="14"/>
      <c r="I179" s="14"/>
      <c r="J179" s="14"/>
      <c r="K179" s="14"/>
    </row>
    <row r="180" spans="1:13" s="9" customFormat="1" ht="21.9" customHeight="1">
      <c r="A180" s="13"/>
      <c r="B180" s="13"/>
      <c r="C180" s="13"/>
      <c r="D180" s="13"/>
      <c r="E180" s="13"/>
      <c r="F180" s="14"/>
      <c r="G180" s="14"/>
      <c r="H180" s="14"/>
      <c r="I180" s="14"/>
      <c r="J180" s="14"/>
      <c r="K180" s="14"/>
    </row>
    <row r="181" spans="1:13" s="9" customFormat="1" ht="21.9" customHeight="1">
      <c r="A181" s="13"/>
      <c r="B181" s="13"/>
      <c r="C181" s="13"/>
      <c r="D181" s="13"/>
      <c r="E181" s="13"/>
      <c r="F181" s="8"/>
      <c r="G181" s="8"/>
      <c r="H181" s="8"/>
      <c r="I181" s="8"/>
      <c r="J181" s="8"/>
      <c r="K181" s="8"/>
    </row>
    <row r="182" spans="1:13" s="9" customFormat="1" ht="21.9" customHeight="1">
      <c r="A182" s="13"/>
      <c r="B182" s="13"/>
      <c r="C182" s="13"/>
      <c r="D182" s="13"/>
      <c r="E182" s="13"/>
      <c r="F182" s="14"/>
      <c r="G182" s="14"/>
      <c r="H182" s="14"/>
      <c r="I182" s="14"/>
      <c r="J182" s="14"/>
      <c r="K182" s="14"/>
    </row>
    <row r="183" spans="1:13" s="9" customFormat="1" ht="21.9" customHeight="1">
      <c r="A183" s="13"/>
      <c r="B183" s="13"/>
      <c r="C183" s="13"/>
      <c r="D183" s="13"/>
      <c r="E183" s="13"/>
      <c r="F183" s="10"/>
      <c r="G183" s="10"/>
      <c r="H183" s="10"/>
      <c r="I183" s="10"/>
      <c r="J183" s="10"/>
      <c r="K183" s="10"/>
    </row>
    <row r="184" spans="1:13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  <c r="K184" s="12"/>
    </row>
    <row r="185" spans="1:13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  <c r="K185" s="12"/>
    </row>
    <row r="186" spans="1:13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  <c r="K186" s="12"/>
    </row>
    <row r="187" spans="1:13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  <c r="K187" s="12"/>
    </row>
    <row r="188" spans="1:13" s="9" customFormat="1" ht="21.9" customHeight="1">
      <c r="A188" s="13"/>
      <c r="B188" s="13"/>
      <c r="C188" s="13"/>
      <c r="D188" s="13"/>
      <c r="E188" s="13"/>
      <c r="F188" s="12"/>
      <c r="G188" s="12"/>
      <c r="H188" s="12"/>
      <c r="I188" s="12"/>
      <c r="J188" s="12"/>
      <c r="K188" s="12"/>
    </row>
    <row r="189" spans="1:13" s="9" customFormat="1" ht="21.9" customHeight="1">
      <c r="A189" s="13"/>
      <c r="B189" s="13"/>
      <c r="C189" s="13"/>
      <c r="D189" s="13"/>
      <c r="E189" s="13"/>
      <c r="F189" s="12"/>
      <c r="G189" s="12"/>
      <c r="H189" s="12"/>
      <c r="I189" s="12"/>
      <c r="J189" s="12"/>
      <c r="K189" s="12"/>
    </row>
    <row r="190" spans="1:13" s="9" customFormat="1" ht="21.9" customHeight="1">
      <c r="A190" s="13"/>
      <c r="B190" s="13"/>
      <c r="C190" s="13"/>
      <c r="D190" s="13"/>
      <c r="E190" s="13"/>
      <c r="F190" s="14"/>
      <c r="G190" s="14"/>
      <c r="H190" s="14"/>
      <c r="I190" s="14"/>
      <c r="J190" s="14"/>
      <c r="K190" s="14"/>
    </row>
    <row r="191" spans="1:13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  <c r="K191" s="8"/>
    </row>
    <row r="192" spans="1:13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  <c r="K192" s="8"/>
    </row>
    <row r="193" spans="1:11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  <c r="K193" s="8"/>
    </row>
    <row r="194" spans="1:11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  <c r="K194" s="8"/>
    </row>
    <row r="195" spans="1:11" s="9" customFormat="1" ht="21.9" customHeight="1">
      <c r="A195" s="13"/>
      <c r="B195" s="13"/>
      <c r="C195" s="13"/>
      <c r="D195" s="13"/>
      <c r="E195" s="13"/>
      <c r="F195" s="8"/>
      <c r="G195" s="8"/>
      <c r="H195" s="8"/>
      <c r="I195" s="8"/>
      <c r="J195" s="8"/>
      <c r="K195" s="8"/>
    </row>
    <row r="196" spans="1:11" s="9" customFormat="1" ht="21.9" customHeight="1">
      <c r="A196" s="13"/>
      <c r="B196" s="13"/>
      <c r="C196" s="13"/>
      <c r="D196" s="13"/>
      <c r="E196" s="13"/>
      <c r="F196" s="8"/>
      <c r="G196" s="8"/>
      <c r="H196" s="8"/>
      <c r="I196" s="8"/>
      <c r="J196" s="8"/>
      <c r="K196" s="8"/>
    </row>
    <row r="197" spans="1:11" s="9" customFormat="1" ht="21.9" customHeight="1">
      <c r="A197" s="13"/>
      <c r="B197" s="13"/>
      <c r="C197" s="13"/>
      <c r="D197" s="13"/>
      <c r="E197" s="13"/>
      <c r="F197" s="10"/>
      <c r="G197" s="10"/>
      <c r="H197" s="10"/>
      <c r="I197" s="10"/>
      <c r="J197" s="10"/>
      <c r="K197" s="10"/>
    </row>
    <row r="198" spans="1:11" s="9" customFormat="1" ht="21.9" customHeight="1">
      <c r="A198" s="13"/>
      <c r="B198" s="13"/>
      <c r="C198" s="13"/>
      <c r="D198" s="13"/>
      <c r="E198" s="13"/>
      <c r="F198" s="10"/>
      <c r="G198" s="10"/>
      <c r="H198" s="10"/>
      <c r="I198" s="10"/>
      <c r="J198" s="10"/>
      <c r="K198" s="10"/>
    </row>
    <row r="199" spans="1:11" s="9" customFormat="1" ht="21.9" customHeight="1">
      <c r="A199" s="13"/>
      <c r="B199" s="13"/>
      <c r="C199" s="13"/>
      <c r="D199" s="13"/>
      <c r="E199" s="13"/>
      <c r="F199" s="10"/>
      <c r="G199" s="10"/>
      <c r="H199" s="10"/>
      <c r="I199" s="10"/>
      <c r="J199" s="10"/>
      <c r="K199" s="10"/>
    </row>
    <row r="200" spans="1:11" s="9" customFormat="1" ht="21.9" customHeight="1">
      <c r="A200" s="13"/>
      <c r="B200" s="13"/>
      <c r="C200" s="13"/>
      <c r="D200" s="13"/>
      <c r="E200" s="13"/>
      <c r="F200" s="10"/>
      <c r="G200" s="10"/>
      <c r="H200" s="10"/>
      <c r="I200" s="10"/>
      <c r="J200" s="10"/>
      <c r="K200" s="10"/>
    </row>
    <row r="201" spans="1:11" s="9" customFormat="1" ht="21.9" customHeight="1">
      <c r="A201" s="13"/>
      <c r="B201" s="13"/>
      <c r="C201" s="13"/>
      <c r="D201" s="13"/>
      <c r="E201" s="13"/>
      <c r="F201" s="12"/>
      <c r="G201" s="12"/>
      <c r="H201" s="12"/>
      <c r="I201" s="12"/>
      <c r="J201" s="12"/>
      <c r="K201" s="12"/>
    </row>
    <row r="202" spans="1:11" s="9" customFormat="1" ht="21.9" customHeight="1">
      <c r="A202" s="13"/>
      <c r="B202" s="13"/>
      <c r="C202" s="13"/>
      <c r="D202" s="13"/>
      <c r="E202" s="13"/>
      <c r="F202" s="12"/>
      <c r="G202" s="12"/>
      <c r="H202" s="12"/>
      <c r="I202" s="12"/>
      <c r="J202" s="12"/>
      <c r="K202" s="12"/>
    </row>
    <row r="203" spans="1:11" s="9" customFormat="1" ht="21.9" customHeight="1">
      <c r="A203" s="13"/>
      <c r="B203" s="13"/>
      <c r="C203" s="13"/>
      <c r="D203" s="13"/>
      <c r="E203" s="13"/>
      <c r="F203" s="12"/>
      <c r="G203" s="12"/>
      <c r="H203" s="12"/>
      <c r="I203" s="12"/>
      <c r="J203" s="12"/>
      <c r="K203" s="12"/>
    </row>
    <row r="204" spans="1:11" s="9" customFormat="1" ht="21.9" customHeight="1">
      <c r="A204" s="13"/>
      <c r="B204" s="13"/>
      <c r="C204" s="13"/>
      <c r="D204" s="13"/>
      <c r="E204" s="13"/>
      <c r="F204" s="8"/>
      <c r="G204" s="8"/>
      <c r="H204" s="8"/>
      <c r="I204" s="8"/>
      <c r="J204" s="8"/>
      <c r="K204" s="8"/>
    </row>
    <row r="205" spans="1:11" s="9" customFormat="1" ht="21.9" customHeight="1">
      <c r="A205" s="13"/>
      <c r="B205" s="13"/>
      <c r="C205" s="13"/>
      <c r="D205" s="13"/>
      <c r="E205" s="13"/>
      <c r="F205" s="8"/>
      <c r="G205" s="8"/>
      <c r="H205" s="8"/>
      <c r="I205" s="8"/>
      <c r="J205" s="8"/>
      <c r="K205" s="8"/>
    </row>
    <row r="206" spans="1:11" s="9" customFormat="1" ht="21.9" customHeight="1">
      <c r="A206" s="13"/>
      <c r="B206" s="13"/>
      <c r="C206" s="13"/>
      <c r="D206" s="13"/>
      <c r="E206" s="13"/>
      <c r="F206" s="12"/>
      <c r="G206" s="12"/>
      <c r="H206" s="12"/>
      <c r="I206" s="12"/>
      <c r="J206" s="12"/>
      <c r="K206" s="12"/>
    </row>
    <row r="207" spans="1:11" s="9" customFormat="1" ht="21.9" customHeight="1">
      <c r="A207" s="13"/>
      <c r="B207" s="13"/>
      <c r="C207" s="13"/>
      <c r="D207" s="13"/>
      <c r="E207" s="13"/>
      <c r="F207" s="12"/>
      <c r="G207" s="12"/>
      <c r="H207" s="12"/>
      <c r="I207" s="12"/>
      <c r="J207" s="12"/>
      <c r="K207" s="12"/>
    </row>
    <row r="208" spans="1:11" s="9" customFormat="1" ht="21.9" customHeight="1">
      <c r="A208" s="13"/>
      <c r="B208" s="13"/>
      <c r="C208" s="13"/>
      <c r="D208" s="13"/>
      <c r="E208" s="13"/>
      <c r="F208" s="8"/>
      <c r="G208" s="8"/>
      <c r="H208" s="8"/>
      <c r="I208" s="8"/>
      <c r="J208" s="8"/>
      <c r="K208" s="8"/>
    </row>
    <row r="209" spans="1:11" s="9" customFormat="1" ht="21.9" customHeight="1">
      <c r="A209" s="13"/>
      <c r="B209" s="13"/>
      <c r="C209" s="13"/>
      <c r="D209" s="13"/>
      <c r="E209" s="13"/>
      <c r="F209" s="8"/>
      <c r="G209" s="8"/>
      <c r="H209" s="8"/>
      <c r="I209" s="8"/>
      <c r="J209" s="8"/>
      <c r="K209" s="8"/>
    </row>
    <row r="210" spans="1:11" s="9" customFormat="1" ht="21.9" customHeight="1">
      <c r="A210" s="13"/>
      <c r="B210" s="13"/>
      <c r="C210" s="13"/>
      <c r="D210" s="13"/>
      <c r="E210" s="13"/>
      <c r="F210" s="8"/>
      <c r="G210" s="8"/>
      <c r="H210" s="8"/>
      <c r="I210" s="8"/>
      <c r="J210" s="8"/>
      <c r="K210" s="8"/>
    </row>
    <row r="211" spans="1:11" s="9" customFormat="1" ht="21.9" customHeight="1">
      <c r="A211" s="13"/>
      <c r="B211" s="13"/>
      <c r="C211" s="13"/>
      <c r="D211" s="13"/>
      <c r="E211" s="13"/>
      <c r="F211" s="8"/>
      <c r="G211" s="8"/>
      <c r="H211" s="8"/>
      <c r="I211" s="8"/>
      <c r="J211" s="8"/>
      <c r="K211" s="8"/>
    </row>
    <row r="212" spans="1:11" s="9" customFormat="1" ht="21.9" customHeight="1">
      <c r="A212" s="13"/>
      <c r="B212" s="13"/>
      <c r="C212" s="13"/>
      <c r="D212" s="13"/>
      <c r="E212" s="13"/>
      <c r="F212" s="8"/>
      <c r="G212" s="8"/>
      <c r="H212" s="8"/>
      <c r="I212" s="8"/>
      <c r="J212" s="8"/>
      <c r="K212" s="8"/>
    </row>
    <row r="213" spans="1:11" s="9" customFormat="1" ht="21.9" customHeight="1">
      <c r="A213" s="13"/>
      <c r="B213" s="13"/>
      <c r="C213" s="13"/>
      <c r="D213" s="13"/>
      <c r="E213" s="13"/>
      <c r="F213" s="8"/>
      <c r="G213" s="8"/>
      <c r="H213" s="8"/>
      <c r="I213" s="8"/>
      <c r="J213" s="8"/>
      <c r="K213" s="8"/>
    </row>
    <row r="214" spans="1:11" s="9" customFormat="1" ht="21.9" customHeight="1">
      <c r="A214" s="13"/>
      <c r="B214" s="13"/>
      <c r="C214" s="13"/>
      <c r="D214" s="13"/>
      <c r="E214" s="13"/>
      <c r="F214" s="11"/>
      <c r="G214" s="11"/>
      <c r="H214" s="11"/>
      <c r="I214" s="11"/>
      <c r="J214" s="11"/>
      <c r="K214" s="11"/>
    </row>
    <row r="215" spans="1:11" s="9" customFormat="1" ht="21.9" customHeight="1">
      <c r="A215" s="13"/>
      <c r="B215" s="13"/>
      <c r="C215" s="13"/>
      <c r="D215" s="13"/>
      <c r="E215" s="13"/>
      <c r="F215" s="11"/>
      <c r="G215" s="11"/>
      <c r="H215" s="11"/>
      <c r="I215" s="11"/>
      <c r="J215" s="11"/>
      <c r="K215" s="11"/>
    </row>
    <row r="216" spans="1:11" s="9" customFormat="1" ht="21.9" customHeight="1">
      <c r="A216" s="13"/>
      <c r="B216" s="13"/>
      <c r="C216" s="13"/>
      <c r="D216" s="13"/>
      <c r="E216" s="13"/>
      <c r="F216" s="11"/>
      <c r="G216" s="11"/>
      <c r="H216" s="11"/>
      <c r="I216" s="11"/>
      <c r="J216" s="11"/>
      <c r="K216" s="11"/>
    </row>
    <row r="217" spans="1:11" s="9" customFormat="1" ht="21.9" customHeight="1">
      <c r="A217" s="13"/>
      <c r="B217" s="13"/>
      <c r="C217" s="13"/>
      <c r="D217" s="13"/>
      <c r="E217" s="13"/>
      <c r="F217" s="11"/>
      <c r="G217" s="11"/>
      <c r="H217" s="11"/>
      <c r="I217" s="11"/>
      <c r="J217" s="11"/>
      <c r="K217" s="11"/>
    </row>
    <row r="218" spans="1:11" s="9" customFormat="1" ht="21.9" customHeight="1">
      <c r="A218" s="15"/>
      <c r="B218" s="15"/>
      <c r="C218" s="15"/>
      <c r="D218" s="15"/>
      <c r="E218" s="15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  <c r="K219" s="11"/>
    </row>
    <row r="220" spans="1:11" s="9" customFormat="1" ht="21.9" customHeight="1">
      <c r="A220" s="15"/>
      <c r="B220" s="15"/>
      <c r="C220" s="15"/>
      <c r="D220" s="15"/>
      <c r="E220" s="15"/>
      <c r="F220" s="12"/>
      <c r="G220" s="12"/>
      <c r="H220" s="12"/>
      <c r="I220" s="12"/>
      <c r="J220" s="12"/>
      <c r="K220" s="12"/>
    </row>
    <row r="221" spans="1:11" s="9" customFormat="1" ht="21.9" customHeight="1">
      <c r="A221" s="15"/>
      <c r="B221" s="15"/>
      <c r="C221" s="15"/>
      <c r="D221" s="15"/>
      <c r="E221" s="15"/>
      <c r="F221" s="12"/>
      <c r="G221" s="12"/>
      <c r="H221" s="12"/>
      <c r="I221" s="12"/>
      <c r="J221" s="12"/>
      <c r="K221" s="12"/>
    </row>
    <row r="222" spans="1:11" s="9" customFormat="1" ht="21.9" customHeight="1">
      <c r="A222" s="15"/>
      <c r="B222" s="15"/>
      <c r="C222" s="15"/>
      <c r="D222" s="15"/>
      <c r="E222" s="15"/>
      <c r="F222" s="12"/>
      <c r="G222" s="12"/>
      <c r="H222" s="12"/>
      <c r="I222" s="12"/>
      <c r="J222" s="12"/>
      <c r="K222" s="12"/>
    </row>
    <row r="223" spans="1:11" s="9" customFormat="1" ht="21.9" customHeight="1">
      <c r="A223" s="15"/>
      <c r="B223" s="15"/>
      <c r="C223" s="15"/>
      <c r="D223" s="15"/>
      <c r="E223" s="15"/>
      <c r="F223" s="12"/>
      <c r="G223" s="12"/>
      <c r="H223" s="12"/>
      <c r="I223" s="12"/>
      <c r="J223" s="12"/>
      <c r="K223" s="12"/>
    </row>
    <row r="224" spans="1:11" s="9" customFormat="1" ht="21.9" customHeight="1">
      <c r="A224" s="15"/>
      <c r="B224" s="15"/>
      <c r="C224" s="15"/>
      <c r="D224" s="15"/>
      <c r="E224" s="15"/>
      <c r="F224" s="12"/>
      <c r="G224" s="12"/>
      <c r="H224" s="12"/>
      <c r="I224" s="12"/>
      <c r="J224" s="12"/>
      <c r="K224" s="12"/>
    </row>
    <row r="225" spans="1:11" s="9" customFormat="1" ht="21.9" customHeight="1">
      <c r="A225" s="15"/>
      <c r="B225" s="15"/>
      <c r="C225" s="15"/>
      <c r="D225" s="15"/>
      <c r="E225" s="15"/>
      <c r="F225" s="12"/>
      <c r="G225" s="12"/>
      <c r="H225" s="12"/>
      <c r="I225" s="12"/>
      <c r="J225" s="12"/>
      <c r="K225" s="12"/>
    </row>
    <row r="226" spans="1:11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  <c r="K226" s="8"/>
    </row>
    <row r="227" spans="1:11" s="9" customFormat="1" ht="21.9" customHeight="1">
      <c r="A227" s="15"/>
      <c r="B227" s="15"/>
      <c r="C227" s="15"/>
      <c r="D227" s="15"/>
      <c r="E227" s="15"/>
      <c r="F227" s="12"/>
      <c r="G227" s="12"/>
      <c r="H227" s="12"/>
      <c r="I227" s="12"/>
      <c r="J227" s="12"/>
      <c r="K227" s="12"/>
    </row>
    <row r="228" spans="1:11" s="9" customFormat="1" ht="21.9" customHeight="1">
      <c r="A228" s="15"/>
      <c r="B228" s="15"/>
      <c r="C228" s="15"/>
      <c r="D228" s="15"/>
      <c r="E228" s="15"/>
      <c r="F228" s="12"/>
      <c r="G228" s="12"/>
      <c r="H228" s="12"/>
      <c r="I228" s="12"/>
      <c r="J228" s="12"/>
      <c r="K228" s="12"/>
    </row>
    <row r="229" spans="1:11" s="9" customFormat="1" ht="21.9" customHeight="1">
      <c r="A229" s="15"/>
      <c r="B229" s="15"/>
      <c r="C229" s="15"/>
      <c r="D229" s="15"/>
      <c r="E229" s="15"/>
      <c r="F229" s="12"/>
      <c r="G229" s="12"/>
      <c r="H229" s="12"/>
      <c r="I229" s="12"/>
      <c r="J229" s="12"/>
      <c r="K229" s="12"/>
    </row>
    <row r="230" spans="1:11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  <c r="K230" s="8"/>
    </row>
    <row r="231" spans="1:11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  <c r="K231" s="8"/>
    </row>
    <row r="232" spans="1:11" s="9" customFormat="1" ht="21.9" customHeight="1">
      <c r="A232" s="15"/>
      <c r="B232" s="15"/>
      <c r="C232" s="15"/>
      <c r="D232" s="15"/>
      <c r="E232" s="15"/>
      <c r="F232" s="8"/>
      <c r="G232" s="8"/>
      <c r="H232" s="8"/>
      <c r="I232" s="8"/>
      <c r="J232" s="8"/>
      <c r="K232" s="8"/>
    </row>
    <row r="233" spans="1:11" s="9" customFormat="1" ht="21.9" customHeight="1">
      <c r="A233" s="15"/>
      <c r="B233" s="15"/>
      <c r="C233" s="15"/>
      <c r="D233" s="15"/>
      <c r="E233" s="15"/>
      <c r="F233" s="8"/>
      <c r="G233" s="8"/>
      <c r="H233" s="8"/>
      <c r="I233" s="8"/>
      <c r="J233" s="8"/>
      <c r="K233" s="8"/>
    </row>
    <row r="234" spans="1:11" s="9" customFormat="1" ht="21.9" customHeight="1">
      <c r="A234" s="15"/>
      <c r="B234" s="15"/>
      <c r="C234" s="15"/>
      <c r="D234" s="15"/>
      <c r="E234" s="15"/>
      <c r="F234" s="8"/>
      <c r="G234" s="8"/>
      <c r="H234" s="8"/>
      <c r="I234" s="8"/>
      <c r="J234" s="8"/>
      <c r="K234" s="8"/>
    </row>
    <row r="235" spans="1:11" s="9" customFormat="1" ht="21.9" customHeight="1">
      <c r="A235" s="15"/>
      <c r="B235" s="15"/>
      <c r="C235" s="15"/>
      <c r="D235" s="15"/>
      <c r="E235" s="15"/>
      <c r="F235" s="8"/>
      <c r="G235" s="8"/>
      <c r="H235" s="8"/>
      <c r="I235" s="8"/>
      <c r="J235" s="8"/>
      <c r="K235" s="8"/>
    </row>
    <row r="236" spans="1:11" s="9" customFormat="1" ht="21.9" customHeight="1">
      <c r="A236" s="15"/>
      <c r="B236" s="15"/>
      <c r="C236" s="15"/>
      <c r="D236" s="15"/>
      <c r="E236" s="15"/>
      <c r="F236" s="11"/>
      <c r="G236" s="11"/>
      <c r="H236" s="11"/>
      <c r="I236" s="11"/>
      <c r="J236" s="11"/>
      <c r="K236" s="11"/>
    </row>
    <row r="237" spans="1:11" s="9" customFormat="1" ht="21.9" customHeight="1">
      <c r="A237" s="15"/>
      <c r="B237" s="15"/>
      <c r="C237" s="15"/>
      <c r="D237" s="15"/>
      <c r="E237" s="15"/>
      <c r="F237" s="11"/>
      <c r="G237" s="11"/>
      <c r="H237" s="11"/>
      <c r="I237" s="11"/>
      <c r="J237" s="11"/>
      <c r="K237" s="11"/>
    </row>
    <row r="238" spans="1:11" s="9" customFormat="1" ht="21.9" customHeight="1">
      <c r="A238" s="15"/>
      <c r="B238" s="15"/>
      <c r="C238" s="15"/>
      <c r="D238" s="15"/>
      <c r="E238" s="15"/>
      <c r="F238" s="11"/>
      <c r="G238" s="11"/>
      <c r="H238" s="11"/>
      <c r="I238" s="11"/>
      <c r="J238" s="11"/>
      <c r="K238" s="11"/>
    </row>
    <row r="239" spans="1:11" s="9" customFormat="1" ht="21.9" customHeight="1">
      <c r="A239" s="15"/>
      <c r="B239" s="15"/>
      <c r="C239" s="15"/>
      <c r="D239" s="15"/>
      <c r="E239" s="15"/>
      <c r="F239" s="11"/>
      <c r="G239" s="11"/>
      <c r="H239" s="11"/>
      <c r="I239" s="11"/>
      <c r="J239" s="11"/>
      <c r="K239" s="11"/>
    </row>
    <row r="240" spans="1:11" s="9" customFormat="1" ht="21.9" customHeight="1">
      <c r="A240" s="15"/>
      <c r="B240" s="15"/>
      <c r="C240" s="15"/>
      <c r="D240" s="15"/>
      <c r="E240" s="15"/>
      <c r="F240" s="11"/>
      <c r="G240" s="11"/>
      <c r="H240" s="11"/>
      <c r="I240" s="11"/>
      <c r="J240" s="11"/>
      <c r="K240" s="11"/>
    </row>
    <row r="241" spans="1:11" s="9" customFormat="1" ht="21.9" customHeight="1">
      <c r="A241" s="15"/>
      <c r="B241" s="15"/>
      <c r="C241" s="15"/>
      <c r="D241" s="15"/>
      <c r="E241" s="15"/>
      <c r="F241" s="11"/>
      <c r="G241" s="11"/>
      <c r="H241" s="11"/>
      <c r="I241" s="11"/>
      <c r="J241" s="11"/>
      <c r="K241" s="11"/>
    </row>
    <row r="242" spans="1:11" s="9" customFormat="1" ht="21.9" customHeight="1">
      <c r="A242" s="15"/>
      <c r="B242" s="15"/>
      <c r="C242" s="15"/>
      <c r="D242" s="15"/>
      <c r="E242" s="15"/>
      <c r="F242" s="8"/>
      <c r="G242" s="8"/>
      <c r="H242" s="8"/>
      <c r="I242" s="8"/>
      <c r="J242" s="8"/>
      <c r="K242" s="8"/>
    </row>
    <row r="243" spans="1:11" s="9" customFormat="1" ht="21.9" customHeight="1">
      <c r="A243" s="15"/>
      <c r="B243" s="15"/>
      <c r="C243" s="15"/>
      <c r="D243" s="15"/>
      <c r="E243" s="15"/>
      <c r="F243" s="8"/>
      <c r="G243" s="8"/>
      <c r="H243" s="8"/>
      <c r="I243" s="8"/>
      <c r="J243" s="8"/>
      <c r="K243" s="8"/>
    </row>
    <row r="244" spans="1:11" s="9" customFormat="1" ht="21.9" customHeight="1">
      <c r="A244" s="15"/>
      <c r="B244" s="15"/>
      <c r="C244" s="15"/>
      <c r="D244" s="15"/>
      <c r="E244" s="15"/>
      <c r="F244" s="8"/>
      <c r="G244" s="8"/>
      <c r="H244" s="8"/>
      <c r="I244" s="8"/>
      <c r="J244" s="8"/>
      <c r="K244" s="8"/>
    </row>
    <row r="245" spans="1:11" s="9" customFormat="1" ht="21.9" customHeight="1">
      <c r="A245" s="15"/>
      <c r="B245" s="15"/>
      <c r="C245" s="15"/>
      <c r="D245" s="15"/>
      <c r="E245" s="15"/>
      <c r="F245" s="8"/>
      <c r="G245" s="8"/>
      <c r="H245" s="8"/>
      <c r="I245" s="8"/>
      <c r="J245" s="8"/>
      <c r="K245" s="8"/>
    </row>
    <row r="246" spans="1:11" s="9" customFormat="1" ht="21.9" customHeight="1">
      <c r="A246" s="15"/>
      <c r="B246" s="15"/>
      <c r="C246" s="15"/>
      <c r="D246" s="15"/>
      <c r="E246" s="15"/>
      <c r="F246" s="8"/>
      <c r="G246" s="8"/>
      <c r="H246" s="8"/>
      <c r="I246" s="8"/>
      <c r="J246" s="8"/>
      <c r="K246" s="8"/>
    </row>
    <row r="247" spans="1:11" s="9" customFormat="1" ht="21.9" customHeight="1">
      <c r="A247" s="15"/>
      <c r="B247" s="15"/>
      <c r="C247" s="15"/>
      <c r="D247" s="15"/>
      <c r="E247" s="15"/>
      <c r="F247" s="8"/>
      <c r="G247" s="8"/>
      <c r="H247" s="8"/>
      <c r="I247" s="8"/>
      <c r="J247" s="8"/>
      <c r="K247" s="8"/>
    </row>
    <row r="248" spans="1:11" s="9" customFormat="1" ht="21.9" customHeight="1">
      <c r="A248" s="15"/>
      <c r="B248" s="15"/>
      <c r="C248" s="15"/>
      <c r="D248" s="15"/>
      <c r="E248" s="15"/>
      <c r="F248" s="8"/>
      <c r="G248" s="8"/>
      <c r="H248" s="8"/>
      <c r="I248" s="8"/>
      <c r="J248" s="8"/>
      <c r="K248" s="8"/>
    </row>
    <row r="249" spans="1:11" s="9" customFormat="1" ht="21.9" customHeight="1">
      <c r="A249" s="6"/>
      <c r="B249" s="6"/>
      <c r="C249" s="6"/>
      <c r="D249" s="6"/>
      <c r="E249" s="6"/>
      <c r="F249" s="12"/>
      <c r="G249" s="12"/>
      <c r="H249" s="12"/>
      <c r="I249" s="12"/>
      <c r="J249" s="12"/>
      <c r="K249" s="12"/>
    </row>
    <row r="250" spans="1:11" s="9" customFormat="1" ht="21.9" customHeight="1">
      <c r="A250" s="6"/>
      <c r="B250" s="6"/>
      <c r="C250" s="6"/>
      <c r="D250" s="6"/>
      <c r="E250" s="6"/>
      <c r="F250" s="12"/>
      <c r="G250" s="12"/>
      <c r="H250" s="12"/>
      <c r="I250" s="12"/>
      <c r="J250" s="12"/>
      <c r="K250" s="12"/>
    </row>
    <row r="251" spans="1:11" s="9" customFormat="1" ht="21.9" customHeight="1">
      <c r="A251" s="6"/>
      <c r="B251" s="6"/>
      <c r="C251" s="6"/>
      <c r="D251" s="6"/>
      <c r="E251" s="6"/>
      <c r="F251" s="11"/>
      <c r="G251" s="11"/>
      <c r="H251" s="11"/>
      <c r="I251" s="11"/>
      <c r="J251" s="11"/>
      <c r="K251" s="11"/>
    </row>
    <row r="252" spans="1:11" s="9" customFormat="1" ht="21.9" customHeight="1">
      <c r="A252" s="6"/>
      <c r="B252" s="6"/>
      <c r="C252" s="6"/>
      <c r="D252" s="6"/>
      <c r="E252" s="6"/>
      <c r="F252" s="12"/>
      <c r="G252" s="12"/>
      <c r="H252" s="12"/>
      <c r="I252" s="12"/>
      <c r="J252" s="12"/>
      <c r="K252" s="12"/>
    </row>
    <row r="253" spans="1:11" s="9" customFormat="1" ht="21.9" customHeight="1">
      <c r="A253" s="6"/>
      <c r="B253" s="6"/>
      <c r="C253" s="6"/>
      <c r="D253" s="6"/>
      <c r="E253" s="6"/>
      <c r="F253" s="8"/>
      <c r="G253" s="8"/>
      <c r="H253" s="8"/>
      <c r="I253" s="8"/>
      <c r="J253" s="8"/>
      <c r="K253" s="8"/>
    </row>
    <row r="254" spans="1:11" s="9" customFormat="1" ht="21.9" customHeight="1">
      <c r="A254" s="6"/>
      <c r="B254" s="6"/>
      <c r="C254" s="6"/>
      <c r="D254" s="6"/>
      <c r="E254" s="6"/>
      <c r="F254" s="8"/>
      <c r="G254" s="8"/>
      <c r="H254" s="8"/>
      <c r="I254" s="8"/>
      <c r="J254" s="8"/>
      <c r="K254" s="8"/>
    </row>
    <row r="255" spans="1:11" s="9" customFormat="1" ht="21.9" customHeight="1">
      <c r="A255" s="6"/>
      <c r="B255" s="6"/>
      <c r="C255" s="6"/>
      <c r="D255" s="6"/>
      <c r="E255" s="6"/>
      <c r="F255" s="11"/>
      <c r="G255" s="11"/>
      <c r="H255" s="11"/>
      <c r="I255" s="11"/>
      <c r="J255" s="11"/>
      <c r="K255" s="11"/>
    </row>
    <row r="256" spans="1:11" s="9" customFormat="1" ht="21.9" customHeight="1">
      <c r="A256" s="6"/>
      <c r="B256" s="6"/>
      <c r="C256" s="6"/>
      <c r="D256" s="6"/>
      <c r="E256" s="6"/>
      <c r="F256" s="12"/>
      <c r="G256" s="12"/>
      <c r="H256" s="12"/>
      <c r="I256" s="12"/>
      <c r="J256" s="12"/>
      <c r="K256" s="12"/>
    </row>
    <row r="257" spans="1:11" s="9" customFormat="1" ht="21.9" customHeight="1">
      <c r="A257" s="6"/>
      <c r="B257" s="6"/>
      <c r="C257" s="6"/>
      <c r="D257" s="6"/>
      <c r="E257" s="6"/>
      <c r="F257" s="11"/>
      <c r="G257" s="11"/>
      <c r="H257" s="11"/>
      <c r="I257" s="11"/>
      <c r="J257" s="11"/>
      <c r="K257" s="11"/>
    </row>
    <row r="258" spans="1:11" s="9" customFormat="1" ht="21.9" customHeight="1">
      <c r="A258" s="6"/>
      <c r="B258" s="6"/>
      <c r="C258" s="6"/>
      <c r="D258" s="6"/>
      <c r="E258" s="6"/>
      <c r="F258" s="11"/>
      <c r="G258" s="11"/>
      <c r="H258" s="11"/>
      <c r="I258" s="11"/>
      <c r="J258" s="11"/>
      <c r="K258" s="11"/>
    </row>
    <row r="259" spans="1:11" s="9" customFormat="1" ht="21.9" customHeight="1">
      <c r="A259" s="6"/>
      <c r="B259" s="6"/>
      <c r="C259" s="6"/>
      <c r="D259" s="6"/>
      <c r="E259" s="6"/>
      <c r="F259" s="11"/>
      <c r="G259" s="11"/>
      <c r="H259" s="11"/>
      <c r="I259" s="11"/>
      <c r="J259" s="11"/>
      <c r="K259" s="11"/>
    </row>
    <row r="260" spans="1:11" s="9" customFormat="1" ht="21.9" customHeight="1">
      <c r="A260" s="6"/>
      <c r="B260" s="6"/>
      <c r="C260" s="6"/>
      <c r="D260" s="6"/>
      <c r="E260" s="6"/>
      <c r="F260" s="11"/>
      <c r="G260" s="11"/>
      <c r="H260" s="11"/>
      <c r="I260" s="11"/>
      <c r="J260" s="11"/>
      <c r="K260" s="11"/>
    </row>
    <row r="261" spans="1:11" s="9" customFormat="1" ht="21.9" customHeight="1">
      <c r="A261" s="6"/>
      <c r="B261" s="6"/>
      <c r="C261" s="6"/>
      <c r="D261" s="6"/>
      <c r="E261" s="6"/>
      <c r="F261" s="11"/>
      <c r="G261" s="11"/>
      <c r="H261" s="11"/>
      <c r="I261" s="11"/>
      <c r="J261" s="11"/>
      <c r="K261" s="11"/>
    </row>
    <row r="262" spans="1:11" s="9" customFormat="1" ht="21.9" customHeight="1">
      <c r="A262" s="6"/>
      <c r="B262" s="6"/>
      <c r="C262" s="6"/>
      <c r="D262" s="6"/>
      <c r="E262" s="6"/>
      <c r="F262" s="11"/>
      <c r="G262" s="11"/>
      <c r="H262" s="11"/>
      <c r="I262" s="11"/>
      <c r="J262" s="11"/>
      <c r="K262" s="11"/>
    </row>
    <row r="263" spans="1:11" s="9" customFormat="1" ht="21.9" customHeight="1">
      <c r="A263" s="6"/>
      <c r="B263" s="6"/>
      <c r="C263" s="6"/>
      <c r="D263" s="6"/>
      <c r="E263" s="6"/>
      <c r="F263" s="11"/>
      <c r="G263" s="11"/>
      <c r="H263" s="11"/>
      <c r="I263" s="11"/>
      <c r="J263" s="11"/>
      <c r="K263" s="11"/>
    </row>
    <row r="264" spans="1:11" s="9" customFormat="1" ht="21.9" customHeight="1">
      <c r="A264" s="6"/>
      <c r="B264" s="6"/>
      <c r="C264" s="6"/>
      <c r="D264" s="6"/>
      <c r="E264" s="6"/>
      <c r="F264" s="11"/>
      <c r="G264" s="11"/>
      <c r="H264" s="11"/>
      <c r="I264" s="11"/>
      <c r="J264" s="11"/>
      <c r="K264" s="11"/>
    </row>
    <row r="265" spans="1:11" s="9" customFormat="1" ht="21.9" customHeight="1">
      <c r="A265" s="6"/>
      <c r="B265" s="6"/>
      <c r="C265" s="6"/>
      <c r="D265" s="6"/>
      <c r="E265" s="6"/>
      <c r="F265" s="8"/>
      <c r="G265" s="8"/>
      <c r="H265" s="8"/>
      <c r="I265" s="8"/>
      <c r="J265" s="8"/>
      <c r="K265" s="8"/>
    </row>
    <row r="266" spans="1:11" s="9" customFormat="1" ht="21.9" customHeight="1">
      <c r="A266" s="6"/>
      <c r="B266" s="6"/>
      <c r="C266" s="6"/>
      <c r="D266" s="6"/>
      <c r="E266" s="6"/>
      <c r="F266" s="8"/>
      <c r="G266" s="8"/>
      <c r="H266" s="8"/>
      <c r="I266" s="8"/>
      <c r="J266" s="8"/>
      <c r="K266" s="8"/>
    </row>
    <row r="267" spans="1:11" s="9" customFormat="1" ht="21.9" customHeight="1">
      <c r="A267" s="6"/>
      <c r="B267" s="6"/>
      <c r="C267" s="6"/>
      <c r="D267" s="6"/>
      <c r="E267" s="6"/>
      <c r="F267" s="8"/>
      <c r="G267" s="8"/>
      <c r="H267" s="8"/>
      <c r="I267" s="8"/>
      <c r="J267" s="8"/>
      <c r="K267" s="8"/>
    </row>
    <row r="268" spans="1:11" s="9" customFormat="1" ht="21.9" customHeight="1">
      <c r="A268" s="6"/>
      <c r="B268" s="6"/>
      <c r="C268" s="6"/>
      <c r="D268" s="6"/>
      <c r="E268" s="6"/>
      <c r="F268" s="8"/>
      <c r="G268" s="8"/>
      <c r="H268" s="8"/>
      <c r="I268" s="8"/>
      <c r="J268" s="8"/>
      <c r="K268" s="8"/>
    </row>
    <row r="269" spans="1:11" s="9" customFormat="1" ht="21.9" customHeight="1">
      <c r="A269" s="6"/>
      <c r="B269" s="6"/>
      <c r="C269" s="6"/>
      <c r="D269" s="6"/>
      <c r="E269" s="6"/>
      <c r="F269" s="8"/>
      <c r="G269" s="8"/>
      <c r="H269" s="8"/>
      <c r="I269" s="8"/>
      <c r="J269" s="8"/>
      <c r="K269" s="8"/>
    </row>
    <row r="270" spans="1:11" s="9" customFormat="1" ht="21.9" customHeight="1">
      <c r="A270" s="6"/>
      <c r="B270" s="6"/>
      <c r="C270" s="6"/>
      <c r="D270" s="6"/>
      <c r="E270" s="6"/>
      <c r="F270" s="8"/>
      <c r="G270" s="8"/>
      <c r="H270" s="8"/>
      <c r="I270" s="8"/>
      <c r="J270" s="8"/>
      <c r="K270" s="8"/>
    </row>
    <row r="271" spans="1:11" s="9" customFormat="1" ht="13.2">
      <c r="A271" s="6"/>
      <c r="B271" s="6"/>
      <c r="C271" s="6"/>
      <c r="D271" s="6"/>
      <c r="E271" s="6"/>
      <c r="F271" s="12"/>
      <c r="G271" s="12"/>
      <c r="H271" s="12"/>
      <c r="I271" s="12"/>
      <c r="J271" s="12"/>
      <c r="K271" s="12"/>
    </row>
    <row r="272" spans="1:11" s="9" customFormat="1" ht="13.2">
      <c r="A272" s="6"/>
      <c r="B272" s="6"/>
      <c r="C272" s="6"/>
      <c r="D272" s="6"/>
      <c r="E272" s="6"/>
      <c r="F272" s="10"/>
      <c r="G272" s="10"/>
      <c r="H272" s="10"/>
      <c r="I272" s="10"/>
      <c r="J272" s="10"/>
      <c r="K272" s="10"/>
    </row>
    <row r="273" spans="1:11" s="9" customFormat="1" ht="13.2">
      <c r="A273" s="6"/>
      <c r="B273" s="6"/>
      <c r="C273" s="6"/>
      <c r="D273" s="6"/>
      <c r="E273" s="6"/>
      <c r="F273" s="12"/>
      <c r="G273" s="12"/>
      <c r="H273" s="12"/>
      <c r="I273" s="12"/>
      <c r="J273" s="12"/>
      <c r="K273" s="12"/>
    </row>
    <row r="274" spans="1:11" s="9" customFormat="1" ht="13.2">
      <c r="A274" s="6"/>
      <c r="B274" s="6"/>
      <c r="C274" s="6"/>
      <c r="D274" s="6"/>
      <c r="E274" s="6"/>
      <c r="F274" s="12"/>
      <c r="G274" s="12"/>
      <c r="H274" s="12"/>
      <c r="I274" s="12"/>
      <c r="J274" s="12"/>
      <c r="K274" s="12"/>
    </row>
    <row r="275" spans="1:11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  <c r="K275" s="8"/>
    </row>
    <row r="276" spans="1:11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  <c r="K276" s="8"/>
    </row>
    <row r="277" spans="1:11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  <c r="K277" s="8"/>
    </row>
    <row r="278" spans="1:11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  <c r="K278" s="8"/>
    </row>
    <row r="279" spans="1:11" s="9" customFormat="1" ht="13.2">
      <c r="A279" s="6"/>
      <c r="B279" s="6"/>
      <c r="C279" s="6"/>
      <c r="D279" s="6"/>
      <c r="E279" s="6"/>
      <c r="F279" s="11"/>
      <c r="G279" s="11"/>
      <c r="H279" s="11"/>
      <c r="I279" s="11"/>
      <c r="J279" s="11"/>
      <c r="K279" s="11"/>
    </row>
    <row r="280" spans="1:11" s="9" customFormat="1" ht="13.2">
      <c r="A280" s="6"/>
      <c r="B280" s="6"/>
      <c r="C280" s="6"/>
      <c r="D280" s="6"/>
      <c r="E280" s="6"/>
      <c r="F280" s="12"/>
      <c r="G280" s="12"/>
      <c r="H280" s="12"/>
      <c r="I280" s="12"/>
      <c r="J280" s="12"/>
      <c r="K280" s="12"/>
    </row>
    <row r="281" spans="1:11" s="9" customFormat="1" ht="13.2">
      <c r="A281" s="6"/>
      <c r="B281" s="6"/>
      <c r="C281" s="6"/>
      <c r="D281" s="6"/>
      <c r="E281" s="6"/>
      <c r="F281" s="10"/>
      <c r="G281" s="10"/>
      <c r="H281" s="10"/>
      <c r="I281" s="10"/>
      <c r="J281" s="10"/>
      <c r="K281" s="10"/>
    </row>
    <row r="282" spans="1:11" s="9" customFormat="1" ht="13.2">
      <c r="A282" s="6"/>
      <c r="B282" s="6"/>
      <c r="C282" s="6"/>
      <c r="D282" s="6"/>
      <c r="E282" s="6"/>
      <c r="F282" s="11"/>
      <c r="G282" s="11"/>
      <c r="H282" s="11"/>
      <c r="I282" s="11"/>
      <c r="J282" s="11"/>
      <c r="K282" s="11"/>
    </row>
    <row r="283" spans="1:11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  <c r="K283" s="8"/>
    </row>
    <row r="284" spans="1:11" s="9" customFormat="1" ht="13.2">
      <c r="A284" s="6"/>
      <c r="B284" s="6"/>
      <c r="C284" s="6"/>
      <c r="D284" s="6"/>
      <c r="E284" s="6"/>
      <c r="F284" s="7"/>
      <c r="G284" s="7"/>
      <c r="H284" s="7"/>
      <c r="I284" s="7"/>
      <c r="J284" s="7"/>
      <c r="K284" s="7"/>
    </row>
    <row r="285" spans="1:11" s="9" customFormat="1" ht="13.2">
      <c r="A285" s="6"/>
      <c r="B285" s="6"/>
      <c r="C285" s="6"/>
      <c r="D285" s="6"/>
      <c r="E285" s="6"/>
      <c r="F285" s="7"/>
      <c r="G285" s="7"/>
      <c r="H285" s="7"/>
      <c r="I285" s="7"/>
      <c r="J285" s="7"/>
      <c r="K285" s="7"/>
    </row>
    <row r="286" spans="1:11" s="9" customFormat="1" ht="13.2">
      <c r="A286" s="6"/>
      <c r="B286" s="6"/>
      <c r="C286" s="6"/>
      <c r="D286" s="6"/>
      <c r="E286" s="6"/>
      <c r="F286" s="7"/>
      <c r="G286" s="7"/>
      <c r="H286" s="7"/>
      <c r="I286" s="7"/>
      <c r="J286" s="7"/>
      <c r="K286" s="7"/>
    </row>
    <row r="287" spans="1:11" s="9" customFormat="1" ht="13.2">
      <c r="A287" s="6"/>
      <c r="B287" s="6"/>
      <c r="C287" s="6"/>
      <c r="D287" s="6"/>
      <c r="E287" s="6"/>
      <c r="F287" s="7"/>
      <c r="G287" s="7"/>
      <c r="H287" s="7"/>
      <c r="I287" s="7"/>
      <c r="J287" s="7"/>
      <c r="K287" s="7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  <c r="K290" s="8"/>
    </row>
    <row r="291" spans="1:11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  <c r="K291" s="8"/>
    </row>
    <row r="292" spans="1:11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  <c r="K292" s="8"/>
    </row>
    <row r="293" spans="1:11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  <c r="K293" s="8"/>
    </row>
    <row r="294" spans="1:11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  <c r="K294" s="8"/>
    </row>
    <row r="295" spans="1:11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  <c r="K295" s="8"/>
    </row>
    <row r="296" spans="1:11" s="9" customFormat="1" ht="13.2">
      <c r="A296" s="6"/>
      <c r="B296" s="6"/>
      <c r="C296" s="6"/>
      <c r="D296" s="6"/>
      <c r="E296" s="6"/>
      <c r="F296" s="12"/>
      <c r="G296" s="12"/>
      <c r="H296" s="12"/>
      <c r="I296" s="12"/>
      <c r="J296" s="12"/>
      <c r="K296" s="12"/>
    </row>
    <row r="297" spans="1:11" s="9" customFormat="1" ht="13.2">
      <c r="A297" s="6"/>
      <c r="B297" s="6"/>
      <c r="C297" s="6"/>
      <c r="D297" s="6"/>
      <c r="E297" s="6"/>
      <c r="F297" s="11"/>
      <c r="G297" s="11"/>
      <c r="H297" s="11"/>
      <c r="I297" s="11"/>
      <c r="J297" s="11"/>
      <c r="K297" s="11"/>
    </row>
    <row r="298" spans="1:11" s="9" customFormat="1" ht="13.2">
      <c r="A298" s="6"/>
      <c r="B298" s="6"/>
      <c r="C298" s="6"/>
      <c r="D298" s="6"/>
      <c r="E298" s="6"/>
      <c r="F298" s="12"/>
      <c r="G298" s="12"/>
      <c r="H298" s="12"/>
      <c r="I298" s="12"/>
      <c r="J298" s="12"/>
      <c r="K298" s="12"/>
    </row>
    <row r="299" spans="1:11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  <c r="K299" s="8"/>
    </row>
    <row r="300" spans="1:11" s="9" customFormat="1" ht="13.2">
      <c r="A300" s="6"/>
      <c r="B300" s="6"/>
      <c r="C300" s="6"/>
      <c r="D300" s="6"/>
      <c r="E300" s="6"/>
      <c r="F300" s="12"/>
      <c r="G300" s="12"/>
      <c r="H300" s="12"/>
      <c r="I300" s="12"/>
      <c r="J300" s="12"/>
      <c r="K300" s="12"/>
    </row>
    <row r="301" spans="1:11" s="9" customFormat="1" ht="13.2">
      <c r="A301" s="6"/>
      <c r="B301" s="6"/>
      <c r="C301" s="6"/>
      <c r="D301" s="6"/>
      <c r="E301" s="6"/>
      <c r="F301" s="8"/>
      <c r="G301" s="8"/>
      <c r="H301" s="8"/>
      <c r="I301" s="8"/>
      <c r="J301" s="8"/>
      <c r="K301" s="8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12"/>
      <c r="G303" s="12"/>
      <c r="H303" s="12"/>
      <c r="I303" s="12"/>
      <c r="J303" s="12"/>
      <c r="K303" s="12"/>
    </row>
    <row r="304" spans="1:11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  <c r="K304" s="8"/>
    </row>
    <row r="305" spans="1:11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  <c r="K305" s="8"/>
    </row>
    <row r="306" spans="1:11" s="9" customFormat="1" ht="13.2">
      <c r="A306" s="6"/>
      <c r="B306" s="6"/>
      <c r="C306" s="6"/>
      <c r="D306" s="6"/>
      <c r="E306" s="6"/>
      <c r="F306" s="11"/>
      <c r="G306" s="11"/>
      <c r="H306" s="11"/>
      <c r="I306" s="11"/>
      <c r="J306" s="11"/>
      <c r="K306" s="11"/>
    </row>
    <row r="307" spans="1:11" s="9" customFormat="1" ht="13.2">
      <c r="A307" s="6"/>
      <c r="B307" s="6"/>
      <c r="C307" s="6"/>
      <c r="D307" s="6"/>
      <c r="E307" s="6"/>
      <c r="F307" s="8"/>
      <c r="G307" s="8"/>
      <c r="H307" s="8"/>
      <c r="I307" s="8"/>
      <c r="J307" s="8"/>
      <c r="K307" s="8"/>
    </row>
    <row r="308" spans="1:11" s="9" customFormat="1" ht="13.2">
      <c r="A308" s="6"/>
      <c r="B308" s="6"/>
      <c r="C308" s="6"/>
      <c r="D308" s="6"/>
      <c r="E308" s="6"/>
      <c r="F308" s="8"/>
      <c r="G308" s="8"/>
      <c r="H308" s="8"/>
      <c r="I308" s="8"/>
      <c r="J308" s="8"/>
      <c r="K308" s="8"/>
    </row>
    <row r="309" spans="1:11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  <c r="K309" s="8"/>
    </row>
    <row r="310" spans="1:11" s="9" customFormat="1" ht="13.2">
      <c r="A310" s="6"/>
      <c r="B310" s="6"/>
      <c r="C310" s="6"/>
      <c r="D310" s="6"/>
      <c r="E310" s="6"/>
      <c r="F310" s="11"/>
      <c r="G310" s="11"/>
      <c r="H310" s="11"/>
      <c r="I310" s="11"/>
      <c r="J310" s="11"/>
      <c r="K310" s="11"/>
    </row>
    <row r="311" spans="1:11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  <c r="K311" s="8"/>
    </row>
    <row r="312" spans="1:11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  <c r="K312" s="8"/>
    </row>
    <row r="313" spans="1:11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  <c r="K313" s="8"/>
    </row>
    <row r="314" spans="1:11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  <c r="K314" s="8"/>
    </row>
    <row r="315" spans="1:11" s="9" customFormat="1" ht="13.2">
      <c r="A315" s="6"/>
      <c r="B315" s="6"/>
      <c r="C315" s="6"/>
      <c r="D315" s="6"/>
      <c r="E315" s="6"/>
      <c r="F315" s="8"/>
      <c r="G315" s="8"/>
      <c r="H315" s="8"/>
      <c r="I315" s="8"/>
      <c r="J315" s="8"/>
      <c r="K315" s="8"/>
    </row>
    <row r="316" spans="1:11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</row>
    <row r="317" spans="1:11" s="9" customFormat="1" ht="13.2">
      <c r="A317" s="6"/>
      <c r="B317" s="6"/>
      <c r="C317" s="6"/>
      <c r="D317" s="6"/>
      <c r="E317" s="6"/>
      <c r="F317" s="10"/>
      <c r="G317" s="10"/>
      <c r="H317" s="10"/>
      <c r="I317" s="10"/>
      <c r="J317" s="10"/>
      <c r="K317" s="10"/>
    </row>
    <row r="318" spans="1:11" s="9" customFormat="1" ht="13.2">
      <c r="A318" s="6"/>
      <c r="B318" s="6"/>
      <c r="C318" s="6"/>
      <c r="D318" s="6"/>
      <c r="E318" s="6"/>
      <c r="F318" s="11"/>
      <c r="G318" s="11"/>
      <c r="H318" s="11"/>
      <c r="I318" s="11"/>
      <c r="J318" s="11"/>
      <c r="K318" s="11"/>
    </row>
    <row r="319" spans="1:11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  <c r="K319" s="8"/>
    </row>
    <row r="320" spans="1:11" s="9" customFormat="1" ht="13.2">
      <c r="A320" s="6"/>
      <c r="B320" s="6"/>
      <c r="C320" s="6"/>
      <c r="D320" s="6"/>
      <c r="E320" s="6"/>
      <c r="F320" s="11"/>
      <c r="G320" s="11"/>
      <c r="H320" s="11"/>
      <c r="I320" s="11"/>
      <c r="J320" s="11"/>
      <c r="K320" s="11"/>
    </row>
    <row r="321" spans="1:11" s="9" customFormat="1" ht="13.2">
      <c r="A321" s="6"/>
      <c r="B321" s="6"/>
      <c r="C321" s="6"/>
      <c r="D321" s="6"/>
      <c r="E321" s="6"/>
      <c r="F321" s="8"/>
      <c r="G321" s="8"/>
      <c r="H321" s="8"/>
      <c r="I321" s="8"/>
      <c r="J321" s="8"/>
      <c r="K321" s="8"/>
    </row>
    <row r="322" spans="1:11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  <c r="K322" s="8"/>
    </row>
    <row r="323" spans="1:11" s="9" customFormat="1" ht="13.2">
      <c r="A323" s="6"/>
      <c r="B323" s="6"/>
      <c r="C323" s="6"/>
      <c r="D323" s="6"/>
      <c r="E323" s="6"/>
      <c r="F323" s="11"/>
      <c r="G323" s="11"/>
      <c r="H323" s="11"/>
      <c r="I323" s="11"/>
      <c r="J323" s="11"/>
      <c r="K323" s="11"/>
    </row>
    <row r="324" spans="1:11" s="9" customFormat="1" ht="13.2">
      <c r="A324" s="6"/>
      <c r="B324" s="6"/>
      <c r="C324" s="6"/>
      <c r="D324" s="6"/>
      <c r="E324" s="6"/>
      <c r="F324" s="11"/>
      <c r="G324" s="11"/>
      <c r="H324" s="11"/>
      <c r="I324" s="11"/>
      <c r="J324" s="11"/>
      <c r="K324" s="11"/>
    </row>
    <row r="325" spans="1:11" s="9" customFormat="1" ht="13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spans="1:11" s="9" customFormat="1" ht="13.2">
      <c r="A326" s="6"/>
      <c r="B326" s="6"/>
      <c r="C326" s="6"/>
      <c r="D326" s="6"/>
      <c r="E326" s="6"/>
      <c r="F326" s="11"/>
      <c r="G326" s="11"/>
      <c r="H326" s="11"/>
      <c r="I326" s="11"/>
      <c r="J326" s="11"/>
      <c r="K326" s="11"/>
    </row>
    <row r="327" spans="1:11" s="9" customFormat="1" ht="13.2">
      <c r="A327" s="6"/>
      <c r="B327" s="6"/>
      <c r="C327" s="6"/>
      <c r="D327" s="6"/>
      <c r="E327" s="6"/>
      <c r="F327" s="11"/>
      <c r="G327" s="11"/>
      <c r="H327" s="11"/>
      <c r="I327" s="11"/>
      <c r="J327" s="11"/>
      <c r="K327" s="11"/>
    </row>
    <row r="328" spans="1:11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  <c r="K328" s="8"/>
    </row>
    <row r="329" spans="1:11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  <c r="K329" s="8"/>
    </row>
    <row r="330" spans="1:11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  <c r="K330" s="8"/>
    </row>
    <row r="331" spans="1:11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  <c r="K331" s="8"/>
    </row>
    <row r="332" spans="1:11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  <c r="K332" s="8"/>
    </row>
    <row r="333" spans="1:11" s="9" customFormat="1" ht="13.2">
      <c r="A333" s="6"/>
      <c r="B333" s="6"/>
      <c r="C333" s="6"/>
      <c r="D333" s="6"/>
      <c r="E333" s="6"/>
      <c r="F333" s="7"/>
      <c r="G333" s="7"/>
      <c r="H333" s="7"/>
      <c r="I333" s="7"/>
      <c r="J333" s="7"/>
      <c r="K333" s="7"/>
    </row>
    <row r="334" spans="1:11" s="9" customFormat="1" ht="13.2">
      <c r="A334" s="6"/>
      <c r="B334" s="6"/>
      <c r="C334" s="6"/>
      <c r="D334" s="6"/>
      <c r="E334" s="6"/>
      <c r="F334" s="7"/>
      <c r="G334" s="7"/>
      <c r="H334" s="7"/>
      <c r="I334" s="7"/>
      <c r="J334" s="7"/>
      <c r="K334" s="7"/>
    </row>
    <row r="335" spans="1:11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  <c r="K335" s="8"/>
    </row>
    <row r="336" spans="1:11" s="9" customFormat="1" ht="13.2">
      <c r="A336" s="6"/>
      <c r="B336" s="6"/>
      <c r="C336" s="6"/>
      <c r="D336" s="6"/>
      <c r="E336" s="6"/>
      <c r="F336" s="11"/>
      <c r="G336" s="11"/>
      <c r="H336" s="11"/>
      <c r="I336" s="11"/>
      <c r="J336" s="11"/>
      <c r="K336" s="11"/>
    </row>
    <row r="337" spans="1:11" s="9" customFormat="1" ht="13.2">
      <c r="A337" s="6"/>
      <c r="B337" s="6"/>
      <c r="C337" s="6"/>
      <c r="D337" s="6"/>
      <c r="E337" s="6"/>
      <c r="F337" s="7"/>
      <c r="G337" s="7"/>
      <c r="H337" s="7"/>
      <c r="I337" s="7"/>
      <c r="J337" s="7"/>
      <c r="K337" s="7"/>
    </row>
    <row r="338" spans="1:11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  <c r="K338" s="8"/>
    </row>
    <row r="339" spans="1:11" s="9" customFormat="1" ht="13.2">
      <c r="A339" s="6"/>
      <c r="B339" s="6"/>
      <c r="C339" s="6"/>
      <c r="D339" s="6"/>
      <c r="E339" s="6"/>
      <c r="F339" s="7"/>
      <c r="G339" s="7"/>
      <c r="H339" s="7"/>
      <c r="I339" s="7"/>
      <c r="J339" s="7"/>
      <c r="K339" s="7"/>
    </row>
    <row r="340" spans="1:11" s="9" customFormat="1" ht="13.2">
      <c r="A340" s="6"/>
      <c r="B340" s="6"/>
      <c r="C340" s="6"/>
      <c r="D340" s="6"/>
      <c r="E340" s="6"/>
      <c r="F340" s="7"/>
      <c r="G340" s="7"/>
      <c r="H340" s="7"/>
      <c r="I340" s="7"/>
      <c r="J340" s="7"/>
      <c r="K340" s="7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  <c r="K343" s="8"/>
    </row>
    <row r="344" spans="1:11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  <c r="K344" s="8"/>
    </row>
    <row r="345" spans="1:11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</row>
    <row r="346" spans="1:11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</row>
    <row r="347" spans="1:11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</row>
    <row r="348" spans="1:11" s="9" customFormat="1" ht="13.2">
      <c r="A348" s="6"/>
      <c r="B348" s="6"/>
      <c r="C348" s="6"/>
      <c r="D348" s="6"/>
      <c r="E348" s="6"/>
      <c r="F348" s="7"/>
      <c r="G348" s="7"/>
      <c r="H348" s="7"/>
      <c r="I348" s="7"/>
      <c r="J348" s="7"/>
      <c r="K348" s="7"/>
    </row>
    <row r="349" spans="1:11" s="9" customFormat="1" ht="13.2">
      <c r="A349" s="6"/>
      <c r="B349" s="6"/>
      <c r="C349" s="6"/>
      <c r="D349" s="6"/>
      <c r="E349" s="6"/>
      <c r="F349" s="7"/>
      <c r="G349" s="7"/>
      <c r="H349" s="7"/>
      <c r="I349" s="7"/>
      <c r="J349" s="7"/>
      <c r="K349" s="7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</row>
    <row r="360" spans="1:11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8"/>
      <c r="G371" s="8"/>
      <c r="H371" s="8"/>
      <c r="I371" s="8"/>
      <c r="J371" s="8"/>
      <c r="K371" s="8"/>
    </row>
    <row r="372" spans="1:11" s="9" customFormat="1" ht="13.2">
      <c r="A372" s="6"/>
      <c r="B372" s="6"/>
      <c r="C372" s="6"/>
      <c r="D372" s="6"/>
      <c r="E372" s="6"/>
      <c r="F372" s="8"/>
      <c r="G372" s="8"/>
      <c r="H372" s="8"/>
      <c r="I372" s="8"/>
      <c r="J372" s="8"/>
      <c r="K372" s="8"/>
    </row>
    <row r="373" spans="1:11" s="9" customFormat="1" ht="13.2">
      <c r="A373" s="6"/>
      <c r="B373" s="6"/>
      <c r="C373" s="6"/>
      <c r="D373" s="6"/>
      <c r="E373" s="6"/>
      <c r="F373" s="8"/>
      <c r="G373" s="8"/>
      <c r="H373" s="8"/>
      <c r="I373" s="8"/>
      <c r="J373" s="8"/>
      <c r="K373" s="8"/>
    </row>
    <row r="374" spans="1:11" s="9" customFormat="1" ht="13.2">
      <c r="A374" s="6"/>
      <c r="B374" s="6"/>
      <c r="C374" s="6"/>
      <c r="D374" s="6"/>
      <c r="E374" s="6"/>
      <c r="F374" s="8"/>
      <c r="G374" s="8"/>
      <c r="H374" s="8"/>
      <c r="I374" s="8"/>
      <c r="J374" s="8"/>
      <c r="K374" s="8"/>
    </row>
    <row r="375" spans="1:11" s="9" customFormat="1" ht="13.2">
      <c r="A375" s="6"/>
      <c r="B375" s="6"/>
      <c r="C375" s="6"/>
      <c r="D375" s="6"/>
      <c r="E375" s="6"/>
      <c r="F375" s="8"/>
      <c r="G375" s="8"/>
      <c r="H375" s="8"/>
      <c r="I375" s="8"/>
      <c r="J375" s="8"/>
      <c r="K375" s="8"/>
    </row>
    <row r="376" spans="1:11" s="9" customFormat="1" ht="13.2">
      <c r="A376" s="6"/>
      <c r="B376" s="6"/>
      <c r="C376" s="6"/>
      <c r="D376" s="6"/>
      <c r="E376" s="6"/>
      <c r="F376" s="8"/>
      <c r="G376" s="8"/>
      <c r="H376" s="8"/>
      <c r="I376" s="8"/>
      <c r="J376" s="8"/>
      <c r="K376" s="8"/>
    </row>
    <row r="377" spans="1:11" s="9" customFormat="1" ht="13.2">
      <c r="A377" s="6"/>
      <c r="B377" s="6"/>
      <c r="C377" s="6"/>
      <c r="D377" s="6"/>
      <c r="E377" s="6"/>
      <c r="F377" s="10"/>
      <c r="G377" s="10"/>
      <c r="H377" s="10"/>
      <c r="I377" s="10"/>
      <c r="J377" s="10"/>
      <c r="K377" s="10"/>
    </row>
    <row r="378" spans="1:11" s="9" customFormat="1" ht="13.2">
      <c r="A378" s="6"/>
      <c r="B378" s="6"/>
      <c r="C378" s="6"/>
      <c r="D378" s="6"/>
      <c r="E378" s="6"/>
      <c r="F378" s="10"/>
      <c r="G378" s="10"/>
      <c r="H378" s="10"/>
      <c r="I378" s="10"/>
      <c r="J378" s="10"/>
      <c r="K378" s="10"/>
    </row>
    <row r="379" spans="1:11" s="9" customFormat="1" ht="13.2">
      <c r="A379" s="6"/>
      <c r="B379" s="6"/>
      <c r="C379" s="6"/>
      <c r="D379" s="6"/>
      <c r="E379" s="6"/>
      <c r="F379" s="10"/>
      <c r="G379" s="10"/>
      <c r="H379" s="10"/>
      <c r="I379" s="10"/>
      <c r="J379" s="10"/>
      <c r="K379" s="10"/>
    </row>
    <row r="380" spans="1:11" s="9" customFormat="1" ht="13.2">
      <c r="A380" s="6"/>
      <c r="B380" s="6"/>
      <c r="C380" s="6"/>
      <c r="D380" s="6"/>
      <c r="E380" s="6"/>
      <c r="F380" s="8"/>
      <c r="G380" s="8"/>
      <c r="H380" s="8"/>
      <c r="I380" s="8"/>
      <c r="J380" s="8"/>
      <c r="K380" s="8"/>
    </row>
    <row r="381" spans="1:11" s="9" customFormat="1" ht="13.2">
      <c r="A381" s="6"/>
      <c r="B381" s="6"/>
      <c r="C381" s="6"/>
      <c r="D381" s="6"/>
      <c r="E381" s="6"/>
      <c r="F381" s="8"/>
      <c r="G381" s="8"/>
      <c r="H381" s="8"/>
      <c r="I381" s="8"/>
      <c r="J381" s="8"/>
      <c r="K381" s="8"/>
    </row>
    <row r="382" spans="1:11" s="9" customFormat="1" ht="13.2">
      <c r="A382" s="6"/>
      <c r="B382" s="6"/>
      <c r="C382" s="6"/>
      <c r="D382" s="6"/>
      <c r="E382" s="6"/>
      <c r="F382" s="10"/>
      <c r="G382" s="10"/>
      <c r="H382" s="10"/>
      <c r="I382" s="10"/>
      <c r="J382" s="10"/>
      <c r="K382" s="10"/>
    </row>
    <row r="383" spans="1:11" s="9" customFormat="1" ht="13.2">
      <c r="A383" s="6"/>
      <c r="B383" s="6"/>
      <c r="C383" s="6"/>
      <c r="D383" s="6"/>
      <c r="E383" s="6"/>
      <c r="F383" s="10"/>
      <c r="G383" s="10"/>
      <c r="H383" s="10"/>
      <c r="I383" s="10"/>
      <c r="J383" s="10"/>
      <c r="K383" s="10"/>
    </row>
    <row r="384" spans="1:11" s="9" customFormat="1" ht="13.2">
      <c r="A384" s="6"/>
      <c r="B384" s="6"/>
      <c r="C384" s="6"/>
      <c r="D384" s="6"/>
      <c r="E384" s="6"/>
      <c r="F384" s="10"/>
      <c r="G384" s="10"/>
      <c r="H384" s="10"/>
      <c r="I384" s="10"/>
      <c r="J384" s="10"/>
      <c r="K384" s="10"/>
    </row>
    <row r="385" spans="1:11" s="9" customFormat="1" ht="13.2">
      <c r="A385" s="6"/>
      <c r="B385" s="6"/>
      <c r="C385" s="6"/>
      <c r="D385" s="6"/>
      <c r="E385" s="6"/>
      <c r="F385" s="8"/>
      <c r="G385" s="8"/>
      <c r="H385" s="8"/>
      <c r="I385" s="8"/>
      <c r="J385" s="8"/>
      <c r="K385" s="8"/>
    </row>
    <row r="386" spans="1:11" s="9" customFormat="1" ht="13.2">
      <c r="A386" s="6"/>
      <c r="B386" s="6"/>
      <c r="C386" s="6"/>
      <c r="D386" s="6"/>
      <c r="E386" s="6"/>
      <c r="F386" s="8"/>
      <c r="G386" s="8"/>
      <c r="H386" s="8"/>
      <c r="I386" s="8"/>
      <c r="J386" s="8"/>
      <c r="K386" s="8"/>
    </row>
    <row r="387" spans="1:11" s="9" customFormat="1" ht="13.2">
      <c r="A387" s="6"/>
      <c r="B387" s="6"/>
      <c r="C387" s="6"/>
      <c r="D387" s="6"/>
      <c r="E387" s="6"/>
      <c r="F387" s="8"/>
      <c r="G387" s="8"/>
      <c r="H387" s="8"/>
      <c r="I387" s="8"/>
      <c r="J387" s="8"/>
      <c r="K387" s="8"/>
    </row>
    <row r="388" spans="1:11" s="9" customFormat="1" ht="13.2">
      <c r="A388" s="6"/>
      <c r="B388" s="6"/>
      <c r="C388" s="6"/>
      <c r="D388" s="6"/>
      <c r="E388" s="6"/>
      <c r="F388" s="12"/>
      <c r="G388" s="12"/>
      <c r="H388" s="12"/>
      <c r="I388" s="12"/>
      <c r="J388" s="12"/>
      <c r="K388" s="12"/>
    </row>
    <row r="389" spans="1:11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  <c r="K389" s="12"/>
    </row>
    <row r="390" spans="1:11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</row>
    <row r="391" spans="1:11" s="9" customFormat="1" ht="13.2">
      <c r="A391" s="13"/>
      <c r="B391" s="13"/>
      <c r="C391" s="13"/>
      <c r="D391" s="13"/>
      <c r="E391" s="13"/>
      <c r="F391" s="12"/>
      <c r="G391" s="12"/>
      <c r="H391" s="12"/>
      <c r="I391" s="12"/>
      <c r="J391" s="12"/>
      <c r="K391" s="12"/>
    </row>
    <row r="392" spans="1:11" s="9" customFormat="1" ht="13.2">
      <c r="A392" s="13"/>
      <c r="B392" s="13"/>
      <c r="C392" s="13"/>
      <c r="D392" s="13"/>
      <c r="E392" s="13"/>
      <c r="F392" s="12"/>
      <c r="G392" s="12"/>
      <c r="H392" s="12"/>
      <c r="I392" s="12"/>
      <c r="J392" s="12"/>
      <c r="K392" s="12"/>
    </row>
    <row r="393" spans="1:11" s="9" customFormat="1" ht="13.2">
      <c r="A393" s="13"/>
      <c r="B393" s="13"/>
      <c r="C393" s="13"/>
      <c r="D393" s="13"/>
      <c r="E393" s="13"/>
      <c r="F393" s="12"/>
      <c r="G393" s="12"/>
      <c r="H393" s="12"/>
      <c r="I393" s="12"/>
      <c r="J393" s="12"/>
      <c r="K393" s="12"/>
    </row>
    <row r="394" spans="1:11" s="9" customFormat="1" ht="13.2">
      <c r="A394" s="13"/>
      <c r="B394" s="13"/>
      <c r="C394" s="13"/>
      <c r="D394" s="13"/>
      <c r="E394" s="13"/>
      <c r="F394" s="12"/>
      <c r="G394" s="12"/>
      <c r="H394" s="12"/>
      <c r="I394" s="12"/>
      <c r="J394" s="12"/>
      <c r="K394" s="12"/>
    </row>
    <row r="395" spans="1:11" s="9" customFormat="1" ht="13.2">
      <c r="A395" s="13"/>
      <c r="B395" s="13"/>
      <c r="C395" s="13"/>
      <c r="D395" s="13"/>
      <c r="E395" s="13"/>
      <c r="F395" s="12"/>
      <c r="G395" s="12"/>
      <c r="H395" s="12"/>
      <c r="I395" s="12"/>
      <c r="J395" s="12"/>
      <c r="K395" s="12"/>
    </row>
    <row r="396" spans="1:11" s="9" customFormat="1" ht="13.2">
      <c r="A396" s="13"/>
      <c r="B396" s="13"/>
      <c r="C396" s="13"/>
      <c r="D396" s="13"/>
      <c r="E396" s="13"/>
      <c r="F396" s="12"/>
      <c r="G396" s="12"/>
      <c r="H396" s="12"/>
      <c r="I396" s="12"/>
      <c r="J396" s="12"/>
      <c r="K396" s="12"/>
    </row>
    <row r="397" spans="1:11" s="9" customFormat="1" ht="13.2">
      <c r="A397" s="13"/>
      <c r="B397" s="13"/>
      <c r="C397" s="13"/>
      <c r="D397" s="13"/>
      <c r="E397" s="13"/>
      <c r="F397" s="11"/>
      <c r="G397" s="11"/>
      <c r="H397" s="11"/>
      <c r="I397" s="11"/>
      <c r="J397" s="11"/>
      <c r="K397" s="11"/>
    </row>
    <row r="398" spans="1:11" s="9" customFormat="1" ht="13.2">
      <c r="A398" s="13"/>
      <c r="B398" s="13"/>
      <c r="C398" s="13"/>
      <c r="D398" s="13"/>
      <c r="E398" s="13"/>
      <c r="F398" s="11"/>
      <c r="G398" s="11"/>
      <c r="H398" s="11"/>
      <c r="I398" s="11"/>
      <c r="J398" s="11"/>
      <c r="K398" s="11"/>
    </row>
    <row r="399" spans="1:11" s="9" customFormat="1" ht="13.2">
      <c r="A399" s="13"/>
      <c r="B399" s="13"/>
      <c r="C399" s="13"/>
      <c r="D399" s="13"/>
      <c r="E399" s="13"/>
      <c r="F399" s="11"/>
      <c r="G399" s="11"/>
      <c r="H399" s="11"/>
      <c r="I399" s="11"/>
      <c r="J399" s="11"/>
      <c r="K399" s="11"/>
    </row>
    <row r="400" spans="1:11" s="9" customFormat="1" ht="13.2">
      <c r="A400" s="13"/>
      <c r="B400" s="13"/>
      <c r="C400" s="13"/>
      <c r="D400" s="13"/>
      <c r="E400" s="13"/>
      <c r="F400" s="11"/>
      <c r="G400" s="11"/>
      <c r="H400" s="11"/>
      <c r="I400" s="11"/>
      <c r="J400" s="11"/>
      <c r="K400" s="11"/>
    </row>
    <row r="401" spans="1:11" s="9" customFormat="1" ht="13.2">
      <c r="A401" s="13"/>
      <c r="B401" s="13"/>
      <c r="C401" s="13"/>
      <c r="D401" s="13"/>
      <c r="E401" s="13"/>
      <c r="F401" s="12"/>
      <c r="G401" s="12"/>
      <c r="H401" s="12"/>
      <c r="I401" s="12"/>
      <c r="J401" s="12"/>
      <c r="K401" s="12"/>
    </row>
    <row r="402" spans="1:11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  <c r="K402" s="12"/>
    </row>
    <row r="403" spans="1:11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  <c r="K403" s="12"/>
    </row>
    <row r="404" spans="1:11" s="9" customFormat="1" ht="13.2">
      <c r="A404" s="13"/>
      <c r="B404" s="13"/>
      <c r="C404" s="13"/>
      <c r="D404" s="13"/>
      <c r="E404" s="13"/>
      <c r="F404" s="8"/>
      <c r="G404" s="8"/>
      <c r="H404" s="8"/>
      <c r="I404" s="8"/>
      <c r="J404" s="8"/>
      <c r="K404" s="8"/>
    </row>
    <row r="405" spans="1:11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  <c r="K405" s="12"/>
    </row>
    <row r="406" spans="1:11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  <c r="K406" s="12"/>
    </row>
    <row r="407" spans="1:11" s="9" customFormat="1" ht="13.2">
      <c r="A407" s="13"/>
      <c r="B407" s="13"/>
      <c r="C407" s="13"/>
      <c r="D407" s="13"/>
      <c r="E407" s="13"/>
      <c r="F407" s="14"/>
      <c r="G407" s="14"/>
      <c r="H407" s="14"/>
      <c r="I407" s="14"/>
      <c r="J407" s="14"/>
      <c r="K407" s="14"/>
    </row>
    <row r="408" spans="1:11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</row>
    <row r="409" spans="1:11" s="9" customFormat="1" ht="13.2">
      <c r="A409" s="13"/>
      <c r="B409" s="13"/>
      <c r="C409" s="13"/>
      <c r="D409" s="13"/>
      <c r="E409" s="13"/>
      <c r="F409" s="14"/>
      <c r="G409" s="14"/>
      <c r="H409" s="14"/>
      <c r="I409" s="14"/>
      <c r="J409" s="14"/>
      <c r="K409" s="14"/>
    </row>
    <row r="410" spans="1:11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  <c r="K410" s="14"/>
    </row>
    <row r="411" spans="1:11" s="9" customFormat="1" ht="13.2">
      <c r="A411" s="13"/>
      <c r="B411" s="13"/>
      <c r="C411" s="13"/>
      <c r="D411" s="13"/>
      <c r="E411" s="13"/>
      <c r="F411" s="14"/>
      <c r="G411" s="14"/>
      <c r="H411" s="14"/>
      <c r="I411" s="14"/>
      <c r="J411" s="14"/>
      <c r="K411" s="14"/>
    </row>
    <row r="412" spans="1:11" s="9" customFormat="1" ht="13.2">
      <c r="A412" s="13"/>
      <c r="B412" s="13"/>
      <c r="C412" s="13"/>
      <c r="D412" s="13"/>
      <c r="E412" s="13"/>
      <c r="F412" s="14"/>
      <c r="G412" s="14"/>
      <c r="H412" s="14"/>
      <c r="I412" s="14"/>
      <c r="J412" s="14"/>
      <c r="K412" s="14"/>
    </row>
    <row r="413" spans="1:11" s="9" customFormat="1" ht="13.2">
      <c r="A413" s="13"/>
      <c r="B413" s="13"/>
      <c r="C413" s="13"/>
      <c r="D413" s="13"/>
      <c r="E413" s="13"/>
      <c r="F413" s="14"/>
      <c r="G413" s="14"/>
      <c r="H413" s="14"/>
      <c r="I413" s="14"/>
      <c r="J413" s="14"/>
      <c r="K413" s="14"/>
    </row>
    <row r="414" spans="1:11" s="9" customFormat="1" ht="13.2">
      <c r="A414" s="13"/>
      <c r="B414" s="13"/>
      <c r="C414" s="13"/>
      <c r="D414" s="13"/>
      <c r="E414" s="13"/>
      <c r="F414" s="10"/>
      <c r="G414" s="10"/>
      <c r="H414" s="10"/>
      <c r="I414" s="10"/>
      <c r="J414" s="10"/>
      <c r="K414" s="10"/>
    </row>
    <row r="415" spans="1:11" s="9" customFormat="1" ht="13.2">
      <c r="A415" s="13"/>
      <c r="B415" s="13"/>
      <c r="C415" s="13"/>
      <c r="D415" s="13"/>
      <c r="E415" s="13"/>
      <c r="F415" s="14"/>
      <c r="G415" s="14"/>
      <c r="H415" s="14"/>
      <c r="I415" s="14"/>
      <c r="J415" s="14"/>
      <c r="K415" s="14"/>
    </row>
    <row r="416" spans="1:11" s="9" customFormat="1" ht="13.2">
      <c r="A416" s="13"/>
      <c r="B416" s="13"/>
      <c r="C416" s="13"/>
      <c r="D416" s="13"/>
      <c r="E416" s="13"/>
      <c r="F416" s="14"/>
      <c r="G416" s="14"/>
      <c r="H416" s="14"/>
      <c r="I416" s="14"/>
      <c r="J416" s="14"/>
      <c r="K416" s="14"/>
    </row>
    <row r="417" spans="1:11" s="9" customFormat="1" ht="13.2">
      <c r="A417" s="13"/>
      <c r="B417" s="13"/>
      <c r="C417" s="13"/>
      <c r="D417" s="13"/>
      <c r="E417" s="13"/>
      <c r="F417" s="14"/>
      <c r="G417" s="14"/>
      <c r="H417" s="14"/>
      <c r="I417" s="14"/>
      <c r="J417" s="14"/>
      <c r="K417" s="14"/>
    </row>
    <row r="418" spans="1:11" s="9" customFormat="1" ht="13.2">
      <c r="A418" s="13"/>
      <c r="B418" s="13"/>
      <c r="C418" s="13"/>
      <c r="D418" s="13"/>
      <c r="E418" s="13"/>
      <c r="F418" s="8"/>
      <c r="G418" s="8"/>
      <c r="H418" s="8"/>
      <c r="I418" s="8"/>
      <c r="J418" s="8"/>
      <c r="K418" s="8"/>
    </row>
    <row r="419" spans="1:11" s="9" customFormat="1" ht="13.2">
      <c r="A419" s="13"/>
      <c r="B419" s="13"/>
      <c r="C419" s="13"/>
      <c r="D419" s="13"/>
      <c r="E419" s="13"/>
      <c r="F419" s="14"/>
      <c r="G419" s="14"/>
      <c r="H419" s="14"/>
      <c r="I419" s="14"/>
      <c r="J419" s="14"/>
      <c r="K419" s="14"/>
    </row>
    <row r="420" spans="1:11" s="9" customFormat="1" ht="13.2">
      <c r="A420" s="13"/>
      <c r="B420" s="13"/>
      <c r="C420" s="13"/>
      <c r="D420" s="13"/>
      <c r="E420" s="13"/>
      <c r="F420" s="10"/>
      <c r="G420" s="10"/>
      <c r="H420" s="10"/>
      <c r="I420" s="10"/>
      <c r="J420" s="10"/>
      <c r="K420" s="10"/>
    </row>
    <row r="421" spans="1:11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  <c r="K421" s="12"/>
    </row>
    <row r="422" spans="1:11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  <c r="K422" s="12"/>
    </row>
    <row r="423" spans="1:11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  <c r="K423" s="12"/>
    </row>
    <row r="424" spans="1:11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  <c r="K424" s="12"/>
    </row>
    <row r="425" spans="1:11" s="9" customFormat="1" ht="13.2">
      <c r="A425" s="13"/>
      <c r="B425" s="13"/>
      <c r="C425" s="13"/>
      <c r="D425" s="13"/>
      <c r="E425" s="13"/>
      <c r="F425" s="12"/>
      <c r="G425" s="12"/>
      <c r="H425" s="12"/>
      <c r="I425" s="12"/>
      <c r="J425" s="12"/>
      <c r="K425" s="12"/>
    </row>
    <row r="426" spans="1:11" s="9" customFormat="1" ht="13.2">
      <c r="A426" s="13"/>
      <c r="B426" s="13"/>
      <c r="C426" s="13"/>
      <c r="D426" s="13"/>
      <c r="E426" s="13"/>
      <c r="F426" s="12"/>
      <c r="G426" s="12"/>
      <c r="H426" s="12"/>
      <c r="I426" s="12"/>
      <c r="J426" s="12"/>
      <c r="K426" s="12"/>
    </row>
    <row r="427" spans="1:11" s="9" customFormat="1" ht="13.2">
      <c r="A427" s="13"/>
      <c r="B427" s="13"/>
      <c r="C427" s="13"/>
      <c r="D427" s="13"/>
      <c r="E427" s="13"/>
      <c r="F427" s="14"/>
      <c r="G427" s="14"/>
      <c r="H427" s="14"/>
      <c r="I427" s="14"/>
      <c r="J427" s="14"/>
      <c r="K427" s="14"/>
    </row>
    <row r="428" spans="1:11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  <c r="K428" s="8"/>
    </row>
    <row r="429" spans="1:11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  <c r="K429" s="8"/>
    </row>
    <row r="430" spans="1:11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  <c r="K430" s="8"/>
    </row>
    <row r="431" spans="1:11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  <c r="K431" s="8"/>
    </row>
    <row r="432" spans="1:11" s="9" customFormat="1" ht="13.2">
      <c r="A432" s="13"/>
      <c r="B432" s="13"/>
      <c r="C432" s="13"/>
      <c r="D432" s="13"/>
      <c r="E432" s="13"/>
      <c r="F432" s="8"/>
      <c r="G432" s="8"/>
      <c r="H432" s="8"/>
      <c r="I432" s="8"/>
      <c r="J432" s="8"/>
      <c r="K432" s="8"/>
    </row>
    <row r="433" spans="1:11" s="9" customFormat="1" ht="13.2">
      <c r="A433" s="13"/>
      <c r="B433" s="13"/>
      <c r="C433" s="13"/>
      <c r="D433" s="13"/>
      <c r="E433" s="13"/>
      <c r="F433" s="8"/>
      <c r="G433" s="8"/>
      <c r="H433" s="8"/>
      <c r="I433" s="8"/>
      <c r="J433" s="8"/>
      <c r="K433" s="8"/>
    </row>
    <row r="434" spans="1:11" s="9" customFormat="1" ht="13.2">
      <c r="A434" s="13"/>
      <c r="B434" s="13"/>
      <c r="C434" s="13"/>
      <c r="D434" s="13"/>
      <c r="E434" s="13"/>
      <c r="F434" s="10"/>
      <c r="G434" s="10"/>
      <c r="H434" s="10"/>
      <c r="I434" s="10"/>
      <c r="J434" s="10"/>
      <c r="K434" s="10"/>
    </row>
    <row r="435" spans="1:11" s="9" customFormat="1" ht="13.2">
      <c r="A435" s="13"/>
      <c r="B435" s="13"/>
      <c r="C435" s="13"/>
      <c r="D435" s="13"/>
      <c r="E435" s="13"/>
      <c r="F435" s="10"/>
      <c r="G435" s="10"/>
      <c r="H435" s="10"/>
      <c r="I435" s="10"/>
      <c r="J435" s="10"/>
      <c r="K435" s="10"/>
    </row>
    <row r="436" spans="1:11" s="9" customFormat="1" ht="13.2">
      <c r="A436" s="13"/>
      <c r="B436" s="13"/>
      <c r="C436" s="13"/>
      <c r="D436" s="13"/>
      <c r="E436" s="13"/>
      <c r="F436" s="10"/>
      <c r="G436" s="10"/>
      <c r="H436" s="10"/>
      <c r="I436" s="10"/>
      <c r="J436" s="10"/>
      <c r="K436" s="10"/>
    </row>
    <row r="437" spans="1:11" s="9" customFormat="1" ht="13.2">
      <c r="A437" s="13"/>
      <c r="B437" s="13"/>
      <c r="C437" s="13"/>
      <c r="D437" s="13"/>
      <c r="E437" s="13"/>
      <c r="F437" s="10"/>
      <c r="G437" s="10"/>
      <c r="H437" s="10"/>
      <c r="I437" s="10"/>
      <c r="J437" s="10"/>
      <c r="K437" s="10"/>
    </row>
    <row r="438" spans="1:11" s="9" customFormat="1" ht="13.2">
      <c r="A438" s="13"/>
      <c r="B438" s="13"/>
      <c r="C438" s="13"/>
      <c r="D438" s="13"/>
      <c r="E438" s="13"/>
      <c r="F438" s="12"/>
      <c r="G438" s="12"/>
      <c r="H438" s="12"/>
      <c r="I438" s="12"/>
      <c r="J438" s="12"/>
      <c r="K438" s="12"/>
    </row>
    <row r="439" spans="1:11" s="9" customFormat="1" ht="13.2">
      <c r="A439" s="13"/>
      <c r="B439" s="13"/>
      <c r="C439" s="13"/>
      <c r="D439" s="13"/>
      <c r="E439" s="13"/>
      <c r="F439" s="12"/>
      <c r="G439" s="12"/>
      <c r="H439" s="12"/>
      <c r="I439" s="12"/>
      <c r="J439" s="12"/>
      <c r="K439" s="12"/>
    </row>
    <row r="440" spans="1:11" s="9" customFormat="1" ht="13.2">
      <c r="A440" s="13"/>
      <c r="B440" s="13"/>
      <c r="C440" s="13"/>
      <c r="D440" s="13"/>
      <c r="E440" s="13"/>
      <c r="F440" s="12"/>
      <c r="G440" s="12"/>
      <c r="H440" s="12"/>
      <c r="I440" s="12"/>
      <c r="J440" s="12"/>
      <c r="K440" s="12"/>
    </row>
    <row r="441" spans="1:11" s="9" customFormat="1" ht="13.2">
      <c r="A441" s="13"/>
      <c r="B441" s="13"/>
      <c r="C441" s="13"/>
      <c r="D441" s="13"/>
      <c r="E441" s="13"/>
      <c r="F441" s="8"/>
      <c r="G441" s="8"/>
      <c r="H441" s="8"/>
      <c r="I441" s="8"/>
      <c r="J441" s="8"/>
      <c r="K441" s="8"/>
    </row>
    <row r="442" spans="1:11" s="9" customFormat="1" ht="13.2">
      <c r="A442" s="13"/>
      <c r="B442" s="13"/>
      <c r="C442" s="13"/>
      <c r="D442" s="13"/>
      <c r="E442" s="13"/>
      <c r="F442" s="8"/>
      <c r="G442" s="8"/>
      <c r="H442" s="8"/>
      <c r="I442" s="8"/>
      <c r="J442" s="8"/>
      <c r="K442" s="8"/>
    </row>
    <row r="443" spans="1:11" s="9" customFormat="1" ht="13.2">
      <c r="A443" s="13"/>
      <c r="B443" s="13"/>
      <c r="C443" s="13"/>
      <c r="D443" s="13"/>
      <c r="E443" s="13"/>
      <c r="F443" s="12"/>
      <c r="G443" s="12"/>
      <c r="H443" s="12"/>
      <c r="I443" s="12"/>
      <c r="J443" s="12"/>
      <c r="K443" s="12"/>
    </row>
    <row r="444" spans="1:11" s="9" customFormat="1" ht="13.2">
      <c r="A444" s="13"/>
      <c r="B444" s="13"/>
      <c r="C444" s="13"/>
      <c r="D444" s="13"/>
      <c r="E444" s="13"/>
      <c r="F444" s="12"/>
      <c r="G444" s="12"/>
      <c r="H444" s="12"/>
      <c r="I444" s="12"/>
      <c r="J444" s="12"/>
      <c r="K444" s="12"/>
    </row>
    <row r="445" spans="1:11" s="9" customFormat="1" ht="13.2">
      <c r="A445" s="13"/>
      <c r="B445" s="13"/>
      <c r="C445" s="13"/>
      <c r="D445" s="13"/>
      <c r="E445" s="13"/>
      <c r="F445" s="8"/>
      <c r="G445" s="8"/>
      <c r="H445" s="8"/>
      <c r="I445" s="8"/>
      <c r="J445" s="8"/>
      <c r="K445" s="8"/>
    </row>
    <row r="446" spans="1:11" s="9" customFormat="1" ht="13.2">
      <c r="A446" s="13"/>
      <c r="B446" s="13"/>
      <c r="C446" s="13"/>
      <c r="D446" s="13"/>
      <c r="E446" s="13"/>
      <c r="F446" s="8"/>
      <c r="G446" s="8"/>
      <c r="H446" s="8"/>
      <c r="I446" s="8"/>
      <c r="J446" s="8"/>
      <c r="K446" s="8"/>
    </row>
    <row r="447" spans="1:11" s="9" customFormat="1" ht="13.2">
      <c r="A447" s="13"/>
      <c r="B447" s="13"/>
      <c r="C447" s="13"/>
      <c r="D447" s="13"/>
      <c r="E447" s="13"/>
      <c r="F447" s="8"/>
      <c r="G447" s="8"/>
      <c r="H447" s="8"/>
      <c r="I447" s="8"/>
      <c r="J447" s="8"/>
      <c r="K447" s="8"/>
    </row>
    <row r="448" spans="1:11" s="9" customFormat="1" ht="13.2">
      <c r="A448" s="13"/>
      <c r="B448" s="13"/>
      <c r="C448" s="13"/>
      <c r="D448" s="13"/>
      <c r="E448" s="13"/>
      <c r="F448" s="8"/>
      <c r="G448" s="8"/>
      <c r="H448" s="8"/>
      <c r="I448" s="8"/>
      <c r="J448" s="8"/>
      <c r="K448" s="8"/>
    </row>
    <row r="449" spans="1:11" s="9" customFormat="1" ht="13.2">
      <c r="A449" s="13"/>
      <c r="B449" s="13"/>
      <c r="C449" s="13"/>
      <c r="D449" s="13"/>
      <c r="E449" s="13"/>
      <c r="F449" s="8"/>
      <c r="G449" s="8"/>
      <c r="H449" s="8"/>
      <c r="I449" s="8"/>
      <c r="J449" s="8"/>
      <c r="K449" s="8"/>
    </row>
    <row r="450" spans="1:11" s="9" customFormat="1" ht="13.2">
      <c r="A450" s="13"/>
      <c r="B450" s="13"/>
      <c r="C450" s="13"/>
      <c r="D450" s="13"/>
      <c r="E450" s="13"/>
      <c r="F450" s="8"/>
      <c r="G450" s="8"/>
      <c r="H450" s="8"/>
      <c r="I450" s="8"/>
      <c r="J450" s="8"/>
      <c r="K450" s="8"/>
    </row>
    <row r="451" spans="1:11" s="9" customFormat="1" ht="13.2">
      <c r="A451" s="13"/>
      <c r="B451" s="13"/>
      <c r="C451" s="13"/>
      <c r="D451" s="13"/>
      <c r="E451" s="13"/>
      <c r="F451" s="11"/>
      <c r="G451" s="11"/>
      <c r="H451" s="11"/>
      <c r="I451" s="11"/>
      <c r="J451" s="11"/>
      <c r="K451" s="11"/>
    </row>
    <row r="452" spans="1:11" s="9" customFormat="1" ht="13.2">
      <c r="A452" s="13"/>
      <c r="B452" s="13"/>
      <c r="C452" s="13"/>
      <c r="D452" s="13"/>
      <c r="E452" s="13"/>
      <c r="F452" s="11"/>
      <c r="G452" s="11"/>
      <c r="H452" s="11"/>
      <c r="I452" s="11"/>
      <c r="J452" s="11"/>
      <c r="K452" s="11"/>
    </row>
    <row r="453" spans="1:11" s="9" customFormat="1" ht="13.2">
      <c r="A453" s="13"/>
      <c r="B453" s="13"/>
      <c r="C453" s="13"/>
      <c r="D453" s="13"/>
      <c r="E453" s="13"/>
      <c r="F453" s="11"/>
      <c r="G453" s="11"/>
      <c r="H453" s="11"/>
      <c r="I453" s="11"/>
      <c r="J453" s="11"/>
      <c r="K453" s="11"/>
    </row>
    <row r="454" spans="1:11" s="9" customFormat="1" ht="13.2">
      <c r="A454" s="13"/>
      <c r="B454" s="13"/>
      <c r="C454" s="13"/>
      <c r="D454" s="13"/>
      <c r="E454" s="13"/>
      <c r="F454" s="11"/>
      <c r="G454" s="11"/>
      <c r="H454" s="11"/>
      <c r="I454" s="11"/>
      <c r="J454" s="11"/>
      <c r="K454" s="11"/>
    </row>
    <row r="455" spans="1:11" s="9" customFormat="1" ht="13.2">
      <c r="A455" s="15"/>
      <c r="B455" s="15"/>
      <c r="C455" s="15"/>
      <c r="D455" s="15"/>
      <c r="E455" s="15"/>
      <c r="F455" s="12"/>
      <c r="G455" s="12"/>
      <c r="H455" s="12"/>
      <c r="I455" s="12"/>
      <c r="J455" s="12"/>
      <c r="K455" s="12"/>
    </row>
    <row r="456" spans="1:11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  <c r="K456" s="11"/>
    </row>
    <row r="457" spans="1:11" s="9" customFormat="1" ht="13.2">
      <c r="A457" s="15"/>
      <c r="B457" s="15"/>
      <c r="C457" s="15"/>
      <c r="D457" s="15"/>
      <c r="E457" s="15"/>
      <c r="F457" s="12"/>
      <c r="G457" s="12"/>
      <c r="H457" s="12"/>
      <c r="I457" s="12"/>
      <c r="J457" s="12"/>
      <c r="K457" s="12"/>
    </row>
    <row r="458" spans="1:11" s="9" customFormat="1" ht="13.2">
      <c r="A458" s="15"/>
      <c r="B458" s="15"/>
      <c r="C458" s="15"/>
      <c r="D458" s="15"/>
      <c r="E458" s="15"/>
      <c r="F458" s="12"/>
      <c r="G458" s="12"/>
      <c r="H458" s="12"/>
      <c r="I458" s="12"/>
      <c r="J458" s="12"/>
      <c r="K458" s="12"/>
    </row>
    <row r="459" spans="1:11" s="9" customFormat="1" ht="13.2">
      <c r="A459" s="15"/>
      <c r="B459" s="15"/>
      <c r="C459" s="15"/>
      <c r="D459" s="15"/>
      <c r="E459" s="15"/>
      <c r="F459" s="12"/>
      <c r="G459" s="12"/>
      <c r="H459" s="12"/>
      <c r="I459" s="12"/>
      <c r="J459" s="12"/>
      <c r="K459" s="12"/>
    </row>
    <row r="460" spans="1:11" s="9" customFormat="1" ht="13.2">
      <c r="A460" s="15"/>
      <c r="B460" s="15"/>
      <c r="C460" s="15"/>
      <c r="D460" s="15"/>
      <c r="E460" s="15"/>
      <c r="F460" s="12"/>
      <c r="G460" s="12"/>
      <c r="H460" s="12"/>
      <c r="I460" s="12"/>
      <c r="J460" s="12"/>
      <c r="K460" s="12"/>
    </row>
    <row r="461" spans="1:11" s="9" customFormat="1" ht="13.2">
      <c r="A461" s="15"/>
      <c r="B461" s="15"/>
      <c r="C461" s="15"/>
      <c r="D461" s="15"/>
      <c r="E461" s="15"/>
      <c r="F461" s="12"/>
      <c r="G461" s="12"/>
      <c r="H461" s="12"/>
      <c r="I461" s="12"/>
      <c r="J461" s="12"/>
      <c r="K461" s="12"/>
    </row>
    <row r="462" spans="1:11" s="9" customFormat="1" ht="13.2">
      <c r="A462" s="15"/>
      <c r="B462" s="15"/>
      <c r="C462" s="15"/>
      <c r="D462" s="15"/>
      <c r="E462" s="15"/>
      <c r="F462" s="12"/>
      <c r="G462" s="12"/>
      <c r="H462" s="12"/>
      <c r="I462" s="12"/>
      <c r="J462" s="12"/>
      <c r="K462" s="12"/>
    </row>
    <row r="463" spans="1:11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  <c r="K463" s="8"/>
    </row>
    <row r="464" spans="1:11" s="9" customFormat="1" ht="13.2">
      <c r="A464" s="15"/>
      <c r="B464" s="15"/>
      <c r="C464" s="15"/>
      <c r="D464" s="15"/>
      <c r="E464" s="15"/>
      <c r="F464" s="12"/>
      <c r="G464" s="12"/>
      <c r="H464" s="12"/>
      <c r="I464" s="12"/>
      <c r="J464" s="12"/>
      <c r="K464" s="12"/>
    </row>
    <row r="465" spans="1:11" s="9" customFormat="1" ht="13.2">
      <c r="A465" s="15"/>
      <c r="B465" s="15"/>
      <c r="C465" s="15"/>
      <c r="D465" s="15"/>
      <c r="E465" s="15"/>
      <c r="F465" s="12"/>
      <c r="G465" s="12"/>
      <c r="H465" s="12"/>
      <c r="I465" s="12"/>
      <c r="J465" s="12"/>
      <c r="K465" s="12"/>
    </row>
    <row r="466" spans="1:11" s="9" customFormat="1" ht="13.2">
      <c r="A466" s="15"/>
      <c r="B466" s="15"/>
      <c r="C466" s="15"/>
      <c r="D466" s="15"/>
      <c r="E466" s="15"/>
      <c r="F466" s="12"/>
      <c r="G466" s="12"/>
      <c r="H466" s="12"/>
      <c r="I466" s="12"/>
      <c r="J466" s="12"/>
      <c r="K466" s="12"/>
    </row>
    <row r="467" spans="1:11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  <c r="K467" s="8"/>
    </row>
    <row r="468" spans="1:11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  <c r="K468" s="8"/>
    </row>
    <row r="469" spans="1:11" s="9" customFormat="1" ht="13.2">
      <c r="A469" s="15"/>
      <c r="B469" s="15"/>
      <c r="C469" s="15"/>
      <c r="D469" s="15"/>
      <c r="E469" s="15"/>
      <c r="F469" s="8"/>
      <c r="G469" s="8"/>
      <c r="H469" s="8"/>
      <c r="I469" s="8"/>
      <c r="J469" s="8"/>
      <c r="K469" s="8"/>
    </row>
    <row r="470" spans="1:11" s="9" customFormat="1" ht="13.2">
      <c r="A470" s="15"/>
      <c r="B470" s="15"/>
      <c r="C470" s="15"/>
      <c r="D470" s="15"/>
      <c r="E470" s="15"/>
      <c r="F470" s="8"/>
      <c r="G470" s="8"/>
      <c r="H470" s="8"/>
      <c r="I470" s="8"/>
      <c r="J470" s="8"/>
      <c r="K470" s="8"/>
    </row>
    <row r="471" spans="1:11" s="9" customFormat="1" ht="13.2">
      <c r="A471" s="15"/>
      <c r="B471" s="15"/>
      <c r="C471" s="15"/>
      <c r="D471" s="15"/>
      <c r="E471" s="15"/>
      <c r="F471" s="8"/>
      <c r="G471" s="8"/>
      <c r="H471" s="8"/>
      <c r="I471" s="8"/>
      <c r="J471" s="8"/>
      <c r="K471" s="8"/>
    </row>
    <row r="472" spans="1:11" s="9" customFormat="1" ht="13.2">
      <c r="A472" s="15"/>
      <c r="B472" s="15"/>
      <c r="C472" s="15"/>
      <c r="D472" s="15"/>
      <c r="E472" s="15"/>
      <c r="F472" s="8"/>
      <c r="G472" s="8"/>
      <c r="H472" s="8"/>
      <c r="I472" s="8"/>
      <c r="J472" s="8"/>
      <c r="K472" s="8"/>
    </row>
    <row r="473" spans="1:11" s="9" customFormat="1" ht="13.2">
      <c r="A473" s="15"/>
      <c r="B473" s="15"/>
      <c r="C473" s="15"/>
      <c r="D473" s="15"/>
      <c r="E473" s="15"/>
      <c r="F473" s="11"/>
      <c r="G473" s="11"/>
      <c r="H473" s="11"/>
      <c r="I473" s="11"/>
      <c r="J473" s="11"/>
      <c r="K473" s="11"/>
    </row>
    <row r="474" spans="1:11" s="9" customFormat="1" ht="13.2">
      <c r="A474" s="15"/>
      <c r="B474" s="15"/>
      <c r="C474" s="15"/>
      <c r="D474" s="15"/>
      <c r="E474" s="15"/>
      <c r="F474" s="11"/>
      <c r="G474" s="11"/>
      <c r="H474" s="11"/>
      <c r="I474" s="11"/>
      <c r="J474" s="11"/>
      <c r="K474" s="11"/>
    </row>
    <row r="475" spans="1:11" s="9" customFormat="1" ht="13.2">
      <c r="A475" s="15"/>
      <c r="B475" s="15"/>
      <c r="C475" s="15"/>
      <c r="D475" s="15"/>
      <c r="E475" s="15"/>
      <c r="F475" s="11"/>
      <c r="G475" s="11"/>
      <c r="H475" s="11"/>
      <c r="I475" s="11"/>
      <c r="J475" s="11"/>
      <c r="K475" s="11"/>
    </row>
    <row r="476" spans="1:11" s="9" customFormat="1" ht="13.2">
      <c r="A476" s="15"/>
      <c r="B476" s="15"/>
      <c r="C476" s="15"/>
      <c r="D476" s="15"/>
      <c r="E476" s="15"/>
      <c r="F476" s="11"/>
      <c r="G476" s="11"/>
      <c r="H476" s="11"/>
      <c r="I476" s="11"/>
      <c r="J476" s="11"/>
      <c r="K476" s="11"/>
    </row>
    <row r="477" spans="1:11" s="9" customFormat="1" ht="13.2">
      <c r="A477" s="15"/>
      <c r="B477" s="15"/>
      <c r="C477" s="15"/>
      <c r="D477" s="15"/>
      <c r="E477" s="15"/>
      <c r="F477" s="11"/>
      <c r="G477" s="11"/>
      <c r="H477" s="11"/>
      <c r="I477" s="11"/>
      <c r="J477" s="11"/>
      <c r="K477" s="11"/>
    </row>
    <row r="478" spans="1:11" s="9" customFormat="1" ht="13.2">
      <c r="A478" s="15"/>
      <c r="B478" s="15"/>
      <c r="C478" s="15"/>
      <c r="D478" s="15"/>
      <c r="E478" s="15"/>
      <c r="F478" s="11"/>
      <c r="G478" s="11"/>
      <c r="H478" s="11"/>
      <c r="I478" s="11"/>
      <c r="J478" s="11"/>
      <c r="K478" s="11"/>
    </row>
    <row r="479" spans="1:11" s="9" customFormat="1" ht="13.2">
      <c r="A479" s="15"/>
      <c r="B479" s="15"/>
      <c r="C479" s="15"/>
      <c r="D479" s="15"/>
      <c r="E479" s="15"/>
      <c r="F479" s="8"/>
      <c r="G479" s="8"/>
      <c r="H479" s="8"/>
      <c r="I479" s="8"/>
      <c r="J479" s="8"/>
      <c r="K479" s="8"/>
    </row>
    <row r="480" spans="1:11" s="9" customFormat="1" ht="13.2">
      <c r="A480" s="15"/>
      <c r="B480" s="15"/>
      <c r="C480" s="15"/>
      <c r="D480" s="15"/>
      <c r="E480" s="15"/>
      <c r="F480" s="8"/>
      <c r="G480" s="8"/>
      <c r="H480" s="8"/>
      <c r="I480" s="8"/>
      <c r="J480" s="8"/>
      <c r="K480" s="8"/>
    </row>
    <row r="481" spans="1:11" s="9" customFormat="1" ht="13.2">
      <c r="A481" s="15"/>
      <c r="B481" s="15"/>
      <c r="C481" s="15"/>
      <c r="D481" s="15"/>
      <c r="E481" s="15"/>
      <c r="F481" s="8"/>
      <c r="G481" s="8"/>
      <c r="H481" s="8"/>
      <c r="I481" s="8"/>
      <c r="J481" s="8"/>
      <c r="K481" s="8"/>
    </row>
    <row r="482" spans="1:11" s="9" customFormat="1" ht="13.2">
      <c r="A482" s="15"/>
      <c r="B482" s="15"/>
      <c r="C482" s="15"/>
      <c r="D482" s="15"/>
      <c r="E482" s="15"/>
      <c r="F482" s="8"/>
      <c r="G482" s="8"/>
      <c r="H482" s="8"/>
      <c r="I482" s="8"/>
      <c r="J482" s="8"/>
      <c r="K482" s="8"/>
    </row>
    <row r="483" spans="1:11" s="9" customFormat="1" ht="13.2">
      <c r="A483" s="15"/>
      <c r="B483" s="15"/>
      <c r="C483" s="15"/>
      <c r="D483" s="15"/>
      <c r="E483" s="15"/>
      <c r="F483" s="8"/>
      <c r="G483" s="8"/>
      <c r="H483" s="8"/>
      <c r="I483" s="8"/>
      <c r="J483" s="8"/>
      <c r="K483" s="8"/>
    </row>
    <row r="484" spans="1:11" s="9" customFormat="1" ht="13.2">
      <c r="A484" s="15"/>
      <c r="B484" s="15"/>
      <c r="C484" s="15"/>
      <c r="D484" s="15"/>
      <c r="E484" s="15"/>
      <c r="F484" s="8"/>
      <c r="G484" s="8"/>
      <c r="H484" s="8"/>
      <c r="I484" s="8"/>
      <c r="J484" s="8"/>
      <c r="K484" s="8"/>
    </row>
    <row r="485" spans="1:11" s="9" customFormat="1" ht="13.2">
      <c r="A485" s="15"/>
      <c r="B485" s="15"/>
      <c r="C485" s="15"/>
      <c r="D485" s="15"/>
      <c r="E485" s="15"/>
      <c r="F485" s="8"/>
      <c r="G485" s="8"/>
      <c r="H485" s="8"/>
      <c r="I485" s="8"/>
      <c r="J485" s="8"/>
      <c r="K485" s="8"/>
    </row>
    <row r="486" spans="1:11" s="9" customFormat="1" ht="13.2">
      <c r="A486" s="6"/>
      <c r="B486" s="6"/>
      <c r="C486" s="6"/>
      <c r="D486" s="6"/>
      <c r="E486" s="6"/>
      <c r="F486" s="12"/>
      <c r="G486" s="12"/>
      <c r="H486" s="12"/>
      <c r="I486" s="12"/>
      <c r="J486" s="12"/>
      <c r="K486" s="12"/>
    </row>
    <row r="487" spans="1:11" s="9" customFormat="1" ht="13.2">
      <c r="A487" s="6"/>
      <c r="B487" s="6"/>
      <c r="C487" s="6"/>
      <c r="D487" s="6"/>
      <c r="E487" s="6"/>
      <c r="F487" s="12"/>
      <c r="G487" s="12"/>
      <c r="H487" s="12"/>
      <c r="I487" s="12"/>
      <c r="J487" s="12"/>
      <c r="K487" s="12"/>
    </row>
    <row r="488" spans="1:11" s="9" customFormat="1" ht="13.2">
      <c r="A488" s="6"/>
      <c r="B488" s="6"/>
      <c r="C488" s="6"/>
      <c r="D488" s="6"/>
      <c r="E488" s="6"/>
      <c r="F488" s="11"/>
      <c r="G488" s="11"/>
      <c r="H488" s="11"/>
      <c r="I488" s="11"/>
      <c r="J488" s="11"/>
      <c r="K488" s="11"/>
    </row>
    <row r="489" spans="1:11" s="9" customFormat="1" ht="13.2">
      <c r="A489" s="6"/>
      <c r="B489" s="6"/>
      <c r="C489" s="6"/>
      <c r="D489" s="6"/>
      <c r="E489" s="6"/>
      <c r="F489" s="12"/>
      <c r="G489" s="12"/>
      <c r="H489" s="12"/>
      <c r="I489" s="12"/>
      <c r="J489" s="12"/>
      <c r="K489" s="12"/>
    </row>
    <row r="490" spans="1:11" s="9" customFormat="1" ht="13.2">
      <c r="A490" s="6"/>
      <c r="B490" s="6"/>
      <c r="C490" s="6"/>
      <c r="D490" s="6"/>
      <c r="E490" s="6"/>
      <c r="F490" s="8"/>
      <c r="G490" s="8"/>
      <c r="H490" s="8"/>
      <c r="I490" s="8"/>
      <c r="J490" s="8"/>
      <c r="K490" s="8"/>
    </row>
    <row r="491" spans="1:11" s="9" customFormat="1" ht="13.2">
      <c r="A491" s="6"/>
      <c r="B491" s="6"/>
      <c r="C491" s="6"/>
      <c r="D491" s="6"/>
      <c r="E491" s="6"/>
      <c r="F491" s="8"/>
      <c r="G491" s="8"/>
      <c r="H491" s="8"/>
      <c r="I491" s="8"/>
      <c r="J491" s="8"/>
      <c r="K491" s="8"/>
    </row>
    <row r="492" spans="1:11" s="9" customFormat="1" ht="13.2">
      <c r="A492" s="6"/>
      <c r="B492" s="6"/>
      <c r="C492" s="6"/>
      <c r="D492" s="6"/>
      <c r="E492" s="6"/>
      <c r="F492" s="11"/>
      <c r="G492" s="11"/>
      <c r="H492" s="11"/>
      <c r="I492" s="11"/>
      <c r="J492" s="11"/>
      <c r="K492" s="11"/>
    </row>
    <row r="493" spans="1:11" s="9" customFormat="1" ht="13.2">
      <c r="A493" s="6"/>
      <c r="B493" s="6"/>
      <c r="C493" s="6"/>
      <c r="D493" s="6"/>
      <c r="E493" s="6"/>
      <c r="F493" s="12"/>
      <c r="G493" s="12"/>
      <c r="H493" s="12"/>
      <c r="I493" s="12"/>
      <c r="J493" s="12"/>
      <c r="K493" s="12"/>
    </row>
    <row r="494" spans="1:11" s="9" customFormat="1" ht="13.2">
      <c r="A494" s="6"/>
      <c r="B494" s="6"/>
      <c r="C494" s="6"/>
      <c r="D494" s="6"/>
      <c r="E494" s="6"/>
      <c r="F494" s="11"/>
      <c r="G494" s="11"/>
      <c r="H494" s="11"/>
      <c r="I494" s="11"/>
      <c r="J494" s="11"/>
      <c r="K494" s="11"/>
    </row>
    <row r="495" spans="1:11" s="9" customFormat="1" ht="13.2">
      <c r="A495" s="6"/>
      <c r="B495" s="6"/>
      <c r="C495" s="6"/>
      <c r="D495" s="6"/>
      <c r="E495" s="6"/>
      <c r="F495" s="11"/>
      <c r="G495" s="11"/>
      <c r="H495" s="11"/>
      <c r="I495" s="11"/>
      <c r="J495" s="11"/>
      <c r="K495" s="11"/>
    </row>
    <row r="496" spans="1:11" s="9" customFormat="1" ht="13.2">
      <c r="A496" s="6"/>
      <c r="B496" s="6"/>
      <c r="C496" s="6"/>
      <c r="D496" s="6"/>
      <c r="E496" s="6"/>
      <c r="F496" s="11"/>
      <c r="G496" s="11"/>
      <c r="H496" s="11"/>
      <c r="I496" s="11"/>
      <c r="J496" s="11"/>
      <c r="K496" s="11"/>
    </row>
    <row r="497" spans="1:11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  <c r="K497" s="11"/>
    </row>
    <row r="498" spans="1:11" s="9" customFormat="1" ht="13.2">
      <c r="A498" s="6"/>
      <c r="B498" s="6"/>
      <c r="C498" s="6"/>
      <c r="D498" s="6"/>
      <c r="E498" s="6"/>
      <c r="F498" s="11"/>
      <c r="G498" s="11"/>
      <c r="H498" s="11"/>
      <c r="I498" s="11"/>
      <c r="J498" s="11"/>
      <c r="K498" s="11"/>
    </row>
    <row r="499" spans="1:11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  <c r="K499" s="11"/>
    </row>
    <row r="500" spans="1:11" s="9" customFormat="1" ht="13.2">
      <c r="A500" s="6"/>
      <c r="B500" s="6"/>
      <c r="C500" s="6"/>
      <c r="D500" s="6"/>
      <c r="E500" s="6"/>
      <c r="F500" s="11"/>
      <c r="G500" s="11"/>
      <c r="H500" s="11"/>
      <c r="I500" s="11"/>
      <c r="J500" s="11"/>
      <c r="K500" s="11"/>
    </row>
    <row r="501" spans="1:11" s="9" customFormat="1" ht="13.2">
      <c r="A501" s="6"/>
      <c r="B501" s="6"/>
      <c r="C501" s="6"/>
      <c r="D501" s="6"/>
      <c r="E501" s="6"/>
      <c r="F501" s="11"/>
      <c r="G501" s="11"/>
      <c r="H501" s="11"/>
      <c r="I501" s="11"/>
      <c r="J501" s="11"/>
      <c r="K501" s="11"/>
    </row>
    <row r="502" spans="1:11" s="9" customFormat="1" ht="13.2">
      <c r="A502" s="6"/>
      <c r="B502" s="6"/>
      <c r="C502" s="6"/>
      <c r="D502" s="6"/>
      <c r="E502" s="6"/>
      <c r="F502" s="8"/>
      <c r="G502" s="8"/>
      <c r="H502" s="8"/>
      <c r="I502" s="8"/>
      <c r="J502" s="8"/>
      <c r="K502" s="8"/>
    </row>
    <row r="503" spans="1:11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  <c r="K503" s="8"/>
    </row>
    <row r="504" spans="1:11" s="9" customFormat="1" ht="13.2">
      <c r="A504" s="6"/>
      <c r="B504" s="6"/>
      <c r="C504" s="6"/>
      <c r="D504" s="6"/>
      <c r="E504" s="6"/>
      <c r="F504" s="8"/>
      <c r="G504" s="8"/>
      <c r="H504" s="8"/>
      <c r="I504" s="8"/>
      <c r="J504" s="8"/>
      <c r="K504" s="8"/>
    </row>
    <row r="505" spans="1:11" s="9" customFormat="1" ht="13.2">
      <c r="A505" s="6"/>
      <c r="B505" s="6"/>
      <c r="C505" s="6"/>
      <c r="D505" s="6"/>
      <c r="E505" s="6"/>
      <c r="F505" s="8"/>
      <c r="G505" s="8"/>
      <c r="H505" s="8"/>
      <c r="I505" s="8"/>
      <c r="J505" s="8"/>
      <c r="K505" s="8"/>
    </row>
    <row r="506" spans="1:11" s="9" customFormat="1" ht="13.2">
      <c r="A506" s="6"/>
      <c r="B506" s="6"/>
      <c r="C506" s="6"/>
      <c r="D506" s="6"/>
      <c r="E506" s="6"/>
      <c r="F506" s="8"/>
      <c r="G506" s="8"/>
      <c r="H506" s="8"/>
      <c r="I506" s="8"/>
      <c r="J506" s="8"/>
      <c r="K506" s="8"/>
    </row>
    <row r="507" spans="1:11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  <c r="K507" s="8"/>
    </row>
    <row r="508" spans="1:11" s="9" customFormat="1" ht="13.2">
      <c r="A508" s="6"/>
      <c r="B508" s="6"/>
      <c r="C508" s="6"/>
      <c r="D508" s="6"/>
      <c r="E508" s="6"/>
      <c r="F508" s="12"/>
      <c r="G508" s="12"/>
      <c r="H508" s="12"/>
      <c r="I508" s="12"/>
      <c r="J508" s="12"/>
      <c r="K508" s="12"/>
    </row>
    <row r="509" spans="1:11" s="9" customFormat="1" ht="13.2">
      <c r="A509" s="6"/>
      <c r="B509" s="6"/>
      <c r="C509" s="6"/>
      <c r="D509" s="6"/>
      <c r="E509" s="6"/>
      <c r="F509" s="10"/>
      <c r="G509" s="10"/>
      <c r="H509" s="10"/>
      <c r="I509" s="10"/>
      <c r="J509" s="10"/>
      <c r="K509" s="10"/>
    </row>
    <row r="510" spans="1:11" s="9" customFormat="1" ht="13.2">
      <c r="A510" s="6"/>
      <c r="B510" s="6"/>
      <c r="C510" s="6"/>
      <c r="D510" s="6"/>
      <c r="E510" s="6"/>
      <c r="F510" s="12"/>
      <c r="G510" s="12"/>
      <c r="H510" s="12"/>
      <c r="I510" s="12"/>
      <c r="J510" s="12"/>
      <c r="K510" s="12"/>
    </row>
    <row r="511" spans="1:11" s="9" customFormat="1" ht="13.2">
      <c r="A511" s="6"/>
      <c r="B511" s="6"/>
      <c r="C511" s="6"/>
      <c r="D511" s="6"/>
      <c r="E511" s="6"/>
      <c r="F511" s="12"/>
      <c r="G511" s="12"/>
      <c r="H511" s="12"/>
      <c r="I511" s="12"/>
      <c r="J511" s="12"/>
      <c r="K511" s="12"/>
    </row>
    <row r="512" spans="1:11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  <c r="K512" s="8"/>
    </row>
    <row r="513" spans="1:11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  <c r="K513" s="8"/>
    </row>
    <row r="514" spans="1:11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  <c r="K514" s="8"/>
    </row>
    <row r="515" spans="1:11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  <c r="K515" s="8"/>
    </row>
    <row r="516" spans="1:11" s="9" customFormat="1" ht="13.2">
      <c r="A516" s="6"/>
      <c r="B516" s="6"/>
      <c r="C516" s="6"/>
      <c r="D516" s="6"/>
      <c r="E516" s="6"/>
      <c r="F516" s="11"/>
      <c r="G516" s="11"/>
      <c r="H516" s="11"/>
      <c r="I516" s="11"/>
      <c r="J516" s="11"/>
      <c r="K516" s="11"/>
    </row>
    <row r="517" spans="1:11" s="9" customFormat="1" ht="13.2">
      <c r="A517" s="6"/>
      <c r="B517" s="6"/>
      <c r="C517" s="6"/>
      <c r="D517" s="6"/>
      <c r="E517" s="6"/>
      <c r="F517" s="12"/>
      <c r="G517" s="12"/>
      <c r="H517" s="12"/>
      <c r="I517" s="12"/>
      <c r="J517" s="12"/>
      <c r="K517" s="12"/>
    </row>
    <row r="518" spans="1:11" s="9" customFormat="1" ht="13.2">
      <c r="A518" s="6"/>
      <c r="B518" s="6"/>
      <c r="C518" s="6"/>
      <c r="D518" s="6"/>
      <c r="E518" s="6"/>
      <c r="F518" s="10"/>
      <c r="G518" s="10"/>
      <c r="H518" s="10"/>
      <c r="I518" s="10"/>
      <c r="J518" s="10"/>
      <c r="K518" s="10"/>
    </row>
    <row r="519" spans="1:11" s="9" customFormat="1" ht="13.2">
      <c r="A519" s="6"/>
      <c r="B519" s="6"/>
      <c r="C519" s="6"/>
      <c r="D519" s="6"/>
      <c r="E519" s="6"/>
      <c r="F519" s="11"/>
      <c r="G519" s="11"/>
      <c r="H519" s="11"/>
      <c r="I519" s="11"/>
      <c r="J519" s="11"/>
      <c r="K519" s="11"/>
    </row>
    <row r="520" spans="1:11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  <c r="K520" s="8"/>
    </row>
    <row r="521" spans="1:11" s="9" customFormat="1" ht="13.2">
      <c r="A521" s="6"/>
      <c r="B521" s="6"/>
      <c r="C521" s="6"/>
      <c r="D521" s="6"/>
      <c r="E521" s="6"/>
      <c r="F521" s="7"/>
      <c r="G521" s="7"/>
      <c r="H521" s="7"/>
      <c r="I521" s="7"/>
      <c r="J521" s="7"/>
      <c r="K521" s="7"/>
    </row>
    <row r="522" spans="1:11" s="9" customFormat="1" ht="13.2">
      <c r="A522" s="6"/>
      <c r="B522" s="6"/>
      <c r="C522" s="6"/>
      <c r="D522" s="6"/>
      <c r="E522" s="6"/>
      <c r="F522" s="7"/>
      <c r="G522" s="7"/>
      <c r="H522" s="7"/>
      <c r="I522" s="7"/>
      <c r="J522" s="7"/>
      <c r="K522" s="7"/>
    </row>
    <row r="523" spans="1:11" s="9" customFormat="1" ht="13.2">
      <c r="A523" s="6"/>
      <c r="B523" s="6"/>
      <c r="C523" s="6"/>
      <c r="D523" s="6"/>
      <c r="E523" s="6"/>
      <c r="F523" s="7"/>
      <c r="G523" s="7"/>
      <c r="H523" s="7"/>
      <c r="I523" s="7"/>
      <c r="J523" s="7"/>
      <c r="K523" s="7"/>
    </row>
    <row r="524" spans="1:11" s="9" customFormat="1" ht="13.2">
      <c r="A524" s="6"/>
      <c r="B524" s="6"/>
      <c r="C524" s="6"/>
      <c r="D524" s="6"/>
      <c r="E524" s="6"/>
      <c r="F524" s="7"/>
      <c r="G524" s="7"/>
      <c r="H524" s="7"/>
      <c r="I524" s="7"/>
      <c r="J524" s="7"/>
      <c r="K524" s="7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  <c r="K527" s="8"/>
    </row>
    <row r="528" spans="1:11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  <c r="K528" s="8"/>
    </row>
    <row r="529" spans="1:11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  <c r="K529" s="8"/>
    </row>
    <row r="530" spans="1:11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  <c r="K530" s="8"/>
    </row>
    <row r="531" spans="1:11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  <c r="K531" s="8"/>
    </row>
    <row r="532" spans="1:11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  <c r="K532" s="8"/>
    </row>
    <row r="533" spans="1:11" s="9" customFormat="1" ht="13.2">
      <c r="A533" s="6"/>
      <c r="B533" s="6"/>
      <c r="C533" s="6"/>
      <c r="D533" s="6"/>
      <c r="E533" s="6"/>
      <c r="F533" s="12"/>
      <c r="G533" s="12"/>
      <c r="H533" s="12"/>
      <c r="I533" s="12"/>
      <c r="J533" s="12"/>
      <c r="K533" s="12"/>
    </row>
    <row r="534" spans="1:11" s="9" customFormat="1" ht="13.2">
      <c r="A534" s="6"/>
      <c r="B534" s="6"/>
      <c r="C534" s="6"/>
      <c r="D534" s="6"/>
      <c r="E534" s="6"/>
      <c r="F534" s="11"/>
      <c r="G534" s="11"/>
      <c r="H534" s="11"/>
      <c r="I534" s="11"/>
      <c r="J534" s="11"/>
      <c r="K534" s="11"/>
    </row>
    <row r="535" spans="1:11" s="9" customFormat="1" ht="13.2">
      <c r="A535" s="6"/>
      <c r="B535" s="6"/>
      <c r="C535" s="6"/>
      <c r="D535" s="6"/>
      <c r="E535" s="6"/>
      <c r="F535" s="12"/>
      <c r="G535" s="12"/>
      <c r="H535" s="12"/>
      <c r="I535" s="12"/>
      <c r="J535" s="12"/>
      <c r="K535" s="12"/>
    </row>
    <row r="536" spans="1:11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  <c r="K536" s="8"/>
    </row>
    <row r="537" spans="1:11" s="9" customFormat="1" ht="13.2">
      <c r="A537" s="6"/>
      <c r="B537" s="6"/>
      <c r="C537" s="6"/>
      <c r="D537" s="6"/>
      <c r="E537" s="6"/>
      <c r="F537" s="12"/>
      <c r="G537" s="12"/>
      <c r="H537" s="12"/>
      <c r="I537" s="12"/>
      <c r="J537" s="12"/>
      <c r="K537" s="12"/>
    </row>
    <row r="538" spans="1:11" s="9" customFormat="1" ht="13.2">
      <c r="A538" s="6"/>
      <c r="B538" s="6"/>
      <c r="C538" s="6"/>
      <c r="D538" s="6"/>
      <c r="E538" s="6"/>
      <c r="F538" s="8"/>
      <c r="G538" s="8"/>
      <c r="H538" s="8"/>
      <c r="I538" s="8"/>
      <c r="J538" s="8"/>
      <c r="K538" s="8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12"/>
      <c r="G540" s="12"/>
      <c r="H540" s="12"/>
      <c r="I540" s="12"/>
      <c r="J540" s="12"/>
      <c r="K540" s="12"/>
    </row>
    <row r="541" spans="1:11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  <c r="K541" s="8"/>
    </row>
    <row r="542" spans="1:11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  <c r="K542" s="8"/>
    </row>
    <row r="543" spans="1:11" s="9" customFormat="1" ht="13.2">
      <c r="A543" s="6"/>
      <c r="B543" s="6"/>
      <c r="C543" s="6"/>
      <c r="D543" s="6"/>
      <c r="E543" s="6"/>
      <c r="F543" s="11"/>
      <c r="G543" s="11"/>
      <c r="H543" s="11"/>
      <c r="I543" s="11"/>
      <c r="J543" s="11"/>
      <c r="K543" s="11"/>
    </row>
    <row r="544" spans="1:11" s="9" customFormat="1" ht="13.2">
      <c r="A544" s="6"/>
      <c r="B544" s="6"/>
      <c r="C544" s="6"/>
      <c r="D544" s="6"/>
      <c r="E544" s="6"/>
      <c r="F544" s="8"/>
      <c r="G544" s="8"/>
      <c r="H544" s="8"/>
      <c r="I544" s="8"/>
      <c r="J544" s="8"/>
      <c r="K544" s="8"/>
    </row>
    <row r="545" spans="1:11" s="9" customFormat="1" ht="13.2">
      <c r="A545" s="6"/>
      <c r="B545" s="6"/>
      <c r="C545" s="6"/>
      <c r="D545" s="6"/>
      <c r="E545" s="6"/>
      <c r="F545" s="8"/>
      <c r="G545" s="8"/>
      <c r="H545" s="8"/>
      <c r="I545" s="8"/>
      <c r="J545" s="8"/>
      <c r="K545" s="8"/>
    </row>
    <row r="546" spans="1:11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  <c r="K546" s="8"/>
    </row>
    <row r="547" spans="1:11" s="9" customFormat="1" ht="13.2">
      <c r="A547" s="6"/>
      <c r="B547" s="6"/>
      <c r="C547" s="6"/>
      <c r="D547" s="6"/>
      <c r="E547" s="6"/>
      <c r="F547" s="11"/>
      <c r="G547" s="11"/>
      <c r="H547" s="11"/>
      <c r="I547" s="11"/>
      <c r="J547" s="11"/>
      <c r="K547" s="11"/>
    </row>
    <row r="548" spans="1:11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  <c r="K548" s="8"/>
    </row>
    <row r="549" spans="1:11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  <c r="K549" s="8"/>
    </row>
    <row r="550" spans="1:11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  <c r="K550" s="8"/>
    </row>
    <row r="551" spans="1:11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  <c r="K551" s="8"/>
    </row>
    <row r="552" spans="1:11" s="9" customFormat="1" ht="13.2">
      <c r="A552" s="6"/>
      <c r="B552" s="6"/>
      <c r="C552" s="6"/>
      <c r="D552" s="6"/>
      <c r="E552" s="6"/>
      <c r="F552" s="8"/>
      <c r="G552" s="8"/>
      <c r="H552" s="8"/>
      <c r="I552" s="8"/>
      <c r="J552" s="8"/>
      <c r="K552" s="8"/>
    </row>
    <row r="553" spans="1:11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  <c r="K553" s="8"/>
    </row>
    <row r="554" spans="1:11" s="9" customFormat="1" ht="13.2">
      <c r="A554" s="6"/>
      <c r="B554" s="6"/>
      <c r="C554" s="6"/>
      <c r="D554" s="6"/>
      <c r="E554" s="6"/>
      <c r="F554" s="10"/>
      <c r="G554" s="10"/>
      <c r="H554" s="10"/>
      <c r="I554" s="10"/>
      <c r="J554" s="10"/>
      <c r="K554" s="10"/>
    </row>
    <row r="555" spans="1:11" s="9" customFormat="1" ht="13.2">
      <c r="A555" s="6"/>
      <c r="B555" s="6"/>
      <c r="C555" s="6"/>
      <c r="D555" s="6"/>
      <c r="E555" s="6"/>
      <c r="F555" s="11"/>
      <c r="G555" s="11"/>
      <c r="H555" s="11"/>
      <c r="I555" s="11"/>
      <c r="J555" s="11"/>
      <c r="K555" s="11"/>
    </row>
    <row r="556" spans="1:11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  <c r="K556" s="8"/>
    </row>
    <row r="557" spans="1:11" s="9" customFormat="1" ht="13.2">
      <c r="A557" s="6"/>
      <c r="B557" s="6"/>
      <c r="C557" s="6"/>
      <c r="D557" s="6"/>
      <c r="E557" s="6"/>
      <c r="F557" s="11"/>
      <c r="G557" s="11"/>
      <c r="H557" s="11"/>
      <c r="I557" s="11"/>
      <c r="J557" s="11"/>
      <c r="K557" s="11"/>
    </row>
    <row r="558" spans="1:11" s="9" customFormat="1" ht="13.2">
      <c r="A558" s="6"/>
      <c r="B558" s="6"/>
      <c r="C558" s="6"/>
      <c r="D558" s="6"/>
      <c r="E558" s="6"/>
      <c r="F558" s="8"/>
      <c r="G558" s="8"/>
      <c r="H558" s="8"/>
      <c r="I558" s="8"/>
      <c r="J558" s="8"/>
      <c r="K558" s="8"/>
    </row>
    <row r="559" spans="1:11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  <c r="K559" s="8"/>
    </row>
    <row r="560" spans="1:11" s="9" customFormat="1" ht="13.2">
      <c r="A560" s="6"/>
      <c r="B560" s="6"/>
      <c r="C560" s="6"/>
      <c r="D560" s="6"/>
      <c r="E560" s="6"/>
      <c r="F560" s="11"/>
      <c r="G560" s="11"/>
      <c r="H560" s="11"/>
      <c r="I560" s="11"/>
      <c r="J560" s="11"/>
      <c r="K560" s="11"/>
    </row>
    <row r="561" spans="1:11" s="9" customFormat="1" ht="13.2">
      <c r="A561" s="6"/>
      <c r="B561" s="6"/>
      <c r="C561" s="6"/>
      <c r="D561" s="6"/>
      <c r="E561" s="6"/>
      <c r="F561" s="11"/>
      <c r="G561" s="11"/>
      <c r="H561" s="11"/>
      <c r="I561" s="11"/>
      <c r="J561" s="11"/>
      <c r="K561" s="11"/>
    </row>
    <row r="562" spans="1:11" s="9" customFormat="1" ht="13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spans="1:11" s="9" customFormat="1" ht="13.2">
      <c r="A563" s="6"/>
      <c r="B563" s="6"/>
      <c r="C563" s="6"/>
      <c r="D563" s="6"/>
      <c r="E563" s="6"/>
      <c r="F563" s="11"/>
      <c r="G563" s="11"/>
      <c r="H563" s="11"/>
      <c r="I563" s="11"/>
      <c r="J563" s="11"/>
      <c r="K563" s="11"/>
    </row>
    <row r="564" spans="1:11" s="9" customFormat="1" ht="13.2">
      <c r="A564" s="6"/>
      <c r="B564" s="6"/>
      <c r="C564" s="6"/>
      <c r="D564" s="6"/>
      <c r="E564" s="6"/>
      <c r="F564" s="11"/>
      <c r="G564" s="11"/>
      <c r="H564" s="11"/>
      <c r="I564" s="11"/>
      <c r="J564" s="11"/>
      <c r="K564" s="11"/>
    </row>
    <row r="565" spans="1:11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  <c r="K565" s="8"/>
    </row>
    <row r="566" spans="1:11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  <c r="K566" s="8"/>
    </row>
    <row r="567" spans="1:11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  <c r="K567" s="8"/>
    </row>
    <row r="568" spans="1:11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  <c r="K568" s="8"/>
    </row>
    <row r="569" spans="1:11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  <c r="K569" s="8"/>
    </row>
    <row r="570" spans="1:11" s="9" customFormat="1" ht="13.2">
      <c r="A570" s="6"/>
      <c r="B570" s="6"/>
      <c r="C570" s="6"/>
      <c r="D570" s="6"/>
      <c r="E570" s="6"/>
      <c r="F570" s="7"/>
      <c r="G570" s="7"/>
      <c r="H570" s="7"/>
      <c r="I570" s="7"/>
      <c r="J570" s="7"/>
      <c r="K570" s="7"/>
    </row>
    <row r="571" spans="1:11" s="9" customFormat="1" ht="13.2">
      <c r="A571" s="6"/>
      <c r="B571" s="6"/>
      <c r="C571" s="6"/>
      <c r="D571" s="6"/>
      <c r="E571" s="6"/>
      <c r="F571" s="7"/>
      <c r="G571" s="7"/>
      <c r="H571" s="7"/>
      <c r="I571" s="7"/>
      <c r="J571" s="7"/>
      <c r="K571" s="7"/>
    </row>
    <row r="572" spans="1:11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  <c r="K572" s="8"/>
    </row>
    <row r="573" spans="1:11" s="9" customFormat="1" ht="13.2">
      <c r="A573" s="6"/>
      <c r="B573" s="6"/>
      <c r="C573" s="6"/>
      <c r="D573" s="6"/>
      <c r="E573" s="6"/>
      <c r="F573" s="11"/>
      <c r="G573" s="11"/>
      <c r="H573" s="11"/>
      <c r="I573" s="11"/>
      <c r="J573" s="11"/>
      <c r="K573" s="11"/>
    </row>
    <row r="574" spans="1:11" s="9" customFormat="1" ht="13.2">
      <c r="A574" s="6"/>
      <c r="B574" s="6"/>
      <c r="C574" s="6"/>
      <c r="D574" s="6"/>
      <c r="E574" s="6"/>
      <c r="F574" s="7"/>
      <c r="G574" s="7"/>
      <c r="H574" s="7"/>
      <c r="I574" s="7"/>
      <c r="J574" s="7"/>
      <c r="K574" s="7"/>
    </row>
    <row r="575" spans="1:11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  <c r="K575" s="8"/>
    </row>
    <row r="576" spans="1:11" s="9" customFormat="1" ht="13.2">
      <c r="A576" s="6"/>
      <c r="B576" s="6"/>
      <c r="C576" s="6"/>
      <c r="D576" s="6"/>
      <c r="E576" s="6"/>
      <c r="F576" s="7"/>
      <c r="G576" s="7"/>
      <c r="H576" s="7"/>
      <c r="I576" s="7"/>
      <c r="J576" s="7"/>
      <c r="K576" s="7"/>
    </row>
    <row r="577" spans="1:11" s="9" customFormat="1" ht="13.2">
      <c r="A577" s="6"/>
      <c r="B577" s="6"/>
      <c r="C577" s="6"/>
      <c r="D577" s="6"/>
      <c r="E577" s="6"/>
      <c r="F577" s="7"/>
      <c r="G577" s="7"/>
      <c r="H577" s="7"/>
      <c r="I577" s="7"/>
      <c r="J577" s="7"/>
      <c r="K577" s="7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  <c r="K580" s="8"/>
    </row>
    <row r="581" spans="1:11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  <c r="K581" s="8"/>
    </row>
    <row r="582" spans="1:11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  <c r="K582" s="8"/>
    </row>
    <row r="583" spans="1:11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  <c r="K583" s="8"/>
    </row>
    <row r="584" spans="1:11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  <c r="K584" s="8"/>
    </row>
    <row r="585" spans="1:11" s="9" customFormat="1" ht="13.2">
      <c r="A585" s="6"/>
      <c r="B585" s="6"/>
      <c r="C585" s="6"/>
      <c r="D585" s="6"/>
      <c r="E585" s="6"/>
      <c r="F585" s="7"/>
      <c r="G585" s="7"/>
      <c r="H585" s="7"/>
      <c r="I585" s="7"/>
      <c r="J585" s="7"/>
      <c r="K585" s="7"/>
    </row>
    <row r="586" spans="1:11" s="9" customFormat="1" ht="13.2">
      <c r="A586" s="6"/>
      <c r="B586" s="6"/>
      <c r="C586" s="6"/>
      <c r="D586" s="6"/>
      <c r="E586" s="6"/>
      <c r="F586" s="7"/>
      <c r="G586" s="7"/>
      <c r="H586" s="7"/>
      <c r="I586" s="7"/>
      <c r="J586" s="7"/>
      <c r="K586" s="7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  <c r="K596" s="8"/>
    </row>
    <row r="597" spans="1:11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  <c r="K597" s="8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8"/>
      <c r="G608" s="8"/>
      <c r="H608" s="8"/>
      <c r="I608" s="8"/>
      <c r="J608" s="8"/>
      <c r="K608" s="8"/>
    </row>
    <row r="609" spans="1:11" s="9" customFormat="1" ht="13.2">
      <c r="A609" s="6"/>
      <c r="B609" s="6"/>
      <c r="C609" s="6"/>
      <c r="D609" s="6"/>
      <c r="E609" s="6"/>
      <c r="F609" s="8"/>
      <c r="G609" s="8"/>
      <c r="H609" s="8"/>
      <c r="I609" s="8"/>
      <c r="J609" s="8"/>
      <c r="K609" s="8"/>
    </row>
    <row r="610" spans="1:11" s="9" customFormat="1" ht="13.2">
      <c r="A610" s="6"/>
      <c r="B610" s="6"/>
      <c r="C610" s="6"/>
      <c r="D610" s="6"/>
      <c r="E610" s="6"/>
      <c r="F610" s="8"/>
      <c r="G610" s="8"/>
      <c r="H610" s="8"/>
      <c r="I610" s="8"/>
      <c r="J610" s="8"/>
      <c r="K610" s="8"/>
    </row>
    <row r="611" spans="1:11" s="9" customFormat="1" ht="13.2">
      <c r="A611" s="6"/>
      <c r="B611" s="6"/>
      <c r="C611" s="6"/>
      <c r="D611" s="6"/>
      <c r="E611" s="6"/>
      <c r="F611" s="8"/>
      <c r="G611" s="8"/>
      <c r="H611" s="8"/>
      <c r="I611" s="8"/>
      <c r="J611" s="8"/>
      <c r="K611" s="8"/>
    </row>
    <row r="612" spans="1:11" s="9" customFormat="1" ht="13.2">
      <c r="A612" s="6"/>
      <c r="B612" s="6"/>
      <c r="C612" s="6"/>
      <c r="D612" s="6"/>
      <c r="E612" s="6"/>
      <c r="F612" s="8"/>
      <c r="G612" s="8"/>
      <c r="H612" s="8"/>
      <c r="I612" s="8"/>
      <c r="J612" s="8"/>
      <c r="K612" s="8"/>
    </row>
    <row r="613" spans="1:11" s="9" customFormat="1" ht="13.2">
      <c r="A613" s="6"/>
      <c r="B613" s="6"/>
      <c r="C613" s="6"/>
      <c r="D613" s="6"/>
      <c r="E613" s="6"/>
      <c r="F613" s="8"/>
      <c r="G613" s="8"/>
      <c r="H613" s="8"/>
      <c r="I613" s="8"/>
      <c r="J613" s="8"/>
      <c r="K613" s="8"/>
    </row>
    <row r="614" spans="1:11" s="9" customFormat="1" ht="13.2">
      <c r="A614" s="6"/>
      <c r="B614" s="6"/>
      <c r="C614" s="6"/>
      <c r="D614" s="6"/>
      <c r="E614" s="6"/>
      <c r="F614" s="10"/>
      <c r="G614" s="10"/>
      <c r="H614" s="10"/>
      <c r="I614" s="10"/>
      <c r="J614" s="10"/>
      <c r="K614" s="10"/>
    </row>
    <row r="615" spans="1:11" s="9" customFormat="1" ht="13.2">
      <c r="A615" s="6"/>
      <c r="B615" s="6"/>
      <c r="C615" s="6"/>
      <c r="D615" s="6"/>
      <c r="E615" s="6"/>
      <c r="F615" s="10"/>
      <c r="G615" s="10"/>
      <c r="H615" s="10"/>
      <c r="I615" s="10"/>
      <c r="J615" s="10"/>
      <c r="K615" s="10"/>
    </row>
    <row r="616" spans="1:11" s="9" customFormat="1" ht="13.2">
      <c r="A616" s="6"/>
      <c r="B616" s="6"/>
      <c r="C616" s="6"/>
      <c r="D616" s="6"/>
      <c r="E616" s="6"/>
      <c r="F616" s="10"/>
      <c r="G616" s="10"/>
      <c r="H616" s="10"/>
      <c r="I616" s="10"/>
      <c r="J616" s="10"/>
      <c r="K616" s="10"/>
    </row>
    <row r="617" spans="1:11" s="9" customFormat="1" ht="13.2">
      <c r="A617" s="6"/>
      <c r="B617" s="6"/>
      <c r="C617" s="6"/>
      <c r="D617" s="6"/>
      <c r="E617" s="6"/>
      <c r="F617" s="8"/>
      <c r="G617" s="8"/>
      <c r="H617" s="8"/>
      <c r="I617" s="8"/>
      <c r="J617" s="8"/>
      <c r="K617" s="8"/>
    </row>
    <row r="618" spans="1:11" s="9" customFormat="1" ht="13.2">
      <c r="A618" s="6"/>
      <c r="B618" s="6"/>
      <c r="C618" s="6"/>
      <c r="D618" s="6"/>
      <c r="E618" s="6"/>
      <c r="F618" s="8"/>
      <c r="G618" s="8"/>
      <c r="H618" s="8"/>
      <c r="I618" s="8"/>
      <c r="J618" s="8"/>
      <c r="K618" s="8"/>
    </row>
    <row r="619" spans="1:11" s="9" customFormat="1" ht="13.2">
      <c r="A619" s="6"/>
      <c r="B619" s="6"/>
      <c r="C619" s="6"/>
      <c r="D619" s="6"/>
      <c r="E619" s="6"/>
      <c r="F619" s="10"/>
      <c r="G619" s="10"/>
      <c r="H619" s="10"/>
      <c r="I619" s="10"/>
      <c r="J619" s="10"/>
      <c r="K619" s="10"/>
    </row>
    <row r="620" spans="1:11" s="9" customFormat="1" ht="13.2">
      <c r="A620" s="6"/>
      <c r="B620" s="6"/>
      <c r="C620" s="6"/>
      <c r="D620" s="6"/>
      <c r="E620" s="6"/>
      <c r="F620" s="10"/>
      <c r="G620" s="10"/>
      <c r="H620" s="10"/>
      <c r="I620" s="10"/>
      <c r="J620" s="10"/>
      <c r="K620" s="10"/>
    </row>
    <row r="621" spans="1:11" s="9" customFormat="1" ht="13.2">
      <c r="A621" s="6"/>
      <c r="B621" s="6"/>
      <c r="C621" s="6"/>
      <c r="D621" s="6"/>
      <c r="E621" s="6"/>
      <c r="F621" s="10"/>
      <c r="G621" s="10"/>
      <c r="H621" s="10"/>
      <c r="I621" s="10"/>
      <c r="J621" s="10"/>
      <c r="K621" s="10"/>
    </row>
    <row r="622" spans="1:11" s="9" customFormat="1" ht="13.2">
      <c r="A622" s="6"/>
      <c r="B622" s="6"/>
      <c r="C622" s="6"/>
      <c r="D622" s="6"/>
      <c r="E622" s="6"/>
      <c r="F622" s="8"/>
      <c r="G622" s="8"/>
      <c r="H622" s="8"/>
      <c r="I622" s="8"/>
      <c r="J622" s="8"/>
      <c r="K622" s="8"/>
    </row>
    <row r="623" spans="1:11" s="9" customFormat="1" ht="13.2">
      <c r="A623" s="6"/>
      <c r="B623" s="6"/>
      <c r="C623" s="6"/>
      <c r="D623" s="6"/>
      <c r="E623" s="6"/>
      <c r="F623" s="8"/>
      <c r="G623" s="8"/>
      <c r="H623" s="8"/>
      <c r="I623" s="8"/>
      <c r="J623" s="8"/>
      <c r="K623" s="8"/>
    </row>
    <row r="624" spans="1:11" s="9" customFormat="1" ht="13.2">
      <c r="A624" s="6"/>
      <c r="B624" s="6"/>
      <c r="C624" s="6"/>
      <c r="D624" s="6"/>
      <c r="E624" s="6"/>
      <c r="F624" s="8"/>
      <c r="G624" s="8"/>
      <c r="H624" s="8"/>
      <c r="I624" s="8"/>
      <c r="J624" s="8"/>
      <c r="K624" s="8"/>
    </row>
    <row r="625" spans="1:13" s="9" customFormat="1" ht="13.2">
      <c r="A625" s="6"/>
      <c r="B625" s="6"/>
      <c r="C625" s="6"/>
      <c r="D625" s="6"/>
      <c r="E625" s="6"/>
      <c r="F625" s="12"/>
      <c r="G625" s="12"/>
      <c r="H625" s="12"/>
      <c r="I625" s="12"/>
      <c r="J625" s="12"/>
      <c r="K625" s="12"/>
    </row>
    <row r="626" spans="1:13" s="9" customFormat="1" ht="13.2">
      <c r="A626" s="6"/>
      <c r="B626" s="6"/>
      <c r="C626" s="6"/>
      <c r="D626" s="6"/>
      <c r="E626" s="6"/>
      <c r="F626" s="12"/>
      <c r="G626" s="12"/>
      <c r="H626" s="12"/>
      <c r="I626" s="12"/>
      <c r="J626" s="12"/>
      <c r="K626" s="12"/>
    </row>
    <row r="627" spans="1:13" s="9" customFormat="1" ht="13.2">
      <c r="A627" s="6"/>
      <c r="B627" s="6"/>
      <c r="C627" s="6"/>
      <c r="D627" s="6"/>
      <c r="E627" s="6"/>
      <c r="F627" s="12"/>
      <c r="G627" s="12"/>
      <c r="H627" s="12"/>
      <c r="I627" s="12"/>
      <c r="J627" s="12"/>
      <c r="K627" s="12"/>
    </row>
    <row r="628" spans="1:13" s="9" customFormat="1" ht="13.2">
      <c r="A628" s="6"/>
      <c r="B628" s="6"/>
      <c r="C628" s="6"/>
      <c r="D628" s="6"/>
      <c r="E628" s="6"/>
      <c r="F628" s="12"/>
      <c r="G628" s="12"/>
      <c r="H628" s="12"/>
      <c r="I628" s="12"/>
      <c r="J628" s="12"/>
      <c r="K628" s="12"/>
    </row>
    <row r="629" spans="1:13" s="9" customFormat="1" ht="13.2">
      <c r="A629" s="6"/>
      <c r="B629" s="6"/>
      <c r="C629" s="6"/>
      <c r="D629" s="6"/>
      <c r="E629" s="6"/>
      <c r="F629" s="12"/>
      <c r="G629" s="12"/>
      <c r="H629" s="12"/>
      <c r="I629" s="12"/>
      <c r="J629" s="12"/>
      <c r="K629" s="12"/>
    </row>
    <row r="630" spans="1:13" s="9" customFormat="1" ht="13.2">
      <c r="A630" s="6"/>
      <c r="B630" s="6"/>
      <c r="C630" s="6"/>
      <c r="D630" s="6"/>
      <c r="E630" s="6"/>
      <c r="F630" s="12"/>
      <c r="G630" s="12"/>
      <c r="H630" s="12"/>
      <c r="I630" s="12"/>
      <c r="J630" s="12"/>
      <c r="K630" s="12"/>
    </row>
    <row r="631" spans="1:13" s="9" customFormat="1" ht="13.2">
      <c r="A631" s="6"/>
      <c r="B631" s="6"/>
      <c r="C631" s="6"/>
      <c r="D631" s="6"/>
      <c r="E631" s="6"/>
      <c r="F631" s="12"/>
      <c r="G631" s="12"/>
      <c r="H631" s="12"/>
      <c r="I631" s="12"/>
      <c r="J631" s="12"/>
      <c r="K631" s="12"/>
    </row>
    <row r="632" spans="1:13" s="9" customForma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s="9" customForma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s="9" customForma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s="9" customForma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s="9" customForma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s="9" customForma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</sheetData>
  <mergeCells count="298">
    <mergeCell ref="A166:B166"/>
    <mergeCell ref="D166:F166"/>
    <mergeCell ref="H166:J166"/>
    <mergeCell ref="L166:M166"/>
    <mergeCell ref="A167:B167"/>
    <mergeCell ref="D167:F167"/>
    <mergeCell ref="H167:J167"/>
    <mergeCell ref="J160:L160"/>
    <mergeCell ref="B161:C162"/>
    <mergeCell ref="D161:E162"/>
    <mergeCell ref="F161:G162"/>
    <mergeCell ref="H161:I162"/>
    <mergeCell ref="J161:L162"/>
    <mergeCell ref="A156:F156"/>
    <mergeCell ref="H156:I156"/>
    <mergeCell ref="B160:C160"/>
    <mergeCell ref="D160:E160"/>
    <mergeCell ref="F160:G160"/>
    <mergeCell ref="H160:I160"/>
    <mergeCell ref="A153:F153"/>
    <mergeCell ref="H153:I153"/>
    <mergeCell ref="A154:F154"/>
    <mergeCell ref="H154:I154"/>
    <mergeCell ref="A155:F155"/>
    <mergeCell ref="H155:I155"/>
    <mergeCell ref="A150:F150"/>
    <mergeCell ref="H150:I150"/>
    <mergeCell ref="A151:F151"/>
    <mergeCell ref="H151:I151"/>
    <mergeCell ref="A152:F152"/>
    <mergeCell ref="H152:I152"/>
    <mergeCell ref="A147:F147"/>
    <mergeCell ref="H147:I147"/>
    <mergeCell ref="A148:F148"/>
    <mergeCell ref="H148:I148"/>
    <mergeCell ref="A149:F149"/>
    <mergeCell ref="H149:I149"/>
    <mergeCell ref="A144:F144"/>
    <mergeCell ref="H144:M144"/>
    <mergeCell ref="H145:J145"/>
    <mergeCell ref="L145:M145"/>
    <mergeCell ref="A146:F146"/>
    <mergeCell ref="H146:I146"/>
    <mergeCell ref="A141:F141"/>
    <mergeCell ref="H141:M141"/>
    <mergeCell ref="A142:F142"/>
    <mergeCell ref="H142:M142"/>
    <mergeCell ref="A143:F143"/>
    <mergeCell ref="H143:M143"/>
    <mergeCell ref="A138:F138"/>
    <mergeCell ref="H138:M138"/>
    <mergeCell ref="A139:F139"/>
    <mergeCell ref="H139:M139"/>
    <mergeCell ref="A140:F140"/>
    <mergeCell ref="H140:M140"/>
    <mergeCell ref="A135:F135"/>
    <mergeCell ref="H135:M135"/>
    <mergeCell ref="A136:F136"/>
    <mergeCell ref="H136:M136"/>
    <mergeCell ref="A137:F137"/>
    <mergeCell ref="H137:M137"/>
    <mergeCell ref="B131:F131"/>
    <mergeCell ref="G131:H131"/>
    <mergeCell ref="B132:F132"/>
    <mergeCell ref="G132:I132"/>
    <mergeCell ref="A134:F134"/>
    <mergeCell ref="H134:M134"/>
    <mergeCell ref="B128:F128"/>
    <mergeCell ref="G128:H128"/>
    <mergeCell ref="B129:F129"/>
    <mergeCell ref="G129:H129"/>
    <mergeCell ref="B130:F130"/>
    <mergeCell ref="G130:H130"/>
    <mergeCell ref="B123:F123"/>
    <mergeCell ref="G123:I123"/>
    <mergeCell ref="B124:F124"/>
    <mergeCell ref="G124:I124"/>
    <mergeCell ref="B125:F125"/>
    <mergeCell ref="B127:F127"/>
    <mergeCell ref="G127:H127"/>
    <mergeCell ref="B120:F120"/>
    <mergeCell ref="G120:I120"/>
    <mergeCell ref="B121:F121"/>
    <mergeCell ref="G121:I121"/>
    <mergeCell ref="B122:F122"/>
    <mergeCell ref="G122:I122"/>
    <mergeCell ref="B117:F117"/>
    <mergeCell ref="G117:I117"/>
    <mergeCell ref="B118:F118"/>
    <mergeCell ref="G118:I118"/>
    <mergeCell ref="B119:F119"/>
    <mergeCell ref="G119:I119"/>
    <mergeCell ref="B114:F114"/>
    <mergeCell ref="G114:I114"/>
    <mergeCell ref="B115:F115"/>
    <mergeCell ref="G115:I115"/>
    <mergeCell ref="B116:F116"/>
    <mergeCell ref="G116:I116"/>
    <mergeCell ref="B111:F111"/>
    <mergeCell ref="G111:I111"/>
    <mergeCell ref="B112:F112"/>
    <mergeCell ref="G112:I112"/>
    <mergeCell ref="B113:F113"/>
    <mergeCell ref="G113:I113"/>
    <mergeCell ref="B108:F108"/>
    <mergeCell ref="G108:I108"/>
    <mergeCell ref="B109:F109"/>
    <mergeCell ref="G109:I109"/>
    <mergeCell ref="B110:F110"/>
    <mergeCell ref="G110:I110"/>
    <mergeCell ref="B105:F105"/>
    <mergeCell ref="G105:I105"/>
    <mergeCell ref="B106:F106"/>
    <mergeCell ref="G106:I106"/>
    <mergeCell ref="B107:F107"/>
    <mergeCell ref="G107:I107"/>
    <mergeCell ref="B100:H100"/>
    <mergeCell ref="L100:M100"/>
    <mergeCell ref="L102:M102"/>
    <mergeCell ref="A103:A104"/>
    <mergeCell ref="B103:F104"/>
    <mergeCell ref="G103:I104"/>
    <mergeCell ref="J103:L103"/>
    <mergeCell ref="M103:M104"/>
    <mergeCell ref="B97:H97"/>
    <mergeCell ref="L97:M97"/>
    <mergeCell ref="B98:H98"/>
    <mergeCell ref="L98:M98"/>
    <mergeCell ref="B99:H99"/>
    <mergeCell ref="L99:M99"/>
    <mergeCell ref="A90:B90"/>
    <mergeCell ref="D90:F90"/>
    <mergeCell ref="H90:J90"/>
    <mergeCell ref="L90:M90"/>
    <mergeCell ref="A91:B91"/>
    <mergeCell ref="D91:F91"/>
    <mergeCell ref="H91:J91"/>
    <mergeCell ref="B84:C84"/>
    <mergeCell ref="D84:E84"/>
    <mergeCell ref="F84:G84"/>
    <mergeCell ref="H84:I84"/>
    <mergeCell ref="J84:L84"/>
    <mergeCell ref="B85:C86"/>
    <mergeCell ref="D85:E86"/>
    <mergeCell ref="F85:G86"/>
    <mergeCell ref="H85:I86"/>
    <mergeCell ref="J85:L86"/>
    <mergeCell ref="A79:F79"/>
    <mergeCell ref="H79:I79"/>
    <mergeCell ref="J79:K79"/>
    <mergeCell ref="A80:F80"/>
    <mergeCell ref="H80:I80"/>
    <mergeCell ref="J80:K80"/>
    <mergeCell ref="A77:F77"/>
    <mergeCell ref="H77:I77"/>
    <mergeCell ref="J77:K77"/>
    <mergeCell ref="A78:F78"/>
    <mergeCell ref="H78:I78"/>
    <mergeCell ref="J78:K78"/>
    <mergeCell ref="A75:F75"/>
    <mergeCell ref="H75:I75"/>
    <mergeCell ref="J75:K75"/>
    <mergeCell ref="A76:F76"/>
    <mergeCell ref="H76:I76"/>
    <mergeCell ref="J76:K76"/>
    <mergeCell ref="H72:I72"/>
    <mergeCell ref="J72:K72"/>
    <mergeCell ref="A73:F73"/>
    <mergeCell ref="H73:I73"/>
    <mergeCell ref="J73:K73"/>
    <mergeCell ref="A74:F74"/>
    <mergeCell ref="H74:I74"/>
    <mergeCell ref="J74:K74"/>
    <mergeCell ref="H69:K69"/>
    <mergeCell ref="L69:M69"/>
    <mergeCell ref="A70:F70"/>
    <mergeCell ref="H70:I70"/>
    <mergeCell ref="J70:K70"/>
    <mergeCell ref="A71:F71"/>
    <mergeCell ref="H71:I71"/>
    <mergeCell ref="J71:K71"/>
    <mergeCell ref="A66:F66"/>
    <mergeCell ref="H66:M66"/>
    <mergeCell ref="A67:F67"/>
    <mergeCell ref="H67:M67"/>
    <mergeCell ref="A68:F68"/>
    <mergeCell ref="H68:M68"/>
    <mergeCell ref="A63:F63"/>
    <mergeCell ref="H63:M63"/>
    <mergeCell ref="A64:F64"/>
    <mergeCell ref="H64:M64"/>
    <mergeCell ref="A65:F65"/>
    <mergeCell ref="H65:M65"/>
    <mergeCell ref="A60:F60"/>
    <mergeCell ref="H60:M60"/>
    <mergeCell ref="A61:F61"/>
    <mergeCell ref="H61:M61"/>
    <mergeCell ref="A62:F62"/>
    <mergeCell ref="H62:M62"/>
    <mergeCell ref="B56:F56"/>
    <mergeCell ref="G56:I56"/>
    <mergeCell ref="A58:F58"/>
    <mergeCell ref="H58:M58"/>
    <mergeCell ref="A59:F59"/>
    <mergeCell ref="H59:M59"/>
    <mergeCell ref="B54:F54"/>
    <mergeCell ref="G54:H54"/>
    <mergeCell ref="J54:K54"/>
    <mergeCell ref="B55:F55"/>
    <mergeCell ref="G55:H55"/>
    <mergeCell ref="J55:K55"/>
    <mergeCell ref="B53:F53"/>
    <mergeCell ref="G53:H53"/>
    <mergeCell ref="J53:K53"/>
    <mergeCell ref="G48:I48"/>
    <mergeCell ref="J48:K48"/>
    <mergeCell ref="B49:F49"/>
    <mergeCell ref="B51:F51"/>
    <mergeCell ref="G51:H51"/>
    <mergeCell ref="J51:K51"/>
    <mergeCell ref="B48:F48"/>
    <mergeCell ref="G42:I42"/>
    <mergeCell ref="J42:K42"/>
    <mergeCell ref="G33:I33"/>
    <mergeCell ref="J33:K33"/>
    <mergeCell ref="B52:F52"/>
    <mergeCell ref="G52:H52"/>
    <mergeCell ref="J52:K52"/>
    <mergeCell ref="B34:F34"/>
    <mergeCell ref="B47:F47"/>
    <mergeCell ref="G28:I28"/>
    <mergeCell ref="J28:K28"/>
    <mergeCell ref="G23:I23"/>
    <mergeCell ref="J23:K23"/>
    <mergeCell ref="G24:I24"/>
    <mergeCell ref="J24:K24"/>
    <mergeCell ref="G25:I25"/>
    <mergeCell ref="J25:K25"/>
    <mergeCell ref="G40:I40"/>
    <mergeCell ref="J40:K40"/>
    <mergeCell ref="G17:I17"/>
    <mergeCell ref="J17:K17"/>
    <mergeCell ref="G18:I18"/>
    <mergeCell ref="J18:K18"/>
    <mergeCell ref="G19:I19"/>
    <mergeCell ref="J19:K19"/>
    <mergeCell ref="G26:I26"/>
    <mergeCell ref="J26:K26"/>
    <mergeCell ref="B27:F27"/>
    <mergeCell ref="G27:I27"/>
    <mergeCell ref="J27:K27"/>
    <mergeCell ref="A9:A10"/>
    <mergeCell ref="B9:F10"/>
    <mergeCell ref="G9:I10"/>
    <mergeCell ref="J9:L9"/>
    <mergeCell ref="M9:M10"/>
    <mergeCell ref="J10:K10"/>
    <mergeCell ref="G14:I14"/>
    <mergeCell ref="J14:K14"/>
    <mergeCell ref="G15:I15"/>
    <mergeCell ref="J15:K15"/>
    <mergeCell ref="G11:I11"/>
    <mergeCell ref="J11:K11"/>
    <mergeCell ref="B15:E15"/>
    <mergeCell ref="B3:H3"/>
    <mergeCell ref="L3:M3"/>
    <mergeCell ref="B4:H4"/>
    <mergeCell ref="L4:M4"/>
    <mergeCell ref="B5:H5"/>
    <mergeCell ref="L5:M5"/>
    <mergeCell ref="B12:F13"/>
    <mergeCell ref="B6:H6"/>
    <mergeCell ref="L6:M6"/>
    <mergeCell ref="L8:M8"/>
    <mergeCell ref="A31:A32"/>
    <mergeCell ref="G31:I32"/>
    <mergeCell ref="J31:K32"/>
    <mergeCell ref="L31:L32"/>
    <mergeCell ref="M31:M32"/>
    <mergeCell ref="A12:A13"/>
    <mergeCell ref="G12:I13"/>
    <mergeCell ref="J12:K13"/>
    <mergeCell ref="L12:L13"/>
    <mergeCell ref="M12:M13"/>
    <mergeCell ref="A29:A30"/>
    <mergeCell ref="G29:I30"/>
    <mergeCell ref="J29:K30"/>
    <mergeCell ref="M29:M30"/>
    <mergeCell ref="L29:L30"/>
    <mergeCell ref="G16:I16"/>
    <mergeCell ref="J16:K16"/>
    <mergeCell ref="B16:F16"/>
    <mergeCell ref="G20:I20"/>
    <mergeCell ref="J20:K20"/>
    <mergeCell ref="G21:I21"/>
    <mergeCell ref="J21:K21"/>
    <mergeCell ref="G22:I22"/>
    <mergeCell ref="J22:K22"/>
  </mergeCells>
  <printOptions horizontalCentered="1"/>
  <pageMargins left="0.31496062992126" right="0.31496062992126" top="0.35433070866141703" bottom="0.35433070866141703" header="0.31496062992126" footer="0.31496062992126"/>
  <pageSetup paperSize="14" scale="55" orientation="portrait" r:id="rId1"/>
  <rowBreaks count="1" manualBreakCount="1">
    <brk id="91" max="11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30D9-CC86-4F0A-9089-30F1FEDBBF49}">
  <sheetPr>
    <tabColor rgb="FFFFC000"/>
    <pageSetUpPr fitToPage="1"/>
  </sheetPr>
  <dimension ref="A1:O635"/>
  <sheetViews>
    <sheetView view="pageBreakPreview" zoomScale="99" zoomScaleNormal="55" zoomScaleSheetLayoutView="99" zoomScalePageLayoutView="25" workbookViewId="0">
      <selection activeCell="M89" sqref="A1:M89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5.4414062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554" t="s">
        <v>424</v>
      </c>
      <c r="C4" s="554"/>
      <c r="D4" s="554"/>
      <c r="E4" s="554"/>
      <c r="F4" s="554"/>
      <c r="G4" s="554"/>
      <c r="H4" s="554"/>
      <c r="J4" s="22"/>
      <c r="K4" s="22"/>
      <c r="L4" s="555"/>
      <c r="M4" s="555"/>
    </row>
    <row r="5" spans="1:13" s="16" customFormat="1" ht="16.5" customHeight="1">
      <c r="A5" s="69"/>
      <c r="B5" s="554"/>
      <c r="C5" s="554"/>
      <c r="D5" s="554"/>
      <c r="E5" s="554"/>
      <c r="F5" s="554"/>
      <c r="G5" s="554"/>
      <c r="H5" s="554"/>
      <c r="I5" s="21" t="s">
        <v>5</v>
      </c>
      <c r="J5" s="22"/>
      <c r="K5" s="22"/>
      <c r="L5" s="557" t="s">
        <v>337</v>
      </c>
      <c r="M5" s="557"/>
    </row>
    <row r="6" spans="1:13" s="16" customFormat="1" ht="16.5" customHeight="1">
      <c r="A6" s="22" t="s">
        <v>10</v>
      </c>
      <c r="B6" s="556" t="s">
        <v>425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404"/>
      <c r="M7" s="404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3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32"/>
    </row>
    <row r="11" spans="1:13" s="326" customFormat="1" ht="16.5" customHeight="1">
      <c r="A11" s="396" t="s">
        <v>274</v>
      </c>
      <c r="B11" s="424" t="s">
        <v>103</v>
      </c>
      <c r="C11" s="427"/>
      <c r="D11" s="427"/>
      <c r="E11" s="427"/>
      <c r="F11" s="428"/>
      <c r="G11" s="735"/>
      <c r="H11" s="735"/>
      <c r="I11" s="735"/>
      <c r="J11" s="738"/>
      <c r="K11" s="739"/>
      <c r="L11" s="358"/>
      <c r="M11" s="509"/>
    </row>
    <row r="12" spans="1:13" s="18" customFormat="1" ht="16.5" customHeight="1">
      <c r="A12" s="527" t="s">
        <v>104</v>
      </c>
      <c r="B12" s="818" t="s">
        <v>262</v>
      </c>
      <c r="C12" s="819"/>
      <c r="D12" s="819"/>
      <c r="E12" s="819"/>
      <c r="F12" s="820"/>
      <c r="G12" s="752"/>
      <c r="H12" s="753"/>
      <c r="I12" s="754"/>
      <c r="J12" s="736"/>
      <c r="K12" s="737"/>
      <c r="L12" s="540"/>
      <c r="M12" s="528" t="s">
        <v>305</v>
      </c>
    </row>
    <row r="13" spans="1:13" s="326" customFormat="1" ht="16.5" customHeight="1">
      <c r="A13" s="395" t="s">
        <v>107</v>
      </c>
      <c r="B13" s="429" t="s">
        <v>310</v>
      </c>
      <c r="C13" s="430"/>
      <c r="D13" s="430"/>
      <c r="E13" s="430"/>
      <c r="F13" s="394"/>
      <c r="G13" s="735"/>
      <c r="H13" s="735"/>
      <c r="I13" s="735"/>
      <c r="J13" s="736"/>
      <c r="K13" s="737"/>
      <c r="L13" s="418"/>
      <c r="M13" s="509" t="s">
        <v>381</v>
      </c>
    </row>
    <row r="14" spans="1:13" s="18" customFormat="1" ht="16.2" customHeight="1">
      <c r="A14" s="395" t="s">
        <v>111</v>
      </c>
      <c r="B14" s="744" t="s">
        <v>112</v>
      </c>
      <c r="C14" s="745"/>
      <c r="D14" s="745"/>
      <c r="E14" s="745"/>
      <c r="F14" s="394"/>
      <c r="G14" s="735"/>
      <c r="H14" s="735"/>
      <c r="I14" s="735"/>
      <c r="J14" s="736"/>
      <c r="K14" s="737"/>
      <c r="L14" s="418"/>
      <c r="M14" s="509" t="s">
        <v>381</v>
      </c>
    </row>
    <row r="15" spans="1:13" s="326" customFormat="1" ht="16.5" customHeight="1">
      <c r="A15" s="396" t="s">
        <v>276</v>
      </c>
      <c r="B15" s="792" t="s">
        <v>352</v>
      </c>
      <c r="C15" s="793"/>
      <c r="D15" s="793"/>
      <c r="E15" s="793"/>
      <c r="F15" s="794"/>
      <c r="G15" s="735"/>
      <c r="H15" s="735"/>
      <c r="I15" s="735"/>
      <c r="J15" s="738"/>
      <c r="K15" s="739"/>
      <c r="L15" s="357"/>
      <c r="M15" s="524"/>
    </row>
    <row r="16" spans="1:13" s="18" customFormat="1" ht="16.5" customHeight="1">
      <c r="A16" s="431" t="s">
        <v>403</v>
      </c>
      <c r="B16" s="432" t="s">
        <v>412</v>
      </c>
      <c r="C16" s="433"/>
      <c r="D16" s="434"/>
      <c r="E16" s="434"/>
      <c r="F16" s="433"/>
      <c r="G16" s="735"/>
      <c r="H16" s="735"/>
      <c r="I16" s="735"/>
      <c r="J16" s="747"/>
      <c r="K16" s="748"/>
      <c r="L16" s="418"/>
      <c r="M16" s="525" t="s">
        <v>333</v>
      </c>
    </row>
    <row r="17" spans="1:13" s="326" customFormat="1" ht="16.5" customHeight="1">
      <c r="A17" s="431" t="s">
        <v>404</v>
      </c>
      <c r="B17" s="775" t="s">
        <v>413</v>
      </c>
      <c r="C17" s="776"/>
      <c r="D17" s="776"/>
      <c r="E17" s="776"/>
      <c r="F17" s="777"/>
      <c r="G17" s="735"/>
      <c r="H17" s="735"/>
      <c r="I17" s="735"/>
      <c r="J17" s="747"/>
      <c r="K17" s="748"/>
      <c r="L17" s="418"/>
      <c r="M17" s="525" t="s">
        <v>265</v>
      </c>
    </row>
    <row r="18" spans="1:13" s="326" customFormat="1" ht="16.5" customHeight="1">
      <c r="A18" s="395" t="s">
        <v>405</v>
      </c>
      <c r="B18" s="432" t="s">
        <v>414</v>
      </c>
      <c r="C18" s="394"/>
      <c r="D18" s="434"/>
      <c r="E18" s="434"/>
      <c r="F18" s="433"/>
      <c r="G18" s="735"/>
      <c r="H18" s="735"/>
      <c r="I18" s="735"/>
      <c r="J18" s="747"/>
      <c r="K18" s="748"/>
      <c r="L18" s="418"/>
      <c r="M18" s="509" t="s">
        <v>265</v>
      </c>
    </row>
    <row r="19" spans="1:13" s="18" customFormat="1" ht="16.5" customHeight="1">
      <c r="A19" s="395" t="s">
        <v>406</v>
      </c>
      <c r="B19" s="432" t="s">
        <v>415</v>
      </c>
      <c r="C19" s="394"/>
      <c r="D19" s="434"/>
      <c r="E19" s="434"/>
      <c r="F19" s="433"/>
      <c r="G19" s="735"/>
      <c r="H19" s="735"/>
      <c r="I19" s="735"/>
      <c r="J19" s="747"/>
      <c r="K19" s="748"/>
      <c r="L19" s="418"/>
      <c r="M19" s="509" t="s">
        <v>265</v>
      </c>
    </row>
    <row r="20" spans="1:13" s="326" customFormat="1" ht="16.5" customHeight="1">
      <c r="A20" s="395" t="s">
        <v>407</v>
      </c>
      <c r="B20" s="432" t="s">
        <v>416</v>
      </c>
      <c r="C20" s="394"/>
      <c r="D20" s="434"/>
      <c r="E20" s="434"/>
      <c r="F20" s="433"/>
      <c r="G20" s="735"/>
      <c r="H20" s="735"/>
      <c r="I20" s="735"/>
      <c r="J20" s="747"/>
      <c r="K20" s="748"/>
      <c r="L20" s="418"/>
      <c r="M20" s="509" t="s">
        <v>265</v>
      </c>
    </row>
    <row r="21" spans="1:13" s="18" customFormat="1" ht="16.5" customHeight="1">
      <c r="A21" s="395" t="s">
        <v>408</v>
      </c>
      <c r="B21" s="432" t="s">
        <v>319</v>
      </c>
      <c r="C21" s="394"/>
      <c r="D21" s="434"/>
      <c r="E21" s="434"/>
      <c r="F21" s="433"/>
      <c r="G21" s="735"/>
      <c r="H21" s="735"/>
      <c r="I21" s="735"/>
      <c r="J21" s="747"/>
      <c r="K21" s="748"/>
      <c r="L21" s="418"/>
      <c r="M21" s="509" t="s">
        <v>381</v>
      </c>
    </row>
    <row r="22" spans="1:13" s="326" customFormat="1" ht="16.5" customHeight="1">
      <c r="A22" s="395">
        <v>1046</v>
      </c>
      <c r="B22" s="775" t="s">
        <v>320</v>
      </c>
      <c r="C22" s="776"/>
      <c r="D22" s="776"/>
      <c r="E22" s="776"/>
      <c r="F22" s="777"/>
      <c r="G22" s="735"/>
      <c r="H22" s="735"/>
      <c r="I22" s="735"/>
      <c r="J22" s="747"/>
      <c r="K22" s="748"/>
      <c r="L22" s="333"/>
      <c r="M22" s="509" t="s">
        <v>331</v>
      </c>
    </row>
    <row r="23" spans="1:13" s="18" customFormat="1" ht="16.5" customHeight="1">
      <c r="A23" s="395" t="s">
        <v>345</v>
      </c>
      <c r="B23" s="432" t="s">
        <v>359</v>
      </c>
      <c r="C23" s="394"/>
      <c r="D23" s="434"/>
      <c r="E23" s="434"/>
      <c r="F23" s="433"/>
      <c r="G23" s="735"/>
      <c r="H23" s="735"/>
      <c r="I23" s="735"/>
      <c r="J23" s="747"/>
      <c r="K23" s="748"/>
      <c r="L23" s="333"/>
      <c r="M23" s="509" t="s">
        <v>331</v>
      </c>
    </row>
    <row r="24" spans="1:13" s="326" customFormat="1" ht="16.5" customHeight="1">
      <c r="A24" s="395">
        <v>1018</v>
      </c>
      <c r="B24" s="432" t="s">
        <v>417</v>
      </c>
      <c r="C24" s="394"/>
      <c r="D24" s="434"/>
      <c r="E24" s="434"/>
      <c r="F24" s="433"/>
      <c r="G24" s="735"/>
      <c r="H24" s="735"/>
      <c r="I24" s="735"/>
      <c r="J24" s="747"/>
      <c r="K24" s="748"/>
      <c r="L24" s="333"/>
      <c r="M24" s="509" t="s">
        <v>331</v>
      </c>
    </row>
    <row r="25" spans="1:13" s="18" customFormat="1" ht="16.5" customHeight="1">
      <c r="A25" s="395" t="s">
        <v>409</v>
      </c>
      <c r="B25" s="475" t="s">
        <v>418</v>
      </c>
      <c r="C25" s="779" t="s">
        <v>524</v>
      </c>
      <c r="D25" s="779"/>
      <c r="E25" s="779"/>
      <c r="F25" s="780"/>
      <c r="G25" s="735"/>
      <c r="H25" s="735"/>
      <c r="I25" s="735"/>
      <c r="J25" s="747"/>
      <c r="K25" s="748"/>
      <c r="L25" s="333"/>
      <c r="M25" s="509" t="s">
        <v>331</v>
      </c>
    </row>
    <row r="26" spans="1:13" s="326" customFormat="1" ht="18" customHeight="1">
      <c r="A26" s="395">
        <v>1032</v>
      </c>
      <c r="B26" s="749" t="s">
        <v>419</v>
      </c>
      <c r="C26" s="750"/>
      <c r="D26" s="750"/>
      <c r="E26" s="750"/>
      <c r="F26" s="751"/>
      <c r="G26" s="735"/>
      <c r="H26" s="735"/>
      <c r="I26" s="735"/>
      <c r="J26" s="747"/>
      <c r="K26" s="748"/>
      <c r="L26" s="333"/>
      <c r="M26" s="509" t="s">
        <v>331</v>
      </c>
    </row>
    <row r="27" spans="1:13" s="18" customFormat="1" ht="16.5" customHeight="1">
      <c r="A27" s="395">
        <v>1002</v>
      </c>
      <c r="B27" s="775" t="s">
        <v>368</v>
      </c>
      <c r="C27" s="776"/>
      <c r="D27" s="776"/>
      <c r="E27" s="776"/>
      <c r="F27" s="777"/>
      <c r="G27" s="735"/>
      <c r="H27" s="735"/>
      <c r="I27" s="735"/>
      <c r="J27" s="747"/>
      <c r="K27" s="748"/>
      <c r="L27" s="333"/>
      <c r="M27" s="509" t="s">
        <v>333</v>
      </c>
    </row>
    <row r="28" spans="1:13" s="326" customFormat="1" ht="16.5" customHeight="1">
      <c r="A28" s="473">
        <v>1010</v>
      </c>
      <c r="B28" s="775" t="s">
        <v>420</v>
      </c>
      <c r="C28" s="776"/>
      <c r="D28" s="776"/>
      <c r="E28" s="776"/>
      <c r="F28" s="777"/>
      <c r="G28" s="709"/>
      <c r="H28" s="710"/>
      <c r="I28" s="711"/>
      <c r="J28" s="715"/>
      <c r="K28" s="716"/>
      <c r="L28" s="474"/>
      <c r="M28" s="526" t="s">
        <v>331</v>
      </c>
    </row>
    <row r="29" spans="1:13" s="326" customFormat="1" ht="16.2" customHeight="1">
      <c r="A29" s="473" t="s">
        <v>410</v>
      </c>
      <c r="B29" s="775" t="s">
        <v>421</v>
      </c>
      <c r="C29" s="776"/>
      <c r="D29" s="776"/>
      <c r="E29" s="776"/>
      <c r="F29" s="777"/>
      <c r="G29" s="709"/>
      <c r="H29" s="710"/>
      <c r="I29" s="711"/>
      <c r="J29" s="715"/>
      <c r="K29" s="716"/>
      <c r="L29" s="474"/>
      <c r="M29" s="526" t="s">
        <v>331</v>
      </c>
    </row>
    <row r="30" spans="1:13" s="326" customFormat="1" ht="16.5" customHeight="1">
      <c r="A30" s="395">
        <v>1100</v>
      </c>
      <c r="B30" s="432" t="s">
        <v>325</v>
      </c>
      <c r="C30" s="394"/>
      <c r="D30" s="434"/>
      <c r="E30" s="434"/>
      <c r="F30" s="433"/>
      <c r="G30" s="752"/>
      <c r="H30" s="753"/>
      <c r="I30" s="754"/>
      <c r="J30" s="747"/>
      <c r="K30" s="748"/>
      <c r="L30" s="333"/>
      <c r="M30" s="509" t="s">
        <v>263</v>
      </c>
    </row>
    <row r="31" spans="1:13" s="326" customFormat="1" ht="16.5" customHeight="1">
      <c r="A31" s="395">
        <v>1101</v>
      </c>
      <c r="B31" s="476" t="s">
        <v>326</v>
      </c>
      <c r="C31" s="477"/>
      <c r="D31" s="512"/>
      <c r="E31" s="512"/>
      <c r="F31" s="513"/>
      <c r="G31" s="421"/>
      <c r="H31" s="422"/>
      <c r="I31" s="423"/>
      <c r="J31" s="418"/>
      <c r="K31" s="419"/>
      <c r="L31" s="333"/>
      <c r="M31" s="509" t="s">
        <v>263</v>
      </c>
    </row>
    <row r="32" spans="1:13" s="326" customFormat="1" ht="16.5" customHeight="1">
      <c r="A32" s="803" t="s">
        <v>411</v>
      </c>
      <c r="B32" s="549" t="s">
        <v>422</v>
      </c>
      <c r="C32" s="550"/>
      <c r="D32" s="550"/>
      <c r="E32" s="550"/>
      <c r="F32" s="551"/>
      <c r="G32" s="710"/>
      <c r="H32" s="710"/>
      <c r="I32" s="711"/>
      <c r="J32" s="715"/>
      <c r="K32" s="716"/>
      <c r="L32" s="719"/>
      <c r="M32" s="805" t="s">
        <v>263</v>
      </c>
    </row>
    <row r="33" spans="1:13" s="326" customFormat="1" ht="16.5" customHeight="1">
      <c r="A33" s="804"/>
      <c r="B33" s="546" t="s">
        <v>423</v>
      </c>
      <c r="C33" s="547"/>
      <c r="D33" s="547"/>
      <c r="E33" s="547"/>
      <c r="F33" s="548"/>
      <c r="G33" s="713"/>
      <c r="H33" s="713"/>
      <c r="I33" s="714"/>
      <c r="J33" s="717"/>
      <c r="K33" s="718"/>
      <c r="L33" s="720"/>
      <c r="M33" s="806"/>
    </row>
    <row r="34" spans="1:13" s="326" customFormat="1" ht="16.5" customHeight="1">
      <c r="A34" s="395">
        <v>1103</v>
      </c>
      <c r="B34" s="432" t="s">
        <v>328</v>
      </c>
      <c r="C34" s="394"/>
      <c r="D34" s="434"/>
      <c r="E34" s="434"/>
      <c r="F34" s="433"/>
      <c r="G34" s="421"/>
      <c r="H34" s="422"/>
      <c r="I34" s="423"/>
      <c r="J34" s="418"/>
      <c r="K34" s="419"/>
      <c r="L34" s="333"/>
      <c r="M34" s="509" t="s">
        <v>263</v>
      </c>
    </row>
    <row r="35" spans="1:13" s="326" customFormat="1" ht="16.5" customHeight="1">
      <c r="A35" s="395"/>
      <c r="B35" s="778"/>
      <c r="C35" s="779"/>
      <c r="D35" s="779"/>
      <c r="E35" s="779"/>
      <c r="F35" s="780"/>
      <c r="G35" s="421"/>
      <c r="H35" s="422"/>
      <c r="I35" s="423"/>
      <c r="J35" s="418"/>
      <c r="K35" s="419"/>
      <c r="L35" s="333"/>
      <c r="M35" s="509"/>
    </row>
    <row r="36" spans="1:13" s="326" customFormat="1" ht="16.5" customHeight="1">
      <c r="A36" s="396"/>
      <c r="B36" s="778"/>
      <c r="C36" s="779"/>
      <c r="D36" s="779"/>
      <c r="E36" s="779"/>
      <c r="F36" s="780"/>
      <c r="G36" s="421"/>
      <c r="H36" s="422"/>
      <c r="I36" s="423"/>
      <c r="J36" s="418"/>
      <c r="K36" s="419"/>
      <c r="L36" s="333"/>
      <c r="M36" s="509"/>
    </row>
    <row r="37" spans="1:13" s="326" customFormat="1" ht="16.5" customHeight="1">
      <c r="A37" s="395"/>
      <c r="B37" s="778"/>
      <c r="C37" s="779"/>
      <c r="D37" s="779"/>
      <c r="E37" s="779"/>
      <c r="F37" s="780"/>
      <c r="G37" s="421"/>
      <c r="H37" s="422"/>
      <c r="I37" s="423"/>
      <c r="J37" s="418"/>
      <c r="K37" s="419"/>
      <c r="L37" s="333"/>
      <c r="M37" s="509"/>
    </row>
    <row r="38" spans="1:13" s="326" customFormat="1" ht="16.5" customHeight="1">
      <c r="A38" s="395"/>
      <c r="B38" s="778"/>
      <c r="C38" s="779"/>
      <c r="D38" s="779"/>
      <c r="E38" s="779"/>
      <c r="F38" s="780"/>
      <c r="G38" s="752"/>
      <c r="H38" s="753"/>
      <c r="I38" s="754"/>
      <c r="J38" s="747"/>
      <c r="K38" s="748"/>
      <c r="L38" s="333"/>
      <c r="M38" s="509"/>
    </row>
    <row r="39" spans="1:13" s="326" customFormat="1" ht="16.5" customHeight="1">
      <c r="A39" s="332"/>
      <c r="B39" s="778"/>
      <c r="C39" s="779"/>
      <c r="D39" s="779"/>
      <c r="E39" s="779"/>
      <c r="F39" s="780"/>
      <c r="G39" s="421"/>
      <c r="H39" s="422"/>
      <c r="I39" s="423"/>
      <c r="J39" s="418"/>
      <c r="K39" s="419"/>
      <c r="L39" s="333"/>
      <c r="M39" s="509"/>
    </row>
    <row r="40" spans="1:13" s="326" customFormat="1" ht="16.5" customHeight="1">
      <c r="A40" s="396"/>
      <c r="B40" s="778"/>
      <c r="C40" s="779"/>
      <c r="D40" s="779"/>
      <c r="E40" s="779"/>
      <c r="F40" s="780"/>
      <c r="G40" s="752"/>
      <c r="H40" s="753"/>
      <c r="I40" s="754"/>
      <c r="J40" s="747"/>
      <c r="K40" s="748"/>
      <c r="L40" s="333"/>
      <c r="M40" s="509"/>
    </row>
    <row r="41" spans="1:13" s="326" customFormat="1" ht="16.5" customHeight="1" thickBot="1">
      <c r="A41" s="346"/>
      <c r="B41" s="778"/>
      <c r="C41" s="779"/>
      <c r="D41" s="779"/>
      <c r="E41" s="779"/>
      <c r="F41" s="780"/>
      <c r="G41" s="421"/>
      <c r="H41" s="422"/>
      <c r="I41" s="423"/>
      <c r="J41" s="418"/>
      <c r="K41" s="419"/>
      <c r="L41" s="333"/>
      <c r="M41" s="509"/>
    </row>
    <row r="42" spans="1:13" s="326" customFormat="1" ht="16.5" customHeight="1">
      <c r="A42" s="407"/>
      <c r="B42" s="778"/>
      <c r="C42" s="779"/>
      <c r="D42" s="779"/>
      <c r="E42" s="779"/>
      <c r="F42" s="780"/>
      <c r="G42" s="421"/>
      <c r="H42" s="422"/>
      <c r="I42" s="423"/>
      <c r="J42" s="418"/>
      <c r="K42" s="419"/>
      <c r="L42" s="333"/>
      <c r="M42" s="509"/>
    </row>
    <row r="43" spans="1:13" s="326" customFormat="1" ht="16.5" customHeight="1">
      <c r="A43" s="442"/>
      <c r="B43" s="778"/>
      <c r="C43" s="779"/>
      <c r="D43" s="779"/>
      <c r="E43" s="779"/>
      <c r="F43" s="780"/>
      <c r="G43" s="421"/>
      <c r="H43" s="422"/>
      <c r="I43" s="423"/>
      <c r="J43" s="418"/>
      <c r="K43" s="419"/>
      <c r="L43" s="333"/>
      <c r="M43" s="509"/>
    </row>
    <row r="44" spans="1:13" s="326" customFormat="1" ht="16.5" customHeight="1">
      <c r="A44" s="442"/>
      <c r="B44" s="778"/>
      <c r="C44" s="779"/>
      <c r="D44" s="779"/>
      <c r="E44" s="779"/>
      <c r="F44" s="780"/>
      <c r="G44" s="421"/>
      <c r="H44" s="422"/>
      <c r="I44" s="423"/>
      <c r="J44" s="418"/>
      <c r="K44" s="419"/>
      <c r="L44" s="333"/>
      <c r="M44" s="509"/>
    </row>
    <row r="45" spans="1:13" s="326" customFormat="1" ht="16.5" customHeight="1">
      <c r="A45" s="442"/>
      <c r="B45" s="778"/>
      <c r="C45" s="779"/>
      <c r="D45" s="779"/>
      <c r="E45" s="779"/>
      <c r="F45" s="780"/>
      <c r="G45" s="421"/>
      <c r="H45" s="422"/>
      <c r="I45" s="423"/>
      <c r="J45" s="418"/>
      <c r="K45" s="419"/>
      <c r="L45" s="333"/>
      <c r="M45" s="509"/>
    </row>
    <row r="46" spans="1:13" s="18" customFormat="1" ht="16.5" customHeight="1" thickBot="1">
      <c r="A46" s="346"/>
      <c r="B46" s="815"/>
      <c r="C46" s="816"/>
      <c r="D46" s="816"/>
      <c r="E46" s="816"/>
      <c r="F46" s="817"/>
      <c r="G46" s="757"/>
      <c r="H46" s="757"/>
      <c r="I46" s="757"/>
      <c r="J46" s="758"/>
      <c r="K46" s="759"/>
      <c r="L46" s="350"/>
      <c r="M46" s="510"/>
    </row>
    <row r="47" spans="1:13" s="18" customFormat="1" ht="16.5" customHeight="1">
      <c r="A47" s="407"/>
      <c r="B47" s="566"/>
      <c r="C47" s="566"/>
      <c r="D47" s="566"/>
      <c r="E47" s="566"/>
      <c r="F47" s="566"/>
      <c r="G47" s="407"/>
      <c r="H47" s="41"/>
      <c r="I47" s="41"/>
      <c r="J47" s="42"/>
      <c r="K47" s="42"/>
      <c r="L47" s="43"/>
      <c r="M47" s="3"/>
    </row>
    <row r="48" spans="1:13" s="18" customFormat="1" ht="16.5" customHeight="1">
      <c r="A48" s="26"/>
      <c r="B48" s="409"/>
      <c r="C48" s="409"/>
      <c r="D48" s="409"/>
      <c r="E48" s="409"/>
      <c r="F48" s="17"/>
      <c r="G48" s="17"/>
      <c r="H48" s="17"/>
      <c r="I48" s="17"/>
      <c r="J48" s="17"/>
      <c r="K48" s="17"/>
      <c r="L48" s="3"/>
      <c r="M48" s="3"/>
    </row>
    <row r="49" spans="1:13" s="25" customFormat="1" ht="16.5" customHeight="1">
      <c r="A49" s="19" t="s">
        <v>13</v>
      </c>
      <c r="B49" s="567" t="s">
        <v>14</v>
      </c>
      <c r="C49" s="567"/>
      <c r="D49" s="567"/>
      <c r="E49" s="567"/>
      <c r="F49" s="567"/>
      <c r="G49" s="568" t="s">
        <v>24</v>
      </c>
      <c r="H49" s="568"/>
      <c r="I49" s="408" t="s">
        <v>17</v>
      </c>
      <c r="J49" s="733" t="s">
        <v>25</v>
      </c>
      <c r="K49" s="734"/>
      <c r="L49" s="403" t="s">
        <v>26</v>
      </c>
      <c r="M49" s="403" t="s">
        <v>27</v>
      </c>
    </row>
    <row r="50" spans="1:13" s="18" customFormat="1" ht="16.5" customHeight="1">
      <c r="A50" s="317"/>
      <c r="B50" s="563"/>
      <c r="C50" s="563"/>
      <c r="D50" s="563"/>
      <c r="E50" s="563"/>
      <c r="F50" s="563"/>
      <c r="G50" s="564"/>
      <c r="H50" s="564"/>
      <c r="I50" s="406"/>
      <c r="J50" s="755"/>
      <c r="K50" s="756"/>
      <c r="L50" s="413"/>
      <c r="M50" s="413"/>
    </row>
    <row r="51" spans="1:13" s="52" customFormat="1" ht="16.5" customHeight="1">
      <c r="A51" s="405"/>
      <c r="B51" s="563"/>
      <c r="C51" s="563"/>
      <c r="D51" s="563"/>
      <c r="E51" s="563"/>
      <c r="F51" s="563"/>
      <c r="G51" s="564"/>
      <c r="H51" s="564"/>
      <c r="I51" s="406"/>
      <c r="J51" s="755"/>
      <c r="K51" s="756"/>
      <c r="L51" s="413"/>
      <c r="M51" s="413"/>
    </row>
    <row r="52" spans="1:13" s="52" customFormat="1" ht="16.5" customHeight="1">
      <c r="A52" s="405"/>
      <c r="B52" s="563"/>
      <c r="C52" s="563"/>
      <c r="D52" s="563"/>
      <c r="E52" s="563"/>
      <c r="F52" s="563"/>
      <c r="G52" s="564"/>
      <c r="H52" s="564"/>
      <c r="I52" s="406"/>
      <c r="J52" s="755"/>
      <c r="K52" s="756"/>
      <c r="L52" s="413"/>
      <c r="M52" s="413"/>
    </row>
    <row r="53" spans="1:13" s="52" customFormat="1" ht="16.5" customHeight="1">
      <c r="A53" s="405"/>
      <c r="B53" s="563"/>
      <c r="C53" s="563"/>
      <c r="D53" s="563"/>
      <c r="E53" s="563"/>
      <c r="F53" s="563"/>
      <c r="G53" s="564"/>
      <c r="H53" s="564"/>
      <c r="I53" s="406"/>
      <c r="J53" s="755"/>
      <c r="K53" s="756"/>
      <c r="L53" s="413"/>
      <c r="M53" s="413"/>
    </row>
    <row r="54" spans="1:13" s="52" customFormat="1" ht="16.5" customHeight="1">
      <c r="A54" s="32"/>
      <c r="B54" s="565"/>
      <c r="C54" s="565"/>
      <c r="D54" s="565"/>
      <c r="E54" s="565"/>
      <c r="F54" s="565"/>
      <c r="G54" s="565"/>
      <c r="H54" s="565"/>
      <c r="I54" s="565"/>
      <c r="J54" s="17"/>
      <c r="K54" s="17"/>
      <c r="L54" s="3"/>
      <c r="M54" s="3"/>
    </row>
    <row r="55" spans="1:13" s="51" customFormat="1" ht="16.5" customHeight="1">
      <c r="A55" s="34" t="s">
        <v>28</v>
      </c>
      <c r="B55" s="34"/>
      <c r="C55" s="34"/>
      <c r="D55" s="34"/>
      <c r="E55" s="34"/>
      <c r="F55" s="17"/>
      <c r="G55" s="38"/>
      <c r="H55" s="36" t="s">
        <v>29</v>
      </c>
      <c r="I55" s="34"/>
      <c r="J55" s="34"/>
      <c r="K55" s="34"/>
      <c r="L55" s="34"/>
      <c r="M55" s="34"/>
    </row>
    <row r="56" spans="1:13" s="51" customFormat="1" ht="16.5" customHeight="1">
      <c r="A56" s="569"/>
      <c r="B56" s="569"/>
      <c r="C56" s="569"/>
      <c r="D56" s="569"/>
      <c r="E56" s="569"/>
      <c r="F56" s="569"/>
      <c r="G56" s="410"/>
      <c r="H56" s="569"/>
      <c r="I56" s="569"/>
      <c r="J56" s="569"/>
      <c r="K56" s="569"/>
      <c r="L56" s="569"/>
      <c r="M56" s="569"/>
    </row>
    <row r="57" spans="1:13" s="51" customFormat="1" ht="16.5" customHeight="1">
      <c r="A57" s="571"/>
      <c r="B57" s="571"/>
      <c r="C57" s="571"/>
      <c r="D57" s="571"/>
      <c r="E57" s="571"/>
      <c r="F57" s="571"/>
      <c r="G57" s="410"/>
      <c r="H57" s="571"/>
      <c r="I57" s="571"/>
      <c r="J57" s="571"/>
      <c r="K57" s="571"/>
      <c r="L57" s="571"/>
      <c r="M57" s="571"/>
    </row>
    <row r="58" spans="1:13" s="51" customFormat="1" ht="16.5" customHeight="1">
      <c r="A58" s="571"/>
      <c r="B58" s="571"/>
      <c r="C58" s="571"/>
      <c r="D58" s="571"/>
      <c r="E58" s="571"/>
      <c r="F58" s="571"/>
      <c r="G58" s="57"/>
      <c r="H58" s="569"/>
      <c r="I58" s="569"/>
      <c r="J58" s="569"/>
      <c r="K58" s="569"/>
      <c r="L58" s="569"/>
      <c r="M58" s="569"/>
    </row>
    <row r="59" spans="1:13" s="51" customFormat="1" ht="16.5" customHeight="1">
      <c r="A59" s="569"/>
      <c r="B59" s="569"/>
      <c r="C59" s="569"/>
      <c r="D59" s="569"/>
      <c r="E59" s="569"/>
      <c r="F59" s="569"/>
      <c r="G59" s="57"/>
      <c r="H59" s="569"/>
      <c r="I59" s="569"/>
      <c r="J59" s="569"/>
      <c r="K59" s="569"/>
      <c r="L59" s="569"/>
      <c r="M59" s="569"/>
    </row>
    <row r="60" spans="1:13" s="51" customFormat="1" ht="16.5" customHeight="1">
      <c r="A60" s="570"/>
      <c r="B60" s="570"/>
      <c r="C60" s="570"/>
      <c r="D60" s="570"/>
      <c r="E60" s="570"/>
      <c r="F60" s="570"/>
      <c r="G60" s="39"/>
      <c r="H60" s="569"/>
      <c r="I60" s="569"/>
      <c r="J60" s="569"/>
      <c r="K60" s="569"/>
      <c r="L60" s="569"/>
      <c r="M60" s="569"/>
    </row>
    <row r="61" spans="1:13" s="3" customFormat="1" ht="16.5" customHeight="1">
      <c r="A61" s="571"/>
      <c r="B61" s="571"/>
      <c r="C61" s="571"/>
      <c r="D61" s="571"/>
      <c r="E61" s="571"/>
      <c r="F61" s="571"/>
      <c r="G61" s="410"/>
      <c r="H61" s="569"/>
      <c r="I61" s="569"/>
      <c r="J61" s="569"/>
      <c r="K61" s="569"/>
      <c r="L61" s="569"/>
      <c r="M61" s="569"/>
    </row>
    <row r="62" spans="1:13" s="3" customFormat="1" ht="16.5" customHeight="1">
      <c r="A62" s="571"/>
      <c r="B62" s="571"/>
      <c r="C62" s="571"/>
      <c r="D62" s="571"/>
      <c r="E62" s="571"/>
      <c r="F62" s="571"/>
      <c r="G62" s="57"/>
      <c r="H62" s="569"/>
      <c r="I62" s="569"/>
      <c r="J62" s="569"/>
      <c r="K62" s="569"/>
      <c r="L62" s="569"/>
      <c r="M62" s="569"/>
    </row>
    <row r="63" spans="1:13" s="3" customFormat="1" ht="16.5" customHeight="1">
      <c r="A63" s="571"/>
      <c r="B63" s="571"/>
      <c r="C63" s="571"/>
      <c r="D63" s="571"/>
      <c r="E63" s="571"/>
      <c r="F63" s="571"/>
      <c r="G63" s="410"/>
      <c r="H63" s="569"/>
      <c r="I63" s="569"/>
      <c r="J63" s="569"/>
      <c r="K63" s="569"/>
      <c r="L63" s="569"/>
      <c r="M63" s="569"/>
    </row>
    <row r="64" spans="1:13" s="3" customFormat="1" ht="16.5" customHeight="1">
      <c r="A64" s="571"/>
      <c r="B64" s="571"/>
      <c r="C64" s="571"/>
      <c r="D64" s="571"/>
      <c r="E64" s="571"/>
      <c r="F64" s="571"/>
      <c r="G64" s="410"/>
      <c r="H64" s="569"/>
      <c r="I64" s="569"/>
      <c r="J64" s="569"/>
      <c r="K64" s="569"/>
      <c r="L64" s="569"/>
      <c r="M64" s="569"/>
    </row>
    <row r="65" spans="1:13" s="3" customFormat="1" ht="16.5" customHeight="1">
      <c r="A65" s="571"/>
      <c r="B65" s="571"/>
      <c r="C65" s="571"/>
      <c r="D65" s="571"/>
      <c r="E65" s="571"/>
      <c r="F65" s="571"/>
      <c r="G65" s="57"/>
      <c r="H65" s="569"/>
      <c r="I65" s="569"/>
      <c r="J65" s="569"/>
      <c r="K65" s="569"/>
      <c r="L65" s="569"/>
      <c r="M65" s="569"/>
    </row>
    <row r="66" spans="1:13" s="3" customFormat="1" ht="16.5" customHeight="1">
      <c r="A66" s="572"/>
      <c r="B66" s="572"/>
      <c r="C66" s="572"/>
      <c r="D66" s="572"/>
      <c r="E66" s="572"/>
      <c r="F66" s="572"/>
      <c r="G66" s="57"/>
      <c r="H66" s="572"/>
      <c r="I66" s="572"/>
      <c r="J66" s="572"/>
      <c r="K66" s="572"/>
      <c r="L66" s="572"/>
      <c r="M66" s="572"/>
    </row>
    <row r="67" spans="1:13" s="3" customFormat="1" ht="16.5" customHeight="1">
      <c r="A67" s="70" t="s">
        <v>34</v>
      </c>
      <c r="B67" s="5"/>
      <c r="C67" s="4"/>
      <c r="H67" s="760" t="s">
        <v>35</v>
      </c>
      <c r="I67" s="761"/>
      <c r="J67" s="761"/>
      <c r="K67" s="762"/>
      <c r="L67" s="573" t="s">
        <v>36</v>
      </c>
      <c r="M67" s="573"/>
    </row>
    <row r="68" spans="1:13" s="3" customFormat="1" ht="16.5" customHeight="1">
      <c r="A68" s="576"/>
      <c r="B68" s="576"/>
      <c r="C68" s="576"/>
      <c r="D68" s="576"/>
      <c r="E68" s="576"/>
      <c r="F68" s="576"/>
      <c r="G68" s="71"/>
      <c r="H68" s="577" t="s">
        <v>14</v>
      </c>
      <c r="I68" s="577"/>
      <c r="J68" s="763" t="s">
        <v>24</v>
      </c>
      <c r="K68" s="764"/>
      <c r="L68" s="414" t="s">
        <v>14</v>
      </c>
      <c r="M68" s="414" t="s">
        <v>24</v>
      </c>
    </row>
    <row r="69" spans="1:13" s="3" customFormat="1" ht="16.5" customHeight="1">
      <c r="A69" s="576"/>
      <c r="B69" s="576"/>
      <c r="C69" s="576"/>
      <c r="D69" s="576"/>
      <c r="E69" s="576"/>
      <c r="F69" s="576"/>
      <c r="G69" s="72"/>
      <c r="H69" s="575"/>
      <c r="I69" s="575"/>
      <c r="J69" s="765"/>
      <c r="K69" s="766"/>
      <c r="L69" s="76"/>
      <c r="M69" s="413"/>
    </row>
    <row r="70" spans="1:13" s="3" customFormat="1" ht="16.5" customHeight="1">
      <c r="A70" s="412"/>
      <c r="B70" s="412"/>
      <c r="C70" s="412"/>
      <c r="D70" s="412"/>
      <c r="E70" s="412"/>
      <c r="F70" s="412"/>
      <c r="G70" s="72"/>
      <c r="H70" s="575"/>
      <c r="I70" s="575"/>
      <c r="J70" s="765"/>
      <c r="K70" s="766"/>
      <c r="L70" s="76"/>
      <c r="M70" s="413"/>
    </row>
    <row r="71" spans="1:13" s="3" customFormat="1" ht="16.5" customHeight="1">
      <c r="A71" s="574"/>
      <c r="B71" s="574"/>
      <c r="C71" s="574"/>
      <c r="D71" s="574"/>
      <c r="E71" s="574"/>
      <c r="F71" s="574"/>
      <c r="G71" s="72"/>
      <c r="H71" s="575"/>
      <c r="I71" s="575"/>
      <c r="J71" s="765"/>
      <c r="K71" s="766"/>
      <c r="L71" s="76"/>
      <c r="M71" s="413"/>
    </row>
    <row r="72" spans="1:13" s="3" customFormat="1" ht="16.5" customHeight="1">
      <c r="A72" s="767"/>
      <c r="B72" s="767"/>
      <c r="C72" s="767"/>
      <c r="D72" s="767"/>
      <c r="E72" s="767"/>
      <c r="F72" s="767"/>
      <c r="G72" s="72"/>
      <c r="H72" s="765"/>
      <c r="I72" s="766"/>
      <c r="J72" s="765"/>
      <c r="K72" s="766"/>
      <c r="L72" s="76"/>
      <c r="M72" s="413"/>
    </row>
    <row r="73" spans="1:13" s="3" customFormat="1" ht="16.5" customHeight="1">
      <c r="A73" s="767"/>
      <c r="B73" s="767"/>
      <c r="C73" s="767"/>
      <c r="D73" s="767"/>
      <c r="E73" s="767"/>
      <c r="F73" s="767"/>
      <c r="G73" s="72"/>
      <c r="H73" s="765"/>
      <c r="I73" s="766"/>
      <c r="J73" s="765"/>
      <c r="K73" s="766"/>
      <c r="L73" s="77"/>
      <c r="M73" s="413"/>
    </row>
    <row r="74" spans="1:13" s="3" customFormat="1" ht="70.8" customHeight="1">
      <c r="A74" s="767"/>
      <c r="B74" s="767"/>
      <c r="C74" s="767"/>
      <c r="D74" s="767"/>
      <c r="E74" s="767"/>
      <c r="F74" s="767"/>
      <c r="G74" s="72"/>
      <c r="H74" s="765"/>
      <c r="I74" s="766"/>
      <c r="J74" s="765"/>
      <c r="K74" s="766"/>
      <c r="M74" s="73"/>
    </row>
    <row r="75" spans="1:13" s="3" customFormat="1" ht="16.5" customHeight="1">
      <c r="A75" s="574"/>
      <c r="B75" s="574"/>
      <c r="C75" s="574"/>
      <c r="D75" s="574"/>
      <c r="E75" s="574"/>
      <c r="F75" s="574"/>
      <c r="G75" s="72"/>
      <c r="H75" s="575"/>
      <c r="I75" s="575"/>
      <c r="J75" s="765"/>
      <c r="K75" s="766"/>
      <c r="L75" s="77"/>
      <c r="M75" s="73"/>
    </row>
    <row r="76" spans="1:13" s="3" customFormat="1" ht="16.5" customHeight="1">
      <c r="A76" s="574"/>
      <c r="B76" s="574"/>
      <c r="C76" s="574"/>
      <c r="D76" s="574"/>
      <c r="E76" s="574"/>
      <c r="F76" s="574"/>
      <c r="G76" s="72"/>
      <c r="H76" s="575"/>
      <c r="I76" s="575"/>
      <c r="J76" s="765"/>
      <c r="K76" s="766"/>
      <c r="L76" s="77"/>
      <c r="M76" s="73"/>
    </row>
    <row r="77" spans="1:13" s="3" customFormat="1" ht="16.5" customHeight="1">
      <c r="A77" s="574"/>
      <c r="B77" s="574"/>
      <c r="C77" s="574"/>
      <c r="D77" s="574"/>
      <c r="E77" s="574"/>
      <c r="F77" s="574"/>
      <c r="G77" s="72"/>
      <c r="H77" s="575"/>
      <c r="I77" s="575"/>
      <c r="J77" s="765"/>
      <c r="K77" s="766"/>
      <c r="L77" s="77"/>
      <c r="M77" s="73"/>
    </row>
    <row r="78" spans="1:13" s="3" customFormat="1" ht="16.5" customHeight="1">
      <c r="A78" s="574"/>
      <c r="B78" s="574"/>
      <c r="C78" s="574"/>
      <c r="D78" s="574"/>
      <c r="E78" s="574"/>
      <c r="F78" s="574"/>
      <c r="G78" s="72"/>
      <c r="H78" s="575"/>
      <c r="I78" s="575"/>
      <c r="J78" s="765"/>
      <c r="K78" s="766"/>
      <c r="L78" s="77"/>
      <c r="M78" s="73"/>
    </row>
    <row r="79" spans="1:13" s="3" customFormat="1" ht="16.5" customHeight="1">
      <c r="A79" s="45"/>
      <c r="B79" s="46"/>
      <c r="C79" s="46"/>
      <c r="D79" s="46"/>
      <c r="E79" s="44"/>
      <c r="F79" s="46"/>
      <c r="G79" s="46"/>
      <c r="H79" s="46"/>
      <c r="I79" s="46"/>
      <c r="J79" s="46"/>
      <c r="K79" s="46"/>
      <c r="L79" s="47"/>
      <c r="M79" s="46"/>
    </row>
    <row r="80" spans="1:13" s="3" customFormat="1" ht="16.5" customHeight="1">
      <c r="A80" s="45" t="s">
        <v>45</v>
      </c>
      <c r="B80" s="46"/>
      <c r="C80" s="46"/>
      <c r="D80" s="46"/>
      <c r="E80" s="44"/>
      <c r="F80" s="46"/>
      <c r="G80" s="46"/>
      <c r="H80" s="46"/>
      <c r="I80" s="46"/>
      <c r="J80" s="46"/>
      <c r="K80" s="46"/>
      <c r="L80" s="47"/>
      <c r="M80" s="46"/>
    </row>
    <row r="81" spans="1:15" s="3" customFormat="1" ht="16.5" customHeight="1">
      <c r="A81" s="45"/>
      <c r="B81" s="46"/>
      <c r="C81" s="46"/>
      <c r="D81" s="46"/>
      <c r="E81" s="44"/>
      <c r="F81" s="46"/>
      <c r="G81" s="46"/>
      <c r="H81" s="46"/>
      <c r="I81" s="48"/>
      <c r="J81" s="48"/>
      <c r="K81" s="48"/>
      <c r="L81" s="47"/>
      <c r="M81" s="46"/>
    </row>
    <row r="82" spans="1:15" s="3" customFormat="1" ht="31.5" customHeight="1">
      <c r="A82" s="46" t="s">
        <v>46</v>
      </c>
      <c r="B82" s="578" t="s">
        <v>47</v>
      </c>
      <c r="C82" s="579"/>
      <c r="D82" s="578" t="s">
        <v>48</v>
      </c>
      <c r="E82" s="579"/>
      <c r="F82" s="578" t="s">
        <v>49</v>
      </c>
      <c r="G82" s="579"/>
      <c r="H82" s="578" t="s">
        <v>50</v>
      </c>
      <c r="I82" s="579"/>
      <c r="J82" s="578" t="s">
        <v>51</v>
      </c>
      <c r="K82" s="769"/>
      <c r="L82" s="579"/>
      <c r="M82" s="49"/>
    </row>
    <row r="83" spans="1:15" s="3" customFormat="1" ht="16.5" customHeight="1">
      <c r="A83" s="50"/>
      <c r="B83" s="583"/>
      <c r="C83" s="584"/>
      <c r="D83" s="587"/>
      <c r="E83" s="588"/>
      <c r="F83" s="665"/>
      <c r="G83" s="666"/>
      <c r="H83" s="665"/>
      <c r="I83" s="666"/>
      <c r="J83" s="587"/>
      <c r="K83" s="770"/>
      <c r="L83" s="588"/>
      <c r="M83" s="49"/>
    </row>
    <row r="84" spans="1:15" s="22" customFormat="1" ht="16.5" customHeight="1">
      <c r="A84" s="50"/>
      <c r="B84" s="585"/>
      <c r="C84" s="586"/>
      <c r="D84" s="589"/>
      <c r="E84" s="590"/>
      <c r="F84" s="667"/>
      <c r="G84" s="668"/>
      <c r="H84" s="667"/>
      <c r="I84" s="668"/>
      <c r="J84" s="589"/>
      <c r="K84" s="771"/>
      <c r="L84" s="590"/>
      <c r="M84" s="49"/>
    </row>
    <row r="85" spans="1:15" s="22" customFormat="1" ht="16.5" customHeight="1">
      <c r="A85" s="35"/>
      <c r="B85" s="27"/>
      <c r="C85" s="27"/>
      <c r="D85" s="27"/>
      <c r="E85" s="35"/>
      <c r="F85" s="58"/>
      <c r="G85" s="58"/>
      <c r="H85" s="58"/>
      <c r="I85" s="58"/>
      <c r="J85" s="68"/>
      <c r="K85" s="68"/>
      <c r="L85" s="68"/>
      <c r="M85" s="3"/>
    </row>
    <row r="86" spans="1:15" s="22" customFormat="1" ht="16.5" customHeight="1">
      <c r="A86" s="35" t="s">
        <v>53</v>
      </c>
      <c r="B86" s="27"/>
      <c r="C86" s="27"/>
      <c r="D86" s="35" t="s">
        <v>54</v>
      </c>
      <c r="F86" s="58"/>
      <c r="H86" s="35" t="s">
        <v>250</v>
      </c>
      <c r="I86" s="58"/>
      <c r="L86" s="68" t="s">
        <v>266</v>
      </c>
      <c r="M86" s="3"/>
    </row>
    <row r="87" spans="1:15" s="22" customFormat="1" ht="16.5" customHeight="1">
      <c r="A87" s="29"/>
      <c r="B87" s="29"/>
      <c r="C87" s="29"/>
      <c r="D87" s="29"/>
      <c r="E87" s="29"/>
      <c r="F87" s="29"/>
      <c r="H87" s="29"/>
      <c r="I87" s="29"/>
      <c r="J87" s="3"/>
      <c r="K87" s="3"/>
      <c r="L87" s="3"/>
      <c r="M87" s="3"/>
    </row>
    <row r="88" spans="1:15" s="22" customFormat="1" ht="16.5" customHeight="1">
      <c r="A88" s="673" t="s">
        <v>371</v>
      </c>
      <c r="B88" s="673"/>
      <c r="C88" s="318"/>
      <c r="D88" s="674" t="s">
        <v>296</v>
      </c>
      <c r="E88" s="674"/>
      <c r="F88" s="674"/>
      <c r="H88" s="675" t="s">
        <v>247</v>
      </c>
      <c r="I88" s="675"/>
      <c r="J88" s="675"/>
      <c r="K88" s="416"/>
      <c r="L88" s="768"/>
      <c r="M88" s="768"/>
      <c r="O88" s="218"/>
    </row>
    <row r="89" spans="1:15" s="3" customFormat="1" ht="16.5" customHeight="1">
      <c r="A89" s="663" t="s">
        <v>59</v>
      </c>
      <c r="B89" s="663"/>
      <c r="C89" s="319"/>
      <c r="D89" s="664" t="s">
        <v>60</v>
      </c>
      <c r="E89" s="664"/>
      <c r="F89" s="664"/>
      <c r="H89" s="663" t="s">
        <v>252</v>
      </c>
      <c r="I89" s="663"/>
      <c r="J89" s="663"/>
      <c r="K89" s="416"/>
      <c r="L89" s="320" t="s">
        <v>253</v>
      </c>
      <c r="M89" s="320"/>
    </row>
    <row r="90" spans="1:15" s="3" customFormat="1" ht="16.5" customHeight="1">
      <c r="A90" s="416"/>
      <c r="B90" s="416"/>
      <c r="C90" s="319"/>
      <c r="D90" s="417"/>
      <c r="E90" s="417"/>
      <c r="F90" s="417"/>
      <c r="H90" s="416"/>
      <c r="I90" s="416"/>
      <c r="J90" s="416"/>
      <c r="K90" s="416"/>
      <c r="L90" s="320"/>
      <c r="M90" s="320"/>
    </row>
    <row r="91" spans="1:15" s="3" customFormat="1" ht="16.5" customHeight="1">
      <c r="A91" s="37"/>
      <c r="B91" s="27"/>
      <c r="C91" s="27"/>
      <c r="D91" s="27"/>
      <c r="E91" s="27"/>
      <c r="F91" s="29"/>
      <c r="G91" s="29"/>
      <c r="H91" s="29"/>
      <c r="I91" s="29"/>
      <c r="J91" s="29"/>
      <c r="K91" s="29"/>
    </row>
    <row r="92" spans="1:15" s="3" customFormat="1" ht="16.5" customHeight="1">
      <c r="A92" s="37"/>
      <c r="B92" s="27"/>
      <c r="C92" s="27"/>
      <c r="D92" s="27"/>
      <c r="E92" s="27"/>
      <c r="F92" s="29"/>
      <c r="G92" s="29"/>
      <c r="H92" s="29"/>
      <c r="I92" s="29"/>
      <c r="J92" s="29"/>
      <c r="K92" s="29"/>
      <c r="O92" s="3" t="s">
        <v>523</v>
      </c>
    </row>
    <row r="93" spans="1:15" s="3" customFormat="1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5" s="3" customFormat="1" ht="16.5" customHeight="1">
      <c r="A94" s="40"/>
      <c r="B94" s="40"/>
      <c r="C94" s="40"/>
      <c r="D94" s="40"/>
      <c r="E94" s="40"/>
      <c r="F94" s="1"/>
      <c r="G94" s="1"/>
      <c r="H94" s="1"/>
      <c r="I94" s="1"/>
      <c r="J94" s="1"/>
      <c r="K94" s="1"/>
      <c r="L94" s="1"/>
      <c r="M94" s="1"/>
    </row>
    <row r="95" spans="1:15" s="3" customFormat="1" ht="16.5" customHeight="1">
      <c r="A95" s="21" t="s">
        <v>0</v>
      </c>
      <c r="B95" s="554"/>
      <c r="C95" s="554"/>
      <c r="D95" s="554"/>
      <c r="E95" s="554"/>
      <c r="F95" s="554"/>
      <c r="G95" s="554"/>
      <c r="H95" s="554"/>
      <c r="I95" s="16"/>
      <c r="J95" s="22"/>
      <c r="K95" s="22"/>
      <c r="L95" s="555"/>
      <c r="M95" s="555"/>
    </row>
    <row r="96" spans="1:15" s="3" customFormat="1" ht="15" customHeight="1">
      <c r="A96" s="21" t="s">
        <v>2</v>
      </c>
      <c r="B96" s="556" t="s">
        <v>269</v>
      </c>
      <c r="C96" s="556"/>
      <c r="D96" s="556"/>
      <c r="E96" s="556"/>
      <c r="F96" s="556"/>
      <c r="G96" s="556"/>
      <c r="H96" s="556"/>
      <c r="I96" s="16"/>
      <c r="J96" s="22"/>
      <c r="K96" s="22"/>
      <c r="L96" s="555"/>
      <c r="M96" s="555"/>
    </row>
    <row r="97" spans="1:13" s="3" customFormat="1" ht="15" customHeight="1">
      <c r="A97" s="69"/>
      <c r="B97" s="554" t="s">
        <v>270</v>
      </c>
      <c r="C97" s="554"/>
      <c r="D97" s="554"/>
      <c r="E97" s="554"/>
      <c r="F97" s="554"/>
      <c r="G97" s="554"/>
      <c r="H97" s="554"/>
      <c r="I97" s="21" t="s">
        <v>5</v>
      </c>
      <c r="J97" s="22"/>
      <c r="K97" s="22"/>
      <c r="L97" s="557" t="s">
        <v>271</v>
      </c>
      <c r="M97" s="557"/>
    </row>
    <row r="98" spans="1:13" s="3" customFormat="1" ht="15" customHeight="1">
      <c r="A98" s="22" t="s">
        <v>10</v>
      </c>
      <c r="B98" s="556" t="s">
        <v>272</v>
      </c>
      <c r="C98" s="556"/>
      <c r="D98" s="556"/>
      <c r="E98" s="556"/>
      <c r="F98" s="556"/>
      <c r="G98" s="556"/>
      <c r="H98" s="556"/>
      <c r="I98" s="21" t="s">
        <v>8</v>
      </c>
      <c r="J98" s="21"/>
      <c r="K98" s="21"/>
      <c r="L98" s="669" t="s">
        <v>273</v>
      </c>
      <c r="M98" s="669"/>
    </row>
    <row r="99" spans="1:13" s="3" customFormat="1" ht="15" customHeight="1">
      <c r="A99" s="22"/>
      <c r="B99" s="16"/>
      <c r="C99" s="16"/>
      <c r="D99" s="16"/>
      <c r="E99" s="16"/>
      <c r="F99" s="16"/>
      <c r="G99" s="16"/>
      <c r="H99" s="16"/>
      <c r="I99" s="16"/>
      <c r="J99" s="59"/>
      <c r="K99" s="59"/>
      <c r="L99" s="404"/>
      <c r="M99" s="404"/>
    </row>
    <row r="100" spans="1:13" s="3" customFormat="1" ht="15" customHeight="1">
      <c r="A100" s="24" t="s">
        <v>12</v>
      </c>
      <c r="L100" s="555"/>
      <c r="M100" s="555"/>
    </row>
    <row r="101" spans="1:13" s="3" customFormat="1" ht="17.399999999999999">
      <c r="A101" s="552" t="s">
        <v>13</v>
      </c>
      <c r="B101" s="552" t="s">
        <v>14</v>
      </c>
      <c r="C101" s="552"/>
      <c r="D101" s="552"/>
      <c r="E101" s="552"/>
      <c r="F101" s="552"/>
      <c r="G101" s="552" t="s">
        <v>15</v>
      </c>
      <c r="H101" s="552"/>
      <c r="I101" s="552"/>
      <c r="J101" s="553" t="s">
        <v>16</v>
      </c>
      <c r="K101" s="553"/>
      <c r="L101" s="553"/>
      <c r="M101" s="552" t="s">
        <v>17</v>
      </c>
    </row>
    <row r="102" spans="1:13" s="3" customFormat="1" ht="21.9" customHeight="1">
      <c r="A102" s="552"/>
      <c r="B102" s="552"/>
      <c r="C102" s="552"/>
      <c r="D102" s="552"/>
      <c r="E102" s="552"/>
      <c r="F102" s="552"/>
      <c r="G102" s="552"/>
      <c r="H102" s="552"/>
      <c r="I102" s="552"/>
      <c r="J102" s="403" t="s">
        <v>18</v>
      </c>
      <c r="K102" s="403"/>
      <c r="L102" s="20" t="s">
        <v>19</v>
      </c>
      <c r="M102" s="552"/>
    </row>
    <row r="103" spans="1:13" s="3" customFormat="1" ht="21.9" customHeight="1">
      <c r="A103" s="405"/>
      <c r="B103" s="558"/>
      <c r="C103" s="558"/>
      <c r="D103" s="558"/>
      <c r="E103" s="558"/>
      <c r="F103" s="558"/>
      <c r="G103" s="559"/>
      <c r="H103" s="559"/>
      <c r="I103" s="559"/>
      <c r="J103" s="216"/>
      <c r="K103" s="216"/>
      <c r="L103" s="53"/>
      <c r="M103" s="413"/>
    </row>
    <row r="104" spans="1:13" s="3" customFormat="1" ht="21.9" customHeight="1">
      <c r="A104" s="215"/>
      <c r="B104" s="558"/>
      <c r="C104" s="558"/>
      <c r="D104" s="558"/>
      <c r="E104" s="558"/>
      <c r="F104" s="558"/>
      <c r="G104" s="559"/>
      <c r="H104" s="559"/>
      <c r="I104" s="559"/>
      <c r="J104" s="216"/>
      <c r="K104" s="216"/>
      <c r="L104" s="53"/>
      <c r="M104" s="413"/>
    </row>
    <row r="105" spans="1:13" s="3" customFormat="1" ht="21.9" customHeight="1">
      <c r="A105" s="215"/>
      <c r="B105" s="558"/>
      <c r="C105" s="558"/>
      <c r="D105" s="558"/>
      <c r="E105" s="558"/>
      <c r="F105" s="558"/>
      <c r="G105" s="559"/>
      <c r="H105" s="559"/>
      <c r="I105" s="559"/>
      <c r="J105" s="216"/>
      <c r="K105" s="216"/>
      <c r="L105" s="53"/>
      <c r="M105" s="413"/>
    </row>
    <row r="106" spans="1:13" s="3" customFormat="1" ht="21.9" customHeight="1">
      <c r="A106" s="215"/>
      <c r="B106" s="558"/>
      <c r="C106" s="558"/>
      <c r="D106" s="558"/>
      <c r="E106" s="558"/>
      <c r="F106" s="558"/>
      <c r="G106" s="559"/>
      <c r="H106" s="559"/>
      <c r="I106" s="559"/>
      <c r="J106" s="216"/>
      <c r="K106" s="216"/>
      <c r="L106" s="53"/>
      <c r="M106" s="413"/>
    </row>
    <row r="107" spans="1:13" s="3" customFormat="1" ht="21.9" customHeight="1">
      <c r="A107" s="215"/>
      <c r="B107" s="558"/>
      <c r="C107" s="558"/>
      <c r="D107" s="558"/>
      <c r="E107" s="558"/>
      <c r="F107" s="558"/>
      <c r="G107" s="559"/>
      <c r="H107" s="559"/>
      <c r="I107" s="559"/>
      <c r="J107" s="53"/>
      <c r="K107" s="53"/>
      <c r="L107" s="53"/>
      <c r="M107" s="413"/>
    </row>
    <row r="108" spans="1:13" s="3" customFormat="1" ht="21.9" customHeight="1">
      <c r="A108" s="54"/>
      <c r="B108" s="558"/>
      <c r="C108" s="558"/>
      <c r="D108" s="558"/>
      <c r="E108" s="558"/>
      <c r="F108" s="558"/>
      <c r="G108" s="559"/>
      <c r="H108" s="559"/>
      <c r="I108" s="559"/>
      <c r="J108" s="53"/>
      <c r="K108" s="53"/>
      <c r="L108" s="53"/>
      <c r="M108" s="413"/>
    </row>
    <row r="109" spans="1:13" s="3" customFormat="1" ht="21.9" customHeight="1">
      <c r="A109" s="54"/>
      <c r="B109" s="562"/>
      <c r="C109" s="562"/>
      <c r="D109" s="562"/>
      <c r="E109" s="562"/>
      <c r="F109" s="562"/>
      <c r="G109" s="559"/>
      <c r="H109" s="559"/>
      <c r="I109" s="559"/>
      <c r="J109" s="53"/>
      <c r="K109" s="53"/>
      <c r="L109" s="53"/>
      <c r="M109" s="413"/>
    </row>
    <row r="110" spans="1:13" s="3" customFormat="1" ht="21.9" customHeight="1">
      <c r="A110" s="54"/>
      <c r="B110" s="562"/>
      <c r="C110" s="562"/>
      <c r="D110" s="562"/>
      <c r="E110" s="562"/>
      <c r="F110" s="562"/>
      <c r="G110" s="559"/>
      <c r="H110" s="559"/>
      <c r="I110" s="559"/>
      <c r="J110" s="53"/>
      <c r="K110" s="53"/>
      <c r="L110" s="53"/>
      <c r="M110" s="413"/>
    </row>
    <row r="111" spans="1:13" s="3" customFormat="1" ht="21.9" customHeight="1">
      <c r="A111" s="61"/>
      <c r="B111" s="562"/>
      <c r="C111" s="562"/>
      <c r="D111" s="562"/>
      <c r="E111" s="562"/>
      <c r="F111" s="562"/>
      <c r="G111" s="559"/>
      <c r="H111" s="559"/>
      <c r="I111" s="559"/>
      <c r="J111" s="53"/>
      <c r="K111" s="53"/>
      <c r="L111" s="53"/>
      <c r="M111" s="413"/>
    </row>
    <row r="112" spans="1:13" s="3" customFormat="1" ht="21.9" customHeight="1">
      <c r="A112" s="61"/>
      <c r="B112" s="562"/>
      <c r="C112" s="562"/>
      <c r="D112" s="562"/>
      <c r="E112" s="562"/>
      <c r="F112" s="562"/>
      <c r="G112" s="559"/>
      <c r="H112" s="559"/>
      <c r="I112" s="559"/>
      <c r="J112" s="53"/>
      <c r="K112" s="53"/>
      <c r="L112" s="53"/>
      <c r="M112" s="413"/>
    </row>
    <row r="113" spans="1:13" s="3" customFormat="1" ht="21.9" customHeight="1">
      <c r="A113" s="61"/>
      <c r="B113" s="562"/>
      <c r="C113" s="562"/>
      <c r="D113" s="562"/>
      <c r="E113" s="562"/>
      <c r="F113" s="562"/>
      <c r="G113" s="559"/>
      <c r="H113" s="559"/>
      <c r="I113" s="559"/>
      <c r="J113" s="53"/>
      <c r="K113" s="53"/>
      <c r="L113" s="53"/>
      <c r="M113" s="413"/>
    </row>
    <row r="114" spans="1:13" s="3" customFormat="1" ht="21.9" customHeight="1">
      <c r="A114" s="61"/>
      <c r="B114" s="562"/>
      <c r="C114" s="562"/>
      <c r="D114" s="562"/>
      <c r="E114" s="562"/>
      <c r="F114" s="562"/>
      <c r="G114" s="559"/>
      <c r="H114" s="559"/>
      <c r="I114" s="559"/>
      <c r="J114" s="53"/>
      <c r="K114" s="53"/>
      <c r="L114" s="53"/>
      <c r="M114" s="413"/>
    </row>
    <row r="115" spans="1:13" s="3" customFormat="1" ht="21.9" customHeight="1">
      <c r="A115" s="61"/>
      <c r="B115" s="562"/>
      <c r="C115" s="562"/>
      <c r="D115" s="562"/>
      <c r="E115" s="562"/>
      <c r="F115" s="562"/>
      <c r="G115" s="559"/>
      <c r="H115" s="559"/>
      <c r="I115" s="559"/>
      <c r="J115" s="53"/>
      <c r="K115" s="53"/>
      <c r="L115" s="53"/>
      <c r="M115" s="413"/>
    </row>
    <row r="116" spans="1:13" s="3" customFormat="1" ht="21.9" customHeight="1">
      <c r="A116" s="61"/>
      <c r="B116" s="562"/>
      <c r="C116" s="562"/>
      <c r="D116" s="562"/>
      <c r="E116" s="562"/>
      <c r="F116" s="562"/>
      <c r="G116" s="559"/>
      <c r="H116" s="559"/>
      <c r="I116" s="559"/>
      <c r="J116" s="53"/>
      <c r="K116" s="53"/>
      <c r="L116" s="53"/>
      <c r="M116" s="413"/>
    </row>
    <row r="117" spans="1:13" s="3" customFormat="1" ht="21.9" customHeight="1">
      <c r="A117" s="61"/>
      <c r="B117" s="562"/>
      <c r="C117" s="562"/>
      <c r="D117" s="562"/>
      <c r="E117" s="562"/>
      <c r="F117" s="562"/>
      <c r="G117" s="559"/>
      <c r="H117" s="559"/>
      <c r="I117" s="559"/>
      <c r="J117" s="53"/>
      <c r="K117" s="53"/>
      <c r="L117" s="53"/>
      <c r="M117" s="413"/>
    </row>
    <row r="118" spans="1:13" s="3" customFormat="1" ht="21.9" customHeight="1">
      <c r="A118" s="61"/>
      <c r="B118" s="562"/>
      <c r="C118" s="562"/>
      <c r="D118" s="562"/>
      <c r="E118" s="562"/>
      <c r="F118" s="562"/>
      <c r="G118" s="559"/>
      <c r="H118" s="559"/>
      <c r="I118" s="559"/>
      <c r="J118" s="53"/>
      <c r="K118" s="53"/>
      <c r="L118" s="53"/>
      <c r="M118" s="413"/>
    </row>
    <row r="119" spans="1:13" s="3" customFormat="1" ht="21.9" customHeight="1">
      <c r="A119" s="61"/>
      <c r="B119" s="562"/>
      <c r="C119" s="562"/>
      <c r="D119" s="562"/>
      <c r="E119" s="562"/>
      <c r="F119" s="562"/>
      <c r="G119" s="559"/>
      <c r="H119" s="559"/>
      <c r="I119" s="559"/>
      <c r="J119" s="53"/>
      <c r="K119" s="53"/>
      <c r="L119" s="53"/>
      <c r="M119" s="413"/>
    </row>
    <row r="120" spans="1:13" s="3" customFormat="1" ht="21.9" customHeight="1">
      <c r="A120" s="61"/>
      <c r="B120" s="562"/>
      <c r="C120" s="562"/>
      <c r="D120" s="562"/>
      <c r="E120" s="562"/>
      <c r="F120" s="562"/>
      <c r="G120" s="559"/>
      <c r="H120" s="559"/>
      <c r="I120" s="559"/>
      <c r="J120" s="53"/>
      <c r="K120" s="53"/>
      <c r="L120" s="53"/>
      <c r="M120" s="413"/>
    </row>
    <row r="121" spans="1:13" s="3" customFormat="1" ht="21.9" customHeight="1">
      <c r="A121" s="61"/>
      <c r="B121" s="562"/>
      <c r="C121" s="562"/>
      <c r="D121" s="562"/>
      <c r="E121" s="562"/>
      <c r="F121" s="562"/>
      <c r="G121" s="559"/>
      <c r="H121" s="559"/>
      <c r="I121" s="559"/>
      <c r="J121" s="53"/>
      <c r="K121" s="53"/>
      <c r="L121" s="53"/>
      <c r="M121" s="413"/>
    </row>
    <row r="122" spans="1:13" s="3" customFormat="1" ht="21.9" customHeight="1">
      <c r="A122" s="61"/>
      <c r="B122" s="562"/>
      <c r="C122" s="562"/>
      <c r="D122" s="562"/>
      <c r="E122" s="562"/>
      <c r="F122" s="562"/>
      <c r="G122" s="559"/>
      <c r="H122" s="559"/>
      <c r="I122" s="559"/>
      <c r="J122" s="53"/>
      <c r="K122" s="53"/>
      <c r="L122" s="53"/>
      <c r="M122" s="413"/>
    </row>
    <row r="123" spans="1:13" s="3" customFormat="1" ht="21.9" customHeight="1">
      <c r="A123" s="407"/>
      <c r="B123" s="566"/>
      <c r="C123" s="566"/>
      <c r="D123" s="566"/>
      <c r="E123" s="566"/>
      <c r="F123" s="566"/>
      <c r="G123" s="407"/>
      <c r="H123" s="41"/>
      <c r="I123" s="41"/>
      <c r="J123" s="42"/>
      <c r="K123" s="42"/>
      <c r="L123" s="43"/>
    </row>
    <row r="124" spans="1:13" s="3" customFormat="1" ht="21.9" customHeight="1">
      <c r="A124" s="26" t="s">
        <v>23</v>
      </c>
      <c r="B124" s="409"/>
      <c r="C124" s="409"/>
      <c r="D124" s="409"/>
      <c r="E124" s="409"/>
      <c r="F124" s="17"/>
      <c r="G124" s="17"/>
      <c r="H124" s="17"/>
      <c r="I124" s="17"/>
      <c r="J124" s="17"/>
      <c r="K124" s="17"/>
    </row>
    <row r="125" spans="1:13" s="3" customFormat="1" ht="21.9" customHeight="1">
      <c r="A125" s="19" t="s">
        <v>13</v>
      </c>
      <c r="B125" s="567" t="s">
        <v>14</v>
      </c>
      <c r="C125" s="567"/>
      <c r="D125" s="567"/>
      <c r="E125" s="567"/>
      <c r="F125" s="567"/>
      <c r="G125" s="568" t="s">
        <v>24</v>
      </c>
      <c r="H125" s="568"/>
      <c r="I125" s="408" t="s">
        <v>17</v>
      </c>
      <c r="J125" s="403" t="s">
        <v>25</v>
      </c>
      <c r="K125" s="403"/>
      <c r="L125" s="403" t="s">
        <v>26</v>
      </c>
      <c r="M125" s="403" t="s">
        <v>27</v>
      </c>
    </row>
    <row r="126" spans="1:13" s="3" customFormat="1" ht="21.9" customHeight="1">
      <c r="A126" s="317"/>
      <c r="B126" s="563"/>
      <c r="C126" s="563"/>
      <c r="D126" s="563"/>
      <c r="E126" s="563"/>
      <c r="F126" s="563"/>
      <c r="G126" s="564"/>
      <c r="H126" s="564"/>
      <c r="I126" s="406"/>
      <c r="J126" s="406"/>
      <c r="K126" s="406"/>
      <c r="L126" s="413"/>
      <c r="M126" s="413"/>
    </row>
    <row r="127" spans="1:13" s="3" customFormat="1" ht="21.9" customHeight="1">
      <c r="A127" s="405"/>
      <c r="B127" s="563"/>
      <c r="C127" s="563"/>
      <c r="D127" s="563"/>
      <c r="E127" s="563"/>
      <c r="F127" s="563"/>
      <c r="G127" s="564"/>
      <c r="H127" s="564"/>
      <c r="I127" s="406"/>
      <c r="J127" s="406"/>
      <c r="K127" s="406"/>
      <c r="L127" s="413"/>
      <c r="M127" s="413"/>
    </row>
    <row r="128" spans="1:13" s="3" customFormat="1" ht="21.9" customHeight="1">
      <c r="A128" s="405"/>
      <c r="B128" s="563"/>
      <c r="C128" s="563"/>
      <c r="D128" s="563"/>
      <c r="E128" s="563"/>
      <c r="F128" s="563"/>
      <c r="G128" s="564"/>
      <c r="H128" s="564"/>
      <c r="I128" s="406"/>
      <c r="J128" s="406"/>
      <c r="K128" s="406"/>
      <c r="L128" s="413"/>
      <c r="M128" s="413"/>
    </row>
    <row r="129" spans="1:13" s="3" customFormat="1" ht="21.9" customHeight="1">
      <c r="A129" s="405"/>
      <c r="B129" s="563"/>
      <c r="C129" s="563"/>
      <c r="D129" s="563"/>
      <c r="E129" s="563"/>
      <c r="F129" s="563"/>
      <c r="G129" s="564"/>
      <c r="H129" s="564"/>
      <c r="I129" s="406"/>
      <c r="J129" s="406"/>
      <c r="K129" s="406"/>
      <c r="L129" s="413"/>
      <c r="M129" s="413"/>
    </row>
    <row r="130" spans="1:13" s="3" customFormat="1" ht="21.9" customHeight="1">
      <c r="A130" s="32"/>
      <c r="B130" s="565"/>
      <c r="C130" s="565"/>
      <c r="D130" s="565"/>
      <c r="E130" s="565"/>
      <c r="F130" s="565"/>
      <c r="G130" s="565"/>
      <c r="H130" s="565"/>
      <c r="I130" s="565"/>
      <c r="J130" s="17"/>
      <c r="K130" s="17"/>
    </row>
    <row r="131" spans="1:13" s="3" customFormat="1" ht="21.9" customHeight="1">
      <c r="A131" s="34" t="s">
        <v>28</v>
      </c>
      <c r="B131" s="34"/>
      <c r="C131" s="34"/>
      <c r="D131" s="34"/>
      <c r="E131" s="34"/>
      <c r="F131" s="17"/>
      <c r="G131" s="38"/>
      <c r="H131" s="36" t="s">
        <v>29</v>
      </c>
      <c r="I131" s="34"/>
      <c r="J131" s="34"/>
      <c r="K131" s="34"/>
      <c r="L131" s="34"/>
      <c r="M131" s="34"/>
    </row>
    <row r="132" spans="1:13" s="3" customFormat="1" ht="21.9" customHeight="1">
      <c r="A132" s="569"/>
      <c r="B132" s="569"/>
      <c r="C132" s="569"/>
      <c r="D132" s="569"/>
      <c r="E132" s="569"/>
      <c r="F132" s="569"/>
      <c r="G132" s="410"/>
      <c r="H132" s="569"/>
      <c r="I132" s="569"/>
      <c r="J132" s="569"/>
      <c r="K132" s="569"/>
      <c r="L132" s="569"/>
      <c r="M132" s="569"/>
    </row>
    <row r="133" spans="1:13" s="3" customFormat="1" ht="21.9" customHeight="1">
      <c r="A133" s="571"/>
      <c r="B133" s="571"/>
      <c r="C133" s="571"/>
      <c r="D133" s="571"/>
      <c r="E133" s="571"/>
      <c r="F133" s="571"/>
      <c r="G133" s="410"/>
      <c r="H133" s="569"/>
      <c r="I133" s="569"/>
      <c r="J133" s="569"/>
      <c r="K133" s="569"/>
      <c r="L133" s="569"/>
      <c r="M133" s="569"/>
    </row>
    <row r="134" spans="1:13" s="3" customFormat="1" ht="21.9" customHeight="1">
      <c r="A134" s="571"/>
      <c r="B134" s="571"/>
      <c r="C134" s="571"/>
      <c r="D134" s="571"/>
      <c r="E134" s="571"/>
      <c r="F134" s="571"/>
      <c r="G134" s="57"/>
      <c r="H134" s="569"/>
      <c r="I134" s="569"/>
      <c r="J134" s="569"/>
      <c r="K134" s="569"/>
      <c r="L134" s="569"/>
      <c r="M134" s="569"/>
    </row>
    <row r="135" spans="1:13" s="3" customFormat="1" ht="21.9" customHeight="1">
      <c r="A135" s="569"/>
      <c r="B135" s="569"/>
      <c r="C135" s="569"/>
      <c r="D135" s="569"/>
      <c r="E135" s="569"/>
      <c r="F135" s="569"/>
      <c r="G135" s="57"/>
      <c r="H135" s="569"/>
      <c r="I135" s="569"/>
      <c r="J135" s="569"/>
      <c r="K135" s="569"/>
      <c r="L135" s="569"/>
      <c r="M135" s="569"/>
    </row>
    <row r="136" spans="1:13" s="3" customFormat="1" ht="21.9" customHeight="1">
      <c r="A136" s="570"/>
      <c r="B136" s="570"/>
      <c r="C136" s="570"/>
      <c r="D136" s="570"/>
      <c r="E136" s="570"/>
      <c r="F136" s="570"/>
      <c r="G136" s="39"/>
      <c r="H136" s="569"/>
      <c r="I136" s="569"/>
      <c r="J136" s="569"/>
      <c r="K136" s="569"/>
      <c r="L136" s="569"/>
      <c r="M136" s="569"/>
    </row>
    <row r="137" spans="1:13" s="3" customFormat="1" ht="21.9" customHeight="1">
      <c r="A137" s="571"/>
      <c r="B137" s="571"/>
      <c r="C137" s="571"/>
      <c r="D137" s="571"/>
      <c r="E137" s="571"/>
      <c r="F137" s="571"/>
      <c r="G137" s="410"/>
      <c r="H137" s="569"/>
      <c r="I137" s="569"/>
      <c r="J137" s="569"/>
      <c r="K137" s="569"/>
      <c r="L137" s="569"/>
      <c r="M137" s="569"/>
    </row>
    <row r="138" spans="1:13" s="3" customFormat="1" ht="21.9" customHeight="1">
      <c r="A138" s="571"/>
      <c r="B138" s="571"/>
      <c r="C138" s="571"/>
      <c r="D138" s="571"/>
      <c r="E138" s="571"/>
      <c r="F138" s="571"/>
      <c r="G138" s="57"/>
      <c r="H138" s="569"/>
      <c r="I138" s="569"/>
      <c r="J138" s="569"/>
      <c r="K138" s="569"/>
      <c r="L138" s="569"/>
      <c r="M138" s="569"/>
    </row>
    <row r="139" spans="1:13" s="3" customFormat="1" ht="21.9" customHeight="1">
      <c r="A139" s="571"/>
      <c r="B139" s="571"/>
      <c r="C139" s="571"/>
      <c r="D139" s="571"/>
      <c r="E139" s="571"/>
      <c r="F139" s="571"/>
      <c r="G139" s="410"/>
      <c r="H139" s="569"/>
      <c r="I139" s="569"/>
      <c r="J139" s="569"/>
      <c r="K139" s="569"/>
      <c r="L139" s="569"/>
      <c r="M139" s="569"/>
    </row>
    <row r="140" spans="1:13" s="3" customFormat="1" ht="21.9" customHeight="1">
      <c r="A140" s="571"/>
      <c r="B140" s="571"/>
      <c r="C140" s="571"/>
      <c r="D140" s="571"/>
      <c r="E140" s="571"/>
      <c r="F140" s="571"/>
      <c r="G140" s="410"/>
      <c r="H140" s="569"/>
      <c r="I140" s="569"/>
      <c r="J140" s="569"/>
      <c r="K140" s="569"/>
      <c r="L140" s="569"/>
      <c r="M140" s="569"/>
    </row>
    <row r="141" spans="1:13" s="3" customFormat="1" ht="21.9" customHeight="1">
      <c r="A141" s="571"/>
      <c r="B141" s="571"/>
      <c r="C141" s="571"/>
      <c r="D141" s="571"/>
      <c r="E141" s="571"/>
      <c r="F141" s="571"/>
      <c r="G141" s="57"/>
      <c r="H141" s="569"/>
      <c r="I141" s="569"/>
      <c r="J141" s="569"/>
      <c r="K141" s="569"/>
      <c r="L141" s="569"/>
      <c r="M141" s="569"/>
    </row>
    <row r="142" spans="1:13" s="3" customFormat="1" ht="21.9" customHeight="1">
      <c r="A142" s="572"/>
      <c r="B142" s="572"/>
      <c r="C142" s="572"/>
      <c r="D142" s="572"/>
      <c r="E142" s="572"/>
      <c r="F142" s="572"/>
      <c r="G142" s="57"/>
      <c r="H142" s="572"/>
      <c r="I142" s="572"/>
      <c r="J142" s="572"/>
      <c r="K142" s="572"/>
      <c r="L142" s="572"/>
      <c r="M142" s="572"/>
    </row>
    <row r="143" spans="1:13" s="3" customFormat="1" ht="21.9" customHeight="1">
      <c r="A143" s="70" t="s">
        <v>34</v>
      </c>
      <c r="B143" s="5"/>
      <c r="C143" s="4"/>
      <c r="H143" s="573" t="s">
        <v>35</v>
      </c>
      <c r="I143" s="573"/>
      <c r="J143" s="573"/>
      <c r="K143" s="411"/>
      <c r="L143" s="573" t="s">
        <v>36</v>
      </c>
      <c r="M143" s="573"/>
    </row>
    <row r="144" spans="1:13" s="3" customFormat="1" ht="21.9" customHeight="1">
      <c r="A144" s="576"/>
      <c r="B144" s="576"/>
      <c r="C144" s="576"/>
      <c r="D144" s="576"/>
      <c r="E144" s="576"/>
      <c r="F144" s="576"/>
      <c r="G144" s="71"/>
      <c r="H144" s="577" t="s">
        <v>14</v>
      </c>
      <c r="I144" s="577"/>
      <c r="J144" s="414" t="s">
        <v>24</v>
      </c>
      <c r="K144" s="414"/>
      <c r="L144" s="414" t="s">
        <v>14</v>
      </c>
      <c r="M144" s="414" t="s">
        <v>24</v>
      </c>
    </row>
    <row r="145" spans="1:13" s="3" customFormat="1" ht="21.9" customHeight="1">
      <c r="A145" s="574"/>
      <c r="B145" s="574"/>
      <c r="C145" s="574"/>
      <c r="D145" s="574"/>
      <c r="E145" s="574"/>
      <c r="F145" s="574"/>
      <c r="G145" s="72"/>
      <c r="H145" s="575"/>
      <c r="I145" s="575"/>
      <c r="J145" s="413"/>
      <c r="K145" s="413"/>
      <c r="L145" s="76"/>
      <c r="M145" s="413"/>
    </row>
    <row r="146" spans="1:13" s="3" customFormat="1" ht="21.9" customHeight="1">
      <c r="A146" s="574"/>
      <c r="B146" s="574"/>
      <c r="C146" s="574"/>
      <c r="D146" s="574"/>
      <c r="E146" s="574"/>
      <c r="F146" s="574"/>
      <c r="G146" s="72"/>
      <c r="H146" s="575"/>
      <c r="I146" s="575"/>
      <c r="J146" s="413"/>
      <c r="K146" s="413"/>
      <c r="L146" s="76"/>
      <c r="M146" s="413"/>
    </row>
    <row r="147" spans="1:13" s="3" customFormat="1" ht="21.9" customHeight="1">
      <c r="A147" s="574"/>
      <c r="B147" s="574"/>
      <c r="C147" s="574"/>
      <c r="D147" s="574"/>
      <c r="E147" s="574"/>
      <c r="F147" s="574"/>
      <c r="G147" s="72"/>
      <c r="H147" s="575"/>
      <c r="I147" s="575"/>
      <c r="J147" s="413"/>
      <c r="K147" s="413"/>
      <c r="L147" s="76"/>
      <c r="M147" s="413"/>
    </row>
    <row r="148" spans="1:13" s="3" customFormat="1" ht="21.9" customHeight="1">
      <c r="A148" s="574"/>
      <c r="B148" s="574"/>
      <c r="C148" s="574"/>
      <c r="D148" s="574"/>
      <c r="E148" s="574"/>
      <c r="F148" s="574"/>
      <c r="G148" s="72"/>
      <c r="H148" s="575"/>
      <c r="I148" s="575"/>
      <c r="J148" s="413"/>
      <c r="K148" s="413"/>
      <c r="L148" s="76"/>
      <c r="M148" s="413"/>
    </row>
    <row r="149" spans="1:13" s="3" customFormat="1" ht="21.9" customHeight="1">
      <c r="A149" s="574"/>
      <c r="B149" s="574"/>
      <c r="C149" s="574"/>
      <c r="D149" s="574"/>
      <c r="E149" s="574"/>
      <c r="F149" s="574"/>
      <c r="G149" s="72"/>
      <c r="H149" s="575"/>
      <c r="I149" s="575"/>
      <c r="J149" s="413"/>
      <c r="K149" s="413"/>
      <c r="L149" s="77"/>
      <c r="M149" s="413"/>
    </row>
    <row r="150" spans="1:13" s="3" customFormat="1" ht="21.9" customHeight="1">
      <c r="A150" s="574"/>
      <c r="B150" s="574"/>
      <c r="C150" s="574"/>
      <c r="D150" s="574"/>
      <c r="E150" s="574"/>
      <c r="F150" s="574"/>
      <c r="G150" s="72"/>
      <c r="H150" s="575"/>
      <c r="I150" s="575"/>
      <c r="J150" s="73"/>
      <c r="K150" s="72"/>
      <c r="M150" s="73"/>
    </row>
    <row r="151" spans="1:13" s="3" customFormat="1" ht="21.9" customHeight="1">
      <c r="A151" s="574"/>
      <c r="B151" s="574"/>
      <c r="C151" s="574"/>
      <c r="D151" s="574"/>
      <c r="E151" s="574"/>
      <c r="F151" s="574"/>
      <c r="G151" s="72"/>
      <c r="H151" s="575"/>
      <c r="I151" s="575"/>
      <c r="J151" s="73"/>
      <c r="K151" s="73"/>
      <c r="L151" s="77"/>
      <c r="M151" s="73"/>
    </row>
    <row r="152" spans="1:13" s="3" customFormat="1" ht="21.9" customHeight="1">
      <c r="A152" s="574"/>
      <c r="B152" s="574"/>
      <c r="C152" s="574"/>
      <c r="D152" s="574"/>
      <c r="E152" s="574"/>
      <c r="F152" s="574"/>
      <c r="G152" s="72"/>
      <c r="H152" s="575"/>
      <c r="I152" s="575"/>
      <c r="J152" s="73"/>
      <c r="K152" s="73"/>
      <c r="L152" s="77"/>
      <c r="M152" s="73"/>
    </row>
    <row r="153" spans="1:13" s="3" customFormat="1" ht="21.9" customHeight="1">
      <c r="A153" s="574"/>
      <c r="B153" s="574"/>
      <c r="C153" s="574"/>
      <c r="D153" s="574"/>
      <c r="E153" s="574"/>
      <c r="F153" s="574"/>
      <c r="G153" s="72"/>
      <c r="H153" s="575"/>
      <c r="I153" s="575"/>
      <c r="J153" s="73"/>
      <c r="K153" s="73"/>
      <c r="L153" s="77"/>
      <c r="M153" s="73"/>
    </row>
    <row r="154" spans="1:13" s="3" customFormat="1" ht="21.9" customHeight="1">
      <c r="A154" s="574"/>
      <c r="B154" s="574"/>
      <c r="C154" s="574"/>
      <c r="D154" s="574"/>
      <c r="E154" s="574"/>
      <c r="F154" s="574"/>
      <c r="G154" s="72"/>
      <c r="H154" s="575"/>
      <c r="I154" s="575"/>
      <c r="J154" s="73"/>
      <c r="K154" s="73"/>
      <c r="L154" s="77"/>
      <c r="M154" s="73"/>
    </row>
    <row r="155" spans="1:13" s="3" customFormat="1" ht="21.9" customHeight="1">
      <c r="A155" s="45"/>
      <c r="B155" s="46"/>
      <c r="C155" s="46"/>
      <c r="D155" s="46"/>
      <c r="E155" s="44"/>
      <c r="F155" s="46"/>
      <c r="G155" s="46"/>
      <c r="H155" s="46"/>
      <c r="I155" s="46"/>
      <c r="J155" s="46"/>
      <c r="K155" s="46"/>
      <c r="L155" s="47"/>
      <c r="M155" s="46"/>
    </row>
    <row r="156" spans="1:13" s="3" customFormat="1" ht="21.9" customHeight="1">
      <c r="A156" s="45" t="s">
        <v>45</v>
      </c>
      <c r="B156" s="46"/>
      <c r="C156" s="46"/>
      <c r="D156" s="46"/>
      <c r="E156" s="44"/>
      <c r="F156" s="46"/>
      <c r="G156" s="46"/>
      <c r="H156" s="46"/>
      <c r="I156" s="46"/>
      <c r="J156" s="46"/>
      <c r="K156" s="46"/>
      <c r="L156" s="47"/>
      <c r="M156" s="46"/>
    </row>
    <row r="157" spans="1:13" s="3" customFormat="1" ht="21.9" customHeight="1">
      <c r="A157" s="45"/>
      <c r="B157" s="46"/>
      <c r="C157" s="46"/>
      <c r="D157" s="46"/>
      <c r="E157" s="44"/>
      <c r="F157" s="46"/>
      <c r="G157" s="46"/>
      <c r="H157" s="46"/>
      <c r="I157" s="48"/>
      <c r="J157" s="48"/>
      <c r="K157" s="48"/>
      <c r="L157" s="47"/>
      <c r="M157" s="46"/>
    </row>
    <row r="158" spans="1:13" s="3" customFormat="1" ht="21.9" customHeight="1">
      <c r="A158" s="46" t="s">
        <v>46</v>
      </c>
      <c r="B158" s="578" t="s">
        <v>47</v>
      </c>
      <c r="C158" s="579"/>
      <c r="D158" s="578" t="s">
        <v>48</v>
      </c>
      <c r="E158" s="579"/>
      <c r="F158" s="578" t="s">
        <v>49</v>
      </c>
      <c r="G158" s="579"/>
      <c r="H158" s="578" t="s">
        <v>50</v>
      </c>
      <c r="I158" s="579"/>
      <c r="J158" s="578" t="s">
        <v>51</v>
      </c>
      <c r="K158" s="769"/>
      <c r="L158" s="579"/>
      <c r="M158" s="49"/>
    </row>
    <row r="159" spans="1:13" s="3" customFormat="1" ht="21.9" customHeight="1">
      <c r="A159" s="50"/>
      <c r="B159" s="583"/>
      <c r="C159" s="584"/>
      <c r="D159" s="587"/>
      <c r="E159" s="588"/>
      <c r="F159" s="665"/>
      <c r="G159" s="666"/>
      <c r="H159" s="665"/>
      <c r="I159" s="666"/>
      <c r="J159" s="587"/>
      <c r="K159" s="770"/>
      <c r="L159" s="588"/>
      <c r="M159" s="49"/>
    </row>
    <row r="160" spans="1:13" s="3" customFormat="1" ht="21.9" customHeight="1">
      <c r="A160" s="50"/>
      <c r="B160" s="585"/>
      <c r="C160" s="586"/>
      <c r="D160" s="589"/>
      <c r="E160" s="590"/>
      <c r="F160" s="667"/>
      <c r="G160" s="668"/>
      <c r="H160" s="667"/>
      <c r="I160" s="668"/>
      <c r="J160" s="589"/>
      <c r="K160" s="771"/>
      <c r="L160" s="590"/>
      <c r="M160" s="49"/>
    </row>
    <row r="161" spans="1:13" s="3" customFormat="1" ht="21.9" customHeight="1">
      <c r="A161" s="35"/>
      <c r="B161" s="27"/>
      <c r="C161" s="27"/>
      <c r="D161" s="27"/>
      <c r="E161" s="35"/>
      <c r="F161" s="58"/>
      <c r="G161" s="58"/>
      <c r="H161" s="58"/>
      <c r="I161" s="58"/>
      <c r="J161" s="68"/>
      <c r="K161" s="68"/>
      <c r="L161" s="68"/>
    </row>
    <row r="162" spans="1:13" s="3" customFormat="1" ht="21.9" customHeight="1">
      <c r="A162" s="35" t="s">
        <v>53</v>
      </c>
      <c r="B162" s="27"/>
      <c r="C162" s="27"/>
      <c r="D162" s="35" t="s">
        <v>54</v>
      </c>
      <c r="E162" s="22"/>
      <c r="F162" s="58"/>
      <c r="G162" s="22"/>
      <c r="H162" s="35" t="s">
        <v>250</v>
      </c>
      <c r="I162" s="58"/>
      <c r="J162" s="22"/>
      <c r="K162" s="22"/>
      <c r="L162" s="68" t="s">
        <v>266</v>
      </c>
    </row>
    <row r="163" spans="1:13" s="3" customFormat="1" ht="21.9" customHeight="1">
      <c r="A163" s="29"/>
      <c r="B163" s="29"/>
      <c r="C163" s="29"/>
      <c r="D163" s="29"/>
      <c r="E163" s="29"/>
      <c r="F163" s="29"/>
      <c r="G163" s="22"/>
      <c r="H163" s="29"/>
      <c r="I163" s="29"/>
    </row>
    <row r="164" spans="1:13" s="3" customFormat="1" ht="21.9" customHeight="1">
      <c r="A164" s="580"/>
      <c r="B164" s="580"/>
      <c r="C164" s="318"/>
      <c r="D164" s="671" t="s">
        <v>267</v>
      </c>
      <c r="E164" s="671"/>
      <c r="F164" s="671"/>
      <c r="G164" s="22"/>
      <c r="H164" s="672" t="s">
        <v>247</v>
      </c>
      <c r="I164" s="672"/>
      <c r="J164" s="672"/>
      <c r="K164" s="415"/>
      <c r="L164" s="662" t="s">
        <v>268</v>
      </c>
      <c r="M164" s="662"/>
    </row>
    <row r="165" spans="1:13" s="3" customFormat="1" ht="21.9" customHeight="1">
      <c r="A165" s="663" t="s">
        <v>59</v>
      </c>
      <c r="B165" s="663"/>
      <c r="C165" s="319"/>
      <c r="D165" s="664" t="s">
        <v>60</v>
      </c>
      <c r="E165" s="664"/>
      <c r="F165" s="664"/>
      <c r="H165" s="663" t="s">
        <v>252</v>
      </c>
      <c r="I165" s="663"/>
      <c r="J165" s="663"/>
      <c r="K165" s="416"/>
      <c r="L165" s="320" t="s">
        <v>253</v>
      </c>
      <c r="M165" s="320"/>
    </row>
    <row r="166" spans="1:13" s="3" customFormat="1" ht="21.9" customHeight="1">
      <c r="A166" s="32"/>
      <c r="B166" s="32"/>
      <c r="C166" s="32"/>
      <c r="D166" s="32"/>
      <c r="E166" s="32"/>
      <c r="F166" s="31"/>
      <c r="G166" s="31"/>
      <c r="H166" s="31"/>
      <c r="I166" s="31"/>
      <c r="J166" s="31"/>
      <c r="K166" s="31"/>
    </row>
    <row r="167" spans="1:13" s="3" customFormat="1" ht="21.9" customHeight="1">
      <c r="A167" s="32"/>
      <c r="B167" s="32"/>
      <c r="C167" s="32"/>
      <c r="D167" s="32"/>
      <c r="E167" s="32"/>
      <c r="F167" s="31"/>
      <c r="G167" s="31"/>
      <c r="H167" s="31"/>
      <c r="I167" s="31"/>
      <c r="J167" s="31"/>
      <c r="K167" s="31"/>
    </row>
    <row r="168" spans="1:13" s="3" customFormat="1" ht="21.9" customHeight="1">
      <c r="A168" s="32"/>
      <c r="B168" s="32"/>
      <c r="C168" s="32"/>
      <c r="D168" s="32"/>
      <c r="E168" s="32"/>
      <c r="F168" s="33"/>
      <c r="G168" s="33"/>
      <c r="H168" s="33"/>
      <c r="I168" s="33"/>
      <c r="J168" s="33"/>
      <c r="K168" s="33"/>
    </row>
    <row r="169" spans="1:13" s="3" customFormat="1" ht="21.9" customHeight="1">
      <c r="A169" s="32"/>
      <c r="B169" s="32"/>
      <c r="C169" s="32"/>
      <c r="D169" s="32"/>
      <c r="E169" s="32"/>
      <c r="F169" s="33"/>
      <c r="G169" s="33"/>
      <c r="H169" s="33"/>
      <c r="I169" s="33"/>
      <c r="J169" s="33"/>
      <c r="K169" s="33"/>
    </row>
    <row r="170" spans="1:13" s="3" customFormat="1" ht="21.9" customHeight="1">
      <c r="A170" s="13"/>
      <c r="B170" s="13"/>
      <c r="C170" s="13"/>
      <c r="D170" s="13"/>
      <c r="E170" s="13"/>
      <c r="F170" s="14"/>
      <c r="G170" s="14"/>
      <c r="H170" s="14"/>
      <c r="I170" s="14"/>
      <c r="J170" s="14"/>
      <c r="K170" s="14"/>
      <c r="L170" s="9"/>
      <c r="M170" s="9"/>
    </row>
    <row r="171" spans="1:13" s="3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  <c r="K171" s="14"/>
      <c r="L171" s="9"/>
      <c r="M171" s="9"/>
    </row>
    <row r="172" spans="1:13" s="3" customFormat="1" ht="21.9" customHeight="1">
      <c r="A172" s="13"/>
      <c r="B172" s="13"/>
      <c r="C172" s="13"/>
      <c r="D172" s="13"/>
      <c r="E172" s="13"/>
      <c r="F172" s="14"/>
      <c r="G172" s="14"/>
      <c r="H172" s="14"/>
      <c r="I172" s="14"/>
      <c r="J172" s="14"/>
      <c r="K172" s="14"/>
      <c r="L172" s="9"/>
      <c r="M172" s="9"/>
    </row>
    <row r="173" spans="1:13" s="3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  <c r="K173" s="14"/>
      <c r="L173" s="9"/>
      <c r="M173" s="9"/>
    </row>
    <row r="174" spans="1:13" s="3" customFormat="1" ht="21.9" customHeight="1">
      <c r="A174" s="13"/>
      <c r="B174" s="13"/>
      <c r="C174" s="13"/>
      <c r="D174" s="13"/>
      <c r="E174" s="13"/>
      <c r="F174" s="14"/>
      <c r="G174" s="14"/>
      <c r="H174" s="14"/>
      <c r="I174" s="14"/>
      <c r="J174" s="14"/>
      <c r="K174" s="14"/>
      <c r="L174" s="9"/>
      <c r="M174" s="9"/>
    </row>
    <row r="175" spans="1:13" s="3" customFormat="1" ht="21.9" customHeight="1">
      <c r="A175" s="13"/>
      <c r="B175" s="13"/>
      <c r="C175" s="13"/>
      <c r="D175" s="13"/>
      <c r="E175" s="13"/>
      <c r="F175" s="10"/>
      <c r="G175" s="10"/>
      <c r="H175" s="10"/>
      <c r="I175" s="10"/>
      <c r="J175" s="10"/>
      <c r="K175" s="10"/>
      <c r="L175" s="9"/>
      <c r="M175" s="9"/>
    </row>
    <row r="176" spans="1:13" s="9" customFormat="1" ht="21.9" customHeight="1">
      <c r="A176" s="13"/>
      <c r="B176" s="13"/>
      <c r="C176" s="13"/>
      <c r="D176" s="13"/>
      <c r="E176" s="13"/>
      <c r="F176" s="14"/>
      <c r="G176" s="14"/>
      <c r="H176" s="14"/>
      <c r="I176" s="14"/>
      <c r="J176" s="14"/>
      <c r="K176" s="14"/>
    </row>
    <row r="177" spans="1:11" s="9" customFormat="1" ht="21.9" customHeight="1">
      <c r="A177" s="13"/>
      <c r="B177" s="13"/>
      <c r="C177" s="13"/>
      <c r="D177" s="13"/>
      <c r="E177" s="13"/>
      <c r="F177" s="14"/>
      <c r="G177" s="14"/>
      <c r="H177" s="14"/>
      <c r="I177" s="14"/>
      <c r="J177" s="14"/>
      <c r="K177" s="14"/>
    </row>
    <row r="178" spans="1:11" s="9" customFormat="1" ht="21.9" customHeight="1">
      <c r="A178" s="13"/>
      <c r="B178" s="13"/>
      <c r="C178" s="13"/>
      <c r="D178" s="13"/>
      <c r="E178" s="13"/>
      <c r="F178" s="14"/>
      <c r="G178" s="14"/>
      <c r="H178" s="14"/>
      <c r="I178" s="14"/>
      <c r="J178" s="14"/>
      <c r="K178" s="14"/>
    </row>
    <row r="179" spans="1:11" s="9" customFormat="1" ht="21.9" customHeight="1">
      <c r="A179" s="13"/>
      <c r="B179" s="13"/>
      <c r="C179" s="13"/>
      <c r="D179" s="13"/>
      <c r="E179" s="13"/>
      <c r="F179" s="8"/>
      <c r="G179" s="8"/>
      <c r="H179" s="8"/>
      <c r="I179" s="8"/>
      <c r="J179" s="8"/>
      <c r="K179" s="8"/>
    </row>
    <row r="180" spans="1:11" s="9" customFormat="1" ht="21.9" customHeight="1">
      <c r="A180" s="13"/>
      <c r="B180" s="13"/>
      <c r="C180" s="13"/>
      <c r="D180" s="13"/>
      <c r="E180" s="13"/>
      <c r="F180" s="14"/>
      <c r="G180" s="14"/>
      <c r="H180" s="14"/>
      <c r="I180" s="14"/>
      <c r="J180" s="14"/>
      <c r="K180" s="14"/>
    </row>
    <row r="181" spans="1:11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  <c r="K181" s="10"/>
    </row>
    <row r="182" spans="1:11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  <c r="K182" s="12"/>
    </row>
    <row r="183" spans="1:11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  <c r="K183" s="12"/>
    </row>
    <row r="184" spans="1:11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  <c r="K184" s="12"/>
    </row>
    <row r="185" spans="1:11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  <c r="K185" s="12"/>
    </row>
    <row r="186" spans="1:11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  <c r="K186" s="12"/>
    </row>
    <row r="187" spans="1:11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  <c r="K187" s="12"/>
    </row>
    <row r="188" spans="1:11" s="9" customFormat="1" ht="21.9" customHeight="1">
      <c r="A188" s="13"/>
      <c r="B188" s="13"/>
      <c r="C188" s="13"/>
      <c r="D188" s="13"/>
      <c r="E188" s="13"/>
      <c r="F188" s="14"/>
      <c r="G188" s="14"/>
      <c r="H188" s="14"/>
      <c r="I188" s="14"/>
      <c r="J188" s="14"/>
      <c r="K188" s="14"/>
    </row>
    <row r="189" spans="1:11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  <c r="K189" s="8"/>
    </row>
    <row r="190" spans="1:11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  <c r="K190" s="8"/>
    </row>
    <row r="191" spans="1:11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  <c r="K191" s="8"/>
    </row>
    <row r="192" spans="1:11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  <c r="K192" s="8"/>
    </row>
    <row r="193" spans="1:11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  <c r="K193" s="8"/>
    </row>
    <row r="194" spans="1:11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  <c r="K194" s="8"/>
    </row>
    <row r="195" spans="1:11" s="9" customFormat="1" ht="21.9" customHeight="1">
      <c r="A195" s="13"/>
      <c r="B195" s="13"/>
      <c r="C195" s="13"/>
      <c r="D195" s="13"/>
      <c r="E195" s="13"/>
      <c r="F195" s="10"/>
      <c r="G195" s="10"/>
      <c r="H195" s="10"/>
      <c r="I195" s="10"/>
      <c r="J195" s="10"/>
      <c r="K195" s="10"/>
    </row>
    <row r="196" spans="1:11" s="9" customFormat="1" ht="21.9" customHeight="1">
      <c r="A196" s="13"/>
      <c r="B196" s="13"/>
      <c r="C196" s="13"/>
      <c r="D196" s="13"/>
      <c r="E196" s="13"/>
      <c r="F196" s="10"/>
      <c r="G196" s="10"/>
      <c r="H196" s="10"/>
      <c r="I196" s="10"/>
      <c r="J196" s="10"/>
      <c r="K196" s="10"/>
    </row>
    <row r="197" spans="1:11" s="9" customFormat="1" ht="21.9" customHeight="1">
      <c r="A197" s="13"/>
      <c r="B197" s="13"/>
      <c r="C197" s="13"/>
      <c r="D197" s="13"/>
      <c r="E197" s="13"/>
      <c r="F197" s="10"/>
      <c r="G197" s="10"/>
      <c r="H197" s="10"/>
      <c r="I197" s="10"/>
      <c r="J197" s="10"/>
      <c r="K197" s="10"/>
    </row>
    <row r="198" spans="1:11" s="9" customFormat="1" ht="21.9" customHeight="1">
      <c r="A198" s="13"/>
      <c r="B198" s="13"/>
      <c r="C198" s="13"/>
      <c r="D198" s="13"/>
      <c r="E198" s="13"/>
      <c r="F198" s="10"/>
      <c r="G198" s="10"/>
      <c r="H198" s="10"/>
      <c r="I198" s="10"/>
      <c r="J198" s="10"/>
      <c r="K198" s="10"/>
    </row>
    <row r="199" spans="1:11" s="9" customFormat="1" ht="21.9" customHeight="1">
      <c r="A199" s="13"/>
      <c r="B199" s="13"/>
      <c r="C199" s="13"/>
      <c r="D199" s="13"/>
      <c r="E199" s="13"/>
      <c r="F199" s="12"/>
      <c r="G199" s="12"/>
      <c r="H199" s="12"/>
      <c r="I199" s="12"/>
      <c r="J199" s="12"/>
      <c r="K199" s="12"/>
    </row>
    <row r="200" spans="1:11" s="9" customFormat="1" ht="21.9" customHeight="1">
      <c r="A200" s="13"/>
      <c r="B200" s="13"/>
      <c r="C200" s="13"/>
      <c r="D200" s="13"/>
      <c r="E200" s="13"/>
      <c r="F200" s="12"/>
      <c r="G200" s="12"/>
      <c r="H200" s="12"/>
      <c r="I200" s="12"/>
      <c r="J200" s="12"/>
      <c r="K200" s="12"/>
    </row>
    <row r="201" spans="1:11" s="9" customFormat="1" ht="21.9" customHeight="1">
      <c r="A201" s="13"/>
      <c r="B201" s="13"/>
      <c r="C201" s="13"/>
      <c r="D201" s="13"/>
      <c r="E201" s="13"/>
      <c r="F201" s="12"/>
      <c r="G201" s="12"/>
      <c r="H201" s="12"/>
      <c r="I201" s="12"/>
      <c r="J201" s="12"/>
      <c r="K201" s="12"/>
    </row>
    <row r="202" spans="1:11" s="9" customFormat="1" ht="21.9" customHeight="1">
      <c r="A202" s="13"/>
      <c r="B202" s="13"/>
      <c r="C202" s="13"/>
      <c r="D202" s="13"/>
      <c r="E202" s="13"/>
      <c r="F202" s="8"/>
      <c r="G202" s="8"/>
      <c r="H202" s="8"/>
      <c r="I202" s="8"/>
      <c r="J202" s="8"/>
      <c r="K202" s="8"/>
    </row>
    <row r="203" spans="1:11" s="9" customFormat="1" ht="21.9" customHeight="1">
      <c r="A203" s="13"/>
      <c r="B203" s="13"/>
      <c r="C203" s="13"/>
      <c r="D203" s="13"/>
      <c r="E203" s="13"/>
      <c r="F203" s="8"/>
      <c r="G203" s="8"/>
      <c r="H203" s="8"/>
      <c r="I203" s="8"/>
      <c r="J203" s="8"/>
      <c r="K203" s="8"/>
    </row>
    <row r="204" spans="1:11" s="9" customFormat="1" ht="21.9" customHeight="1">
      <c r="A204" s="13"/>
      <c r="B204" s="13"/>
      <c r="C204" s="13"/>
      <c r="D204" s="13"/>
      <c r="E204" s="13"/>
      <c r="F204" s="12"/>
      <c r="G204" s="12"/>
      <c r="H204" s="12"/>
      <c r="I204" s="12"/>
      <c r="J204" s="12"/>
      <c r="K204" s="12"/>
    </row>
    <row r="205" spans="1:11" s="9" customFormat="1" ht="21.9" customHeight="1">
      <c r="A205" s="13"/>
      <c r="B205" s="13"/>
      <c r="C205" s="13"/>
      <c r="D205" s="13"/>
      <c r="E205" s="13"/>
      <c r="F205" s="12"/>
      <c r="G205" s="12"/>
      <c r="H205" s="12"/>
      <c r="I205" s="12"/>
      <c r="J205" s="12"/>
      <c r="K205" s="12"/>
    </row>
    <row r="206" spans="1:11" s="9" customFormat="1" ht="21.9" customHeight="1">
      <c r="A206" s="13"/>
      <c r="B206" s="13"/>
      <c r="C206" s="13"/>
      <c r="D206" s="13"/>
      <c r="E206" s="13"/>
      <c r="F206" s="8"/>
      <c r="G206" s="8"/>
      <c r="H206" s="8"/>
      <c r="I206" s="8"/>
      <c r="J206" s="8"/>
      <c r="K206" s="8"/>
    </row>
    <row r="207" spans="1:11" s="9" customFormat="1" ht="21.9" customHeight="1">
      <c r="A207" s="13"/>
      <c r="B207" s="13"/>
      <c r="C207" s="13"/>
      <c r="D207" s="13"/>
      <c r="E207" s="13"/>
      <c r="F207" s="8"/>
      <c r="G207" s="8"/>
      <c r="H207" s="8"/>
      <c r="I207" s="8"/>
      <c r="J207" s="8"/>
      <c r="K207" s="8"/>
    </row>
    <row r="208" spans="1:11" s="9" customFormat="1" ht="21.9" customHeight="1">
      <c r="A208" s="13"/>
      <c r="B208" s="13"/>
      <c r="C208" s="13"/>
      <c r="D208" s="13"/>
      <c r="E208" s="13"/>
      <c r="F208" s="8"/>
      <c r="G208" s="8"/>
      <c r="H208" s="8"/>
      <c r="I208" s="8"/>
      <c r="J208" s="8"/>
      <c r="K208" s="8"/>
    </row>
    <row r="209" spans="1:11" s="9" customFormat="1" ht="21.9" customHeight="1">
      <c r="A209" s="13"/>
      <c r="B209" s="13"/>
      <c r="C209" s="13"/>
      <c r="D209" s="13"/>
      <c r="E209" s="13"/>
      <c r="F209" s="8"/>
      <c r="G209" s="8"/>
      <c r="H209" s="8"/>
      <c r="I209" s="8"/>
      <c r="J209" s="8"/>
      <c r="K209" s="8"/>
    </row>
    <row r="210" spans="1:11" s="9" customFormat="1" ht="21.9" customHeight="1">
      <c r="A210" s="13"/>
      <c r="B210" s="13"/>
      <c r="C210" s="13"/>
      <c r="D210" s="13"/>
      <c r="E210" s="13"/>
      <c r="F210" s="8"/>
      <c r="G210" s="8"/>
      <c r="H210" s="8"/>
      <c r="I210" s="8"/>
      <c r="J210" s="8"/>
      <c r="K210" s="8"/>
    </row>
    <row r="211" spans="1:11" s="9" customFormat="1" ht="21.9" customHeight="1">
      <c r="A211" s="13"/>
      <c r="B211" s="13"/>
      <c r="C211" s="13"/>
      <c r="D211" s="13"/>
      <c r="E211" s="13"/>
      <c r="F211" s="8"/>
      <c r="G211" s="8"/>
      <c r="H211" s="8"/>
      <c r="I211" s="8"/>
      <c r="J211" s="8"/>
      <c r="K211" s="8"/>
    </row>
    <row r="212" spans="1:11" s="9" customFormat="1" ht="21.9" customHeight="1">
      <c r="A212" s="13"/>
      <c r="B212" s="13"/>
      <c r="C212" s="13"/>
      <c r="D212" s="13"/>
      <c r="E212" s="13"/>
      <c r="F212" s="11"/>
      <c r="G212" s="11"/>
      <c r="H212" s="11"/>
      <c r="I212" s="11"/>
      <c r="J212" s="11"/>
      <c r="K212" s="11"/>
    </row>
    <row r="213" spans="1:11" s="9" customFormat="1" ht="21.9" customHeight="1">
      <c r="A213" s="13"/>
      <c r="B213" s="13"/>
      <c r="C213" s="13"/>
      <c r="D213" s="13"/>
      <c r="E213" s="13"/>
      <c r="F213" s="11"/>
      <c r="G213" s="11"/>
      <c r="H213" s="11"/>
      <c r="I213" s="11"/>
      <c r="J213" s="11"/>
      <c r="K213" s="11"/>
    </row>
    <row r="214" spans="1:11" s="9" customFormat="1" ht="21.9" customHeight="1">
      <c r="A214" s="13"/>
      <c r="B214" s="13"/>
      <c r="C214" s="13"/>
      <c r="D214" s="13"/>
      <c r="E214" s="13"/>
      <c r="F214" s="11"/>
      <c r="G214" s="11"/>
      <c r="H214" s="11"/>
      <c r="I214" s="11"/>
      <c r="J214" s="11"/>
      <c r="K214" s="11"/>
    </row>
    <row r="215" spans="1:11" s="9" customFormat="1" ht="21.9" customHeight="1">
      <c r="A215" s="13"/>
      <c r="B215" s="13"/>
      <c r="C215" s="13"/>
      <c r="D215" s="13"/>
      <c r="E215" s="13"/>
      <c r="F215" s="11"/>
      <c r="G215" s="11"/>
      <c r="H215" s="11"/>
      <c r="I215" s="11"/>
      <c r="J215" s="11"/>
      <c r="K215" s="11"/>
    </row>
    <row r="216" spans="1:11" s="9" customFormat="1" ht="21.9" customHeight="1">
      <c r="A216" s="15"/>
      <c r="B216" s="15"/>
      <c r="C216" s="15"/>
      <c r="D216" s="15"/>
      <c r="E216" s="15"/>
      <c r="F216" s="12"/>
      <c r="G216" s="12"/>
      <c r="H216" s="12"/>
      <c r="I216" s="12"/>
      <c r="J216" s="12"/>
      <c r="K216" s="12"/>
    </row>
    <row r="217" spans="1:11" s="9" customFormat="1" ht="21.9" customHeight="1">
      <c r="A217" s="15"/>
      <c r="B217" s="15"/>
      <c r="C217" s="15"/>
      <c r="D217" s="15"/>
      <c r="E217" s="15"/>
      <c r="F217" s="11"/>
      <c r="G217" s="11"/>
      <c r="H217" s="11"/>
      <c r="I217" s="11"/>
      <c r="J217" s="11"/>
      <c r="K217" s="11"/>
    </row>
    <row r="218" spans="1:11" s="9" customFormat="1" ht="21.9" customHeight="1">
      <c r="A218" s="15"/>
      <c r="B218" s="15"/>
      <c r="C218" s="15"/>
      <c r="D218" s="15"/>
      <c r="E218" s="15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5"/>
      <c r="B219" s="15"/>
      <c r="C219" s="15"/>
      <c r="D219" s="15"/>
      <c r="E219" s="15"/>
      <c r="F219" s="12"/>
      <c r="G219" s="12"/>
      <c r="H219" s="12"/>
      <c r="I219" s="12"/>
      <c r="J219" s="12"/>
      <c r="K219" s="12"/>
    </row>
    <row r="220" spans="1:11" s="9" customFormat="1" ht="21.9" customHeight="1">
      <c r="A220" s="15"/>
      <c r="B220" s="15"/>
      <c r="C220" s="15"/>
      <c r="D220" s="15"/>
      <c r="E220" s="15"/>
      <c r="F220" s="12"/>
      <c r="G220" s="12"/>
      <c r="H220" s="12"/>
      <c r="I220" s="12"/>
      <c r="J220" s="12"/>
      <c r="K220" s="12"/>
    </row>
    <row r="221" spans="1:11" s="9" customFormat="1" ht="21.9" customHeight="1">
      <c r="A221" s="15"/>
      <c r="B221" s="15"/>
      <c r="C221" s="15"/>
      <c r="D221" s="15"/>
      <c r="E221" s="15"/>
      <c r="F221" s="12"/>
      <c r="G221" s="12"/>
      <c r="H221" s="12"/>
      <c r="I221" s="12"/>
      <c r="J221" s="12"/>
      <c r="K221" s="12"/>
    </row>
    <row r="222" spans="1:11" s="9" customFormat="1" ht="21.9" customHeight="1">
      <c r="A222" s="15"/>
      <c r="B222" s="15"/>
      <c r="C222" s="15"/>
      <c r="D222" s="15"/>
      <c r="E222" s="15"/>
      <c r="F222" s="12"/>
      <c r="G222" s="12"/>
      <c r="H222" s="12"/>
      <c r="I222" s="12"/>
      <c r="J222" s="12"/>
      <c r="K222" s="12"/>
    </row>
    <row r="223" spans="1:11" s="9" customFormat="1" ht="21.9" customHeight="1">
      <c r="A223" s="15"/>
      <c r="B223" s="15"/>
      <c r="C223" s="15"/>
      <c r="D223" s="15"/>
      <c r="E223" s="15"/>
      <c r="F223" s="12"/>
      <c r="G223" s="12"/>
      <c r="H223" s="12"/>
      <c r="I223" s="12"/>
      <c r="J223" s="12"/>
      <c r="K223" s="12"/>
    </row>
    <row r="224" spans="1:11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  <c r="K224" s="8"/>
    </row>
    <row r="225" spans="1:11" s="9" customFormat="1" ht="21.9" customHeight="1">
      <c r="A225" s="15"/>
      <c r="B225" s="15"/>
      <c r="C225" s="15"/>
      <c r="D225" s="15"/>
      <c r="E225" s="15"/>
      <c r="F225" s="12"/>
      <c r="G225" s="12"/>
      <c r="H225" s="12"/>
      <c r="I225" s="12"/>
      <c r="J225" s="12"/>
      <c r="K225" s="12"/>
    </row>
    <row r="226" spans="1:11" s="9" customFormat="1" ht="21.9" customHeight="1">
      <c r="A226" s="15"/>
      <c r="B226" s="15"/>
      <c r="C226" s="15"/>
      <c r="D226" s="15"/>
      <c r="E226" s="15"/>
      <c r="F226" s="12"/>
      <c r="G226" s="12"/>
      <c r="H226" s="12"/>
      <c r="I226" s="12"/>
      <c r="J226" s="12"/>
      <c r="K226" s="12"/>
    </row>
    <row r="227" spans="1:11" s="9" customFormat="1" ht="21.9" customHeight="1">
      <c r="A227" s="15"/>
      <c r="B227" s="15"/>
      <c r="C227" s="15"/>
      <c r="D227" s="15"/>
      <c r="E227" s="15"/>
      <c r="F227" s="12"/>
      <c r="G227" s="12"/>
      <c r="H227" s="12"/>
      <c r="I227" s="12"/>
      <c r="J227" s="12"/>
      <c r="K227" s="12"/>
    </row>
    <row r="228" spans="1:11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  <c r="K228" s="8"/>
    </row>
    <row r="229" spans="1:11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  <c r="K229" s="8"/>
    </row>
    <row r="230" spans="1:11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  <c r="K230" s="8"/>
    </row>
    <row r="231" spans="1:11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  <c r="K231" s="8"/>
    </row>
    <row r="232" spans="1:11" s="9" customFormat="1" ht="21.9" customHeight="1">
      <c r="A232" s="15"/>
      <c r="B232" s="15"/>
      <c r="C232" s="15"/>
      <c r="D232" s="15"/>
      <c r="E232" s="15"/>
      <c r="F232" s="8"/>
      <c r="G232" s="8"/>
      <c r="H232" s="8"/>
      <c r="I232" s="8"/>
      <c r="J232" s="8"/>
      <c r="K232" s="8"/>
    </row>
    <row r="233" spans="1:11" s="9" customFormat="1" ht="21.9" customHeight="1">
      <c r="A233" s="15"/>
      <c r="B233" s="15"/>
      <c r="C233" s="15"/>
      <c r="D233" s="15"/>
      <c r="E233" s="15"/>
      <c r="F233" s="8"/>
      <c r="G233" s="8"/>
      <c r="H233" s="8"/>
      <c r="I233" s="8"/>
      <c r="J233" s="8"/>
      <c r="K233" s="8"/>
    </row>
    <row r="234" spans="1:11" s="9" customFormat="1" ht="21.9" customHeight="1">
      <c r="A234" s="15"/>
      <c r="B234" s="15"/>
      <c r="C234" s="15"/>
      <c r="D234" s="15"/>
      <c r="E234" s="15"/>
      <c r="F234" s="11"/>
      <c r="G234" s="11"/>
      <c r="H234" s="11"/>
      <c r="I234" s="11"/>
      <c r="J234" s="11"/>
      <c r="K234" s="11"/>
    </row>
    <row r="235" spans="1:11" s="9" customFormat="1" ht="21.9" customHeight="1">
      <c r="A235" s="15"/>
      <c r="B235" s="15"/>
      <c r="C235" s="15"/>
      <c r="D235" s="15"/>
      <c r="E235" s="15"/>
      <c r="F235" s="11"/>
      <c r="G235" s="11"/>
      <c r="H235" s="11"/>
      <c r="I235" s="11"/>
      <c r="J235" s="11"/>
      <c r="K235" s="11"/>
    </row>
    <row r="236" spans="1:11" s="9" customFormat="1" ht="21.9" customHeight="1">
      <c r="A236" s="15"/>
      <c r="B236" s="15"/>
      <c r="C236" s="15"/>
      <c r="D236" s="15"/>
      <c r="E236" s="15"/>
      <c r="F236" s="11"/>
      <c r="G236" s="11"/>
      <c r="H236" s="11"/>
      <c r="I236" s="11"/>
      <c r="J236" s="11"/>
      <c r="K236" s="11"/>
    </row>
    <row r="237" spans="1:11" s="9" customFormat="1" ht="21.9" customHeight="1">
      <c r="A237" s="15"/>
      <c r="B237" s="15"/>
      <c r="C237" s="15"/>
      <c r="D237" s="15"/>
      <c r="E237" s="15"/>
      <c r="F237" s="11"/>
      <c r="G237" s="11"/>
      <c r="H237" s="11"/>
      <c r="I237" s="11"/>
      <c r="J237" s="11"/>
      <c r="K237" s="11"/>
    </row>
    <row r="238" spans="1:11" s="9" customFormat="1" ht="21.9" customHeight="1">
      <c r="A238" s="15"/>
      <c r="B238" s="15"/>
      <c r="C238" s="15"/>
      <c r="D238" s="15"/>
      <c r="E238" s="15"/>
      <c r="F238" s="11"/>
      <c r="G238" s="11"/>
      <c r="H238" s="11"/>
      <c r="I238" s="11"/>
      <c r="J238" s="11"/>
      <c r="K238" s="11"/>
    </row>
    <row r="239" spans="1:11" s="9" customFormat="1" ht="21.9" customHeight="1">
      <c r="A239" s="15"/>
      <c r="B239" s="15"/>
      <c r="C239" s="15"/>
      <c r="D239" s="15"/>
      <c r="E239" s="15"/>
      <c r="F239" s="11"/>
      <c r="G239" s="11"/>
      <c r="H239" s="11"/>
      <c r="I239" s="11"/>
      <c r="J239" s="11"/>
      <c r="K239" s="11"/>
    </row>
    <row r="240" spans="1:11" s="9" customFormat="1" ht="21.9" customHeight="1">
      <c r="A240" s="15"/>
      <c r="B240" s="15"/>
      <c r="C240" s="15"/>
      <c r="D240" s="15"/>
      <c r="E240" s="15"/>
      <c r="F240" s="8"/>
      <c r="G240" s="8"/>
      <c r="H240" s="8"/>
      <c r="I240" s="8"/>
      <c r="J240" s="8"/>
      <c r="K240" s="8"/>
    </row>
    <row r="241" spans="1:11" s="9" customFormat="1" ht="21.9" customHeight="1">
      <c r="A241" s="15"/>
      <c r="B241" s="15"/>
      <c r="C241" s="15"/>
      <c r="D241" s="15"/>
      <c r="E241" s="15"/>
      <c r="F241" s="8"/>
      <c r="G241" s="8"/>
      <c r="H241" s="8"/>
      <c r="I241" s="8"/>
      <c r="J241" s="8"/>
      <c r="K241" s="8"/>
    </row>
    <row r="242" spans="1:11" s="9" customFormat="1" ht="21.9" customHeight="1">
      <c r="A242" s="15"/>
      <c r="B242" s="15"/>
      <c r="C242" s="15"/>
      <c r="D242" s="15"/>
      <c r="E242" s="15"/>
      <c r="F242" s="8"/>
      <c r="G242" s="8"/>
      <c r="H242" s="8"/>
      <c r="I242" s="8"/>
      <c r="J242" s="8"/>
      <c r="K242" s="8"/>
    </row>
    <row r="243" spans="1:11" s="9" customFormat="1" ht="21.9" customHeight="1">
      <c r="A243" s="15"/>
      <c r="B243" s="15"/>
      <c r="C243" s="15"/>
      <c r="D243" s="15"/>
      <c r="E243" s="15"/>
      <c r="F243" s="8"/>
      <c r="G243" s="8"/>
      <c r="H243" s="8"/>
      <c r="I243" s="8"/>
      <c r="J243" s="8"/>
      <c r="K243" s="8"/>
    </row>
    <row r="244" spans="1:11" s="9" customFormat="1" ht="21.9" customHeight="1">
      <c r="A244" s="15"/>
      <c r="B244" s="15"/>
      <c r="C244" s="15"/>
      <c r="D244" s="15"/>
      <c r="E244" s="15"/>
      <c r="F244" s="8"/>
      <c r="G244" s="8"/>
      <c r="H244" s="8"/>
      <c r="I244" s="8"/>
      <c r="J244" s="8"/>
      <c r="K244" s="8"/>
    </row>
    <row r="245" spans="1:11" s="9" customFormat="1" ht="21.9" customHeight="1">
      <c r="A245" s="15"/>
      <c r="B245" s="15"/>
      <c r="C245" s="15"/>
      <c r="D245" s="15"/>
      <c r="E245" s="15"/>
      <c r="F245" s="8"/>
      <c r="G245" s="8"/>
      <c r="H245" s="8"/>
      <c r="I245" s="8"/>
      <c r="J245" s="8"/>
      <c r="K245" s="8"/>
    </row>
    <row r="246" spans="1:11" s="9" customFormat="1" ht="21.9" customHeight="1">
      <c r="A246" s="15"/>
      <c r="B246" s="15"/>
      <c r="C246" s="15"/>
      <c r="D246" s="15"/>
      <c r="E246" s="15"/>
      <c r="F246" s="8"/>
      <c r="G246" s="8"/>
      <c r="H246" s="8"/>
      <c r="I246" s="8"/>
      <c r="J246" s="8"/>
      <c r="K246" s="8"/>
    </row>
    <row r="247" spans="1:11" s="9" customFormat="1" ht="21.9" customHeight="1">
      <c r="A247" s="6"/>
      <c r="B247" s="6"/>
      <c r="C247" s="6"/>
      <c r="D247" s="6"/>
      <c r="E247" s="6"/>
      <c r="F247" s="12"/>
      <c r="G247" s="12"/>
      <c r="H247" s="12"/>
      <c r="I247" s="12"/>
      <c r="J247" s="12"/>
      <c r="K247" s="12"/>
    </row>
    <row r="248" spans="1:11" s="9" customFormat="1" ht="21.9" customHeight="1">
      <c r="A248" s="6"/>
      <c r="B248" s="6"/>
      <c r="C248" s="6"/>
      <c r="D248" s="6"/>
      <c r="E248" s="6"/>
      <c r="F248" s="12"/>
      <c r="G248" s="12"/>
      <c r="H248" s="12"/>
      <c r="I248" s="12"/>
      <c r="J248" s="12"/>
      <c r="K248" s="12"/>
    </row>
    <row r="249" spans="1:11" s="9" customFormat="1" ht="21.9" customHeight="1">
      <c r="A249" s="6"/>
      <c r="B249" s="6"/>
      <c r="C249" s="6"/>
      <c r="D249" s="6"/>
      <c r="E249" s="6"/>
      <c r="F249" s="11"/>
      <c r="G249" s="11"/>
      <c r="H249" s="11"/>
      <c r="I249" s="11"/>
      <c r="J249" s="11"/>
      <c r="K249" s="11"/>
    </row>
    <row r="250" spans="1:11" s="9" customFormat="1" ht="21.9" customHeight="1">
      <c r="A250" s="6"/>
      <c r="B250" s="6"/>
      <c r="C250" s="6"/>
      <c r="D250" s="6"/>
      <c r="E250" s="6"/>
      <c r="F250" s="12"/>
      <c r="G250" s="12"/>
      <c r="H250" s="12"/>
      <c r="I250" s="12"/>
      <c r="J250" s="12"/>
      <c r="K250" s="12"/>
    </row>
    <row r="251" spans="1:11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  <c r="K251" s="8"/>
    </row>
    <row r="252" spans="1:11" s="9" customFormat="1" ht="21.9" customHeight="1">
      <c r="A252" s="6"/>
      <c r="B252" s="6"/>
      <c r="C252" s="6"/>
      <c r="D252" s="6"/>
      <c r="E252" s="6"/>
      <c r="F252" s="8"/>
      <c r="G252" s="8"/>
      <c r="H252" s="8"/>
      <c r="I252" s="8"/>
      <c r="J252" s="8"/>
      <c r="K252" s="8"/>
    </row>
    <row r="253" spans="1:11" s="9" customFormat="1" ht="21.9" customHeight="1">
      <c r="A253" s="6"/>
      <c r="B253" s="6"/>
      <c r="C253" s="6"/>
      <c r="D253" s="6"/>
      <c r="E253" s="6"/>
      <c r="F253" s="11"/>
      <c r="G253" s="11"/>
      <c r="H253" s="11"/>
      <c r="I253" s="11"/>
      <c r="J253" s="11"/>
      <c r="K253" s="11"/>
    </row>
    <row r="254" spans="1:11" s="9" customFormat="1" ht="21.9" customHeight="1">
      <c r="A254" s="6"/>
      <c r="B254" s="6"/>
      <c r="C254" s="6"/>
      <c r="D254" s="6"/>
      <c r="E254" s="6"/>
      <c r="F254" s="12"/>
      <c r="G254" s="12"/>
      <c r="H254" s="12"/>
      <c r="I254" s="12"/>
      <c r="J254" s="12"/>
      <c r="K254" s="12"/>
    </row>
    <row r="255" spans="1:11" s="9" customFormat="1" ht="21.9" customHeight="1">
      <c r="A255" s="6"/>
      <c r="B255" s="6"/>
      <c r="C255" s="6"/>
      <c r="D255" s="6"/>
      <c r="E255" s="6"/>
      <c r="F255" s="11"/>
      <c r="G255" s="11"/>
      <c r="H255" s="11"/>
      <c r="I255" s="11"/>
      <c r="J255" s="11"/>
      <c r="K255" s="11"/>
    </row>
    <row r="256" spans="1:11" s="9" customFormat="1" ht="21.9" customHeight="1">
      <c r="A256" s="6"/>
      <c r="B256" s="6"/>
      <c r="C256" s="6"/>
      <c r="D256" s="6"/>
      <c r="E256" s="6"/>
      <c r="F256" s="11"/>
      <c r="G256" s="11"/>
      <c r="H256" s="11"/>
      <c r="I256" s="11"/>
      <c r="J256" s="11"/>
      <c r="K256" s="11"/>
    </row>
    <row r="257" spans="1:11" s="9" customFormat="1" ht="21.9" customHeight="1">
      <c r="A257" s="6"/>
      <c r="B257" s="6"/>
      <c r="C257" s="6"/>
      <c r="D257" s="6"/>
      <c r="E257" s="6"/>
      <c r="F257" s="11"/>
      <c r="G257" s="11"/>
      <c r="H257" s="11"/>
      <c r="I257" s="11"/>
      <c r="J257" s="11"/>
      <c r="K257" s="11"/>
    </row>
    <row r="258" spans="1:11" s="9" customFormat="1" ht="21.9" customHeight="1">
      <c r="A258" s="6"/>
      <c r="B258" s="6"/>
      <c r="C258" s="6"/>
      <c r="D258" s="6"/>
      <c r="E258" s="6"/>
      <c r="F258" s="11"/>
      <c r="G258" s="11"/>
      <c r="H258" s="11"/>
      <c r="I258" s="11"/>
      <c r="J258" s="11"/>
      <c r="K258" s="11"/>
    </row>
    <row r="259" spans="1:11" s="9" customFormat="1" ht="21.9" customHeight="1">
      <c r="A259" s="6"/>
      <c r="B259" s="6"/>
      <c r="C259" s="6"/>
      <c r="D259" s="6"/>
      <c r="E259" s="6"/>
      <c r="F259" s="11"/>
      <c r="G259" s="11"/>
      <c r="H259" s="11"/>
      <c r="I259" s="11"/>
      <c r="J259" s="11"/>
      <c r="K259" s="11"/>
    </row>
    <row r="260" spans="1:11" s="9" customFormat="1" ht="21.9" customHeight="1">
      <c r="A260" s="6"/>
      <c r="B260" s="6"/>
      <c r="C260" s="6"/>
      <c r="D260" s="6"/>
      <c r="E260" s="6"/>
      <c r="F260" s="11"/>
      <c r="G260" s="11"/>
      <c r="H260" s="11"/>
      <c r="I260" s="11"/>
      <c r="J260" s="11"/>
      <c r="K260" s="11"/>
    </row>
    <row r="261" spans="1:11" s="9" customFormat="1" ht="21.9" customHeight="1">
      <c r="A261" s="6"/>
      <c r="B261" s="6"/>
      <c r="C261" s="6"/>
      <c r="D261" s="6"/>
      <c r="E261" s="6"/>
      <c r="F261" s="11"/>
      <c r="G261" s="11"/>
      <c r="H261" s="11"/>
      <c r="I261" s="11"/>
      <c r="J261" s="11"/>
      <c r="K261" s="11"/>
    </row>
    <row r="262" spans="1:11" s="9" customFormat="1" ht="21.9" customHeight="1">
      <c r="A262" s="6"/>
      <c r="B262" s="6"/>
      <c r="C262" s="6"/>
      <c r="D262" s="6"/>
      <c r="E262" s="6"/>
      <c r="F262" s="11"/>
      <c r="G262" s="11"/>
      <c r="H262" s="11"/>
      <c r="I262" s="11"/>
      <c r="J262" s="11"/>
      <c r="K262" s="11"/>
    </row>
    <row r="263" spans="1:11" s="9" customFormat="1" ht="21.9" customHeight="1">
      <c r="A263" s="6"/>
      <c r="B263" s="6"/>
      <c r="C263" s="6"/>
      <c r="D263" s="6"/>
      <c r="E263" s="6"/>
      <c r="F263" s="8"/>
      <c r="G263" s="8"/>
      <c r="H263" s="8"/>
      <c r="I263" s="8"/>
      <c r="J263" s="8"/>
      <c r="K263" s="8"/>
    </row>
    <row r="264" spans="1:11" s="9" customFormat="1" ht="21.9" customHeight="1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21.9" customHeight="1">
      <c r="A265" s="6"/>
      <c r="B265" s="6"/>
      <c r="C265" s="6"/>
      <c r="D265" s="6"/>
      <c r="E265" s="6"/>
      <c r="F265" s="8"/>
      <c r="G265" s="8"/>
      <c r="H265" s="8"/>
      <c r="I265" s="8"/>
      <c r="J265" s="8"/>
      <c r="K265" s="8"/>
    </row>
    <row r="266" spans="1:11" s="9" customFormat="1" ht="21.9" customHeight="1">
      <c r="A266" s="6"/>
      <c r="B266" s="6"/>
      <c r="C266" s="6"/>
      <c r="D266" s="6"/>
      <c r="E266" s="6"/>
      <c r="F266" s="8"/>
      <c r="G266" s="8"/>
      <c r="H266" s="8"/>
      <c r="I266" s="8"/>
      <c r="J266" s="8"/>
      <c r="K266" s="8"/>
    </row>
    <row r="267" spans="1:11" s="9" customFormat="1" ht="21.9" customHeight="1">
      <c r="A267" s="6"/>
      <c r="B267" s="6"/>
      <c r="C267" s="6"/>
      <c r="D267" s="6"/>
      <c r="E267" s="6"/>
      <c r="F267" s="8"/>
      <c r="G267" s="8"/>
      <c r="H267" s="8"/>
      <c r="I267" s="8"/>
      <c r="J267" s="8"/>
      <c r="K267" s="8"/>
    </row>
    <row r="268" spans="1:11" s="9" customFormat="1" ht="21.9" customHeight="1">
      <c r="A268" s="6"/>
      <c r="B268" s="6"/>
      <c r="C268" s="6"/>
      <c r="D268" s="6"/>
      <c r="E268" s="6"/>
      <c r="F268" s="8"/>
      <c r="G268" s="8"/>
      <c r="H268" s="8"/>
      <c r="I268" s="8"/>
      <c r="J268" s="8"/>
      <c r="K268" s="8"/>
    </row>
    <row r="269" spans="1:11" s="9" customFormat="1" ht="13.2">
      <c r="A269" s="6"/>
      <c r="B269" s="6"/>
      <c r="C269" s="6"/>
      <c r="D269" s="6"/>
      <c r="E269" s="6"/>
      <c r="F269" s="12"/>
      <c r="G269" s="12"/>
      <c r="H269" s="12"/>
      <c r="I269" s="12"/>
      <c r="J269" s="12"/>
      <c r="K269" s="12"/>
    </row>
    <row r="270" spans="1:11" s="9" customFormat="1" ht="13.2">
      <c r="A270" s="6"/>
      <c r="B270" s="6"/>
      <c r="C270" s="6"/>
      <c r="D270" s="6"/>
      <c r="E270" s="6"/>
      <c r="F270" s="10"/>
      <c r="G270" s="10"/>
      <c r="H270" s="10"/>
      <c r="I270" s="10"/>
      <c r="J270" s="10"/>
      <c r="K270" s="10"/>
    </row>
    <row r="271" spans="1:11" s="9" customFormat="1" ht="13.2">
      <c r="A271" s="6"/>
      <c r="B271" s="6"/>
      <c r="C271" s="6"/>
      <c r="D271" s="6"/>
      <c r="E271" s="6"/>
      <c r="F271" s="12"/>
      <c r="G271" s="12"/>
      <c r="H271" s="12"/>
      <c r="I271" s="12"/>
      <c r="J271" s="12"/>
      <c r="K271" s="12"/>
    </row>
    <row r="272" spans="1:11" s="9" customFormat="1" ht="13.2">
      <c r="A272" s="6"/>
      <c r="B272" s="6"/>
      <c r="C272" s="6"/>
      <c r="D272" s="6"/>
      <c r="E272" s="6"/>
      <c r="F272" s="12"/>
      <c r="G272" s="12"/>
      <c r="H272" s="12"/>
      <c r="I272" s="12"/>
      <c r="J272" s="12"/>
      <c r="K272" s="12"/>
    </row>
    <row r="273" spans="1:11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  <c r="K273" s="8"/>
    </row>
    <row r="274" spans="1:11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  <c r="K274" s="8"/>
    </row>
    <row r="275" spans="1:11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  <c r="K275" s="8"/>
    </row>
    <row r="276" spans="1:11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  <c r="K276" s="8"/>
    </row>
    <row r="277" spans="1:11" s="9" customFormat="1" ht="13.2">
      <c r="A277" s="6"/>
      <c r="B277" s="6"/>
      <c r="C277" s="6"/>
      <c r="D277" s="6"/>
      <c r="E277" s="6"/>
      <c r="F277" s="11"/>
      <c r="G277" s="11"/>
      <c r="H277" s="11"/>
      <c r="I277" s="11"/>
      <c r="J277" s="11"/>
      <c r="K277" s="11"/>
    </row>
    <row r="278" spans="1:11" s="9" customFormat="1" ht="13.2">
      <c r="A278" s="6"/>
      <c r="B278" s="6"/>
      <c r="C278" s="6"/>
      <c r="D278" s="6"/>
      <c r="E278" s="6"/>
      <c r="F278" s="12"/>
      <c r="G278" s="12"/>
      <c r="H278" s="12"/>
      <c r="I278" s="12"/>
      <c r="J278" s="12"/>
      <c r="K278" s="12"/>
    </row>
    <row r="279" spans="1:11" s="9" customFormat="1" ht="13.2">
      <c r="A279" s="6"/>
      <c r="B279" s="6"/>
      <c r="C279" s="6"/>
      <c r="D279" s="6"/>
      <c r="E279" s="6"/>
      <c r="F279" s="10"/>
      <c r="G279" s="10"/>
      <c r="H279" s="10"/>
      <c r="I279" s="10"/>
      <c r="J279" s="10"/>
      <c r="K279" s="10"/>
    </row>
    <row r="280" spans="1:11" s="9" customFormat="1" ht="13.2">
      <c r="A280" s="6"/>
      <c r="B280" s="6"/>
      <c r="C280" s="6"/>
      <c r="D280" s="6"/>
      <c r="E280" s="6"/>
      <c r="F280" s="11"/>
      <c r="G280" s="11"/>
      <c r="H280" s="11"/>
      <c r="I280" s="11"/>
      <c r="J280" s="11"/>
      <c r="K280" s="11"/>
    </row>
    <row r="281" spans="1:11" s="9" customFormat="1" ht="13.2">
      <c r="A281" s="6"/>
      <c r="B281" s="6"/>
      <c r="C281" s="6"/>
      <c r="D281" s="6"/>
      <c r="E281" s="6"/>
      <c r="F281" s="8"/>
      <c r="G281" s="8"/>
      <c r="H281" s="8"/>
      <c r="I281" s="8"/>
      <c r="J281" s="8"/>
      <c r="K281" s="8"/>
    </row>
    <row r="282" spans="1:11" s="9" customFormat="1" ht="13.2">
      <c r="A282" s="6"/>
      <c r="B282" s="6"/>
      <c r="C282" s="6"/>
      <c r="D282" s="6"/>
      <c r="E282" s="6"/>
      <c r="F282" s="7"/>
      <c r="G282" s="7"/>
      <c r="H282" s="7"/>
      <c r="I282" s="7"/>
      <c r="J282" s="7"/>
      <c r="K282" s="7"/>
    </row>
    <row r="283" spans="1:11" s="9" customFormat="1" ht="13.2">
      <c r="A283" s="6"/>
      <c r="B283" s="6"/>
      <c r="C283" s="6"/>
      <c r="D283" s="6"/>
      <c r="E283" s="6"/>
      <c r="F283" s="7"/>
      <c r="G283" s="7"/>
      <c r="H283" s="7"/>
      <c r="I283" s="7"/>
      <c r="J283" s="7"/>
      <c r="K283" s="7"/>
    </row>
    <row r="284" spans="1:11" s="9" customFormat="1" ht="13.2">
      <c r="A284" s="6"/>
      <c r="B284" s="6"/>
      <c r="C284" s="6"/>
      <c r="D284" s="6"/>
      <c r="E284" s="6"/>
      <c r="F284" s="7"/>
      <c r="G284" s="7"/>
      <c r="H284" s="7"/>
      <c r="I284" s="7"/>
      <c r="J284" s="7"/>
      <c r="K284" s="7"/>
    </row>
    <row r="285" spans="1:11" s="9" customFormat="1" ht="13.2">
      <c r="A285" s="6"/>
      <c r="B285" s="6"/>
      <c r="C285" s="6"/>
      <c r="D285" s="6"/>
      <c r="E285" s="6"/>
      <c r="F285" s="7"/>
      <c r="G285" s="7"/>
      <c r="H285" s="7"/>
      <c r="I285" s="7"/>
      <c r="J285" s="7"/>
      <c r="K285" s="7"/>
    </row>
    <row r="286" spans="1:11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  <c r="K286" s="8"/>
    </row>
    <row r="287" spans="1:11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  <c r="K287" s="8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  <c r="K290" s="8"/>
    </row>
    <row r="291" spans="1:11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  <c r="K291" s="8"/>
    </row>
    <row r="292" spans="1:11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  <c r="K292" s="8"/>
    </row>
    <row r="293" spans="1:11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  <c r="K293" s="8"/>
    </row>
    <row r="294" spans="1:11" s="9" customFormat="1" ht="13.2">
      <c r="A294" s="6"/>
      <c r="B294" s="6"/>
      <c r="C294" s="6"/>
      <c r="D294" s="6"/>
      <c r="E294" s="6"/>
      <c r="F294" s="12"/>
      <c r="G294" s="12"/>
      <c r="H294" s="12"/>
      <c r="I294" s="12"/>
      <c r="J294" s="12"/>
      <c r="K294" s="12"/>
    </row>
    <row r="295" spans="1:11" s="9" customFormat="1" ht="13.2">
      <c r="A295" s="6"/>
      <c r="B295" s="6"/>
      <c r="C295" s="6"/>
      <c r="D295" s="6"/>
      <c r="E295" s="6"/>
      <c r="F295" s="11"/>
      <c r="G295" s="11"/>
      <c r="H295" s="11"/>
      <c r="I295" s="11"/>
      <c r="J295" s="11"/>
      <c r="K295" s="11"/>
    </row>
    <row r="296" spans="1:11" s="9" customFormat="1" ht="13.2">
      <c r="A296" s="6"/>
      <c r="B296" s="6"/>
      <c r="C296" s="6"/>
      <c r="D296" s="6"/>
      <c r="E296" s="6"/>
      <c r="F296" s="12"/>
      <c r="G296" s="12"/>
      <c r="H296" s="12"/>
      <c r="I296" s="12"/>
      <c r="J296" s="12"/>
      <c r="K296" s="12"/>
    </row>
    <row r="297" spans="1:11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  <c r="K297" s="8"/>
    </row>
    <row r="298" spans="1:11" s="9" customFormat="1" ht="13.2">
      <c r="A298" s="6"/>
      <c r="B298" s="6"/>
      <c r="C298" s="6"/>
      <c r="D298" s="6"/>
      <c r="E298" s="6"/>
      <c r="F298" s="12"/>
      <c r="G298" s="12"/>
      <c r="H298" s="12"/>
      <c r="I298" s="12"/>
      <c r="J298" s="12"/>
      <c r="K298" s="12"/>
    </row>
    <row r="299" spans="1:11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  <c r="K299" s="8"/>
    </row>
    <row r="300" spans="1:11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  <c r="K300" s="8"/>
    </row>
    <row r="301" spans="1:11" s="9" customFormat="1" ht="13.2">
      <c r="A301" s="6"/>
      <c r="B301" s="6"/>
      <c r="C301" s="6"/>
      <c r="D301" s="6"/>
      <c r="E301" s="6"/>
      <c r="F301" s="12"/>
      <c r="G301" s="12"/>
      <c r="H301" s="12"/>
      <c r="I301" s="12"/>
      <c r="J301" s="12"/>
      <c r="K301" s="12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  <c r="K303" s="8"/>
    </row>
    <row r="304" spans="1:11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  <c r="K304" s="11"/>
    </row>
    <row r="305" spans="1:11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  <c r="K305" s="8"/>
    </row>
    <row r="306" spans="1:11" s="9" customFormat="1" ht="13.2">
      <c r="A306" s="6"/>
      <c r="B306" s="6"/>
      <c r="C306" s="6"/>
      <c r="D306" s="6"/>
      <c r="E306" s="6"/>
      <c r="F306" s="8"/>
      <c r="G306" s="8"/>
      <c r="H306" s="8"/>
      <c r="I306" s="8"/>
      <c r="J306" s="8"/>
      <c r="K306" s="8"/>
    </row>
    <row r="307" spans="1:11" s="9" customFormat="1" ht="13.2">
      <c r="A307" s="6"/>
      <c r="B307" s="6"/>
      <c r="C307" s="6"/>
      <c r="D307" s="6"/>
      <c r="E307" s="6"/>
      <c r="F307" s="8"/>
      <c r="G307" s="8"/>
      <c r="H307" s="8"/>
      <c r="I307" s="8"/>
      <c r="J307" s="8"/>
      <c r="K307" s="8"/>
    </row>
    <row r="308" spans="1:11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  <c r="K308" s="11"/>
    </row>
    <row r="309" spans="1:11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  <c r="K309" s="8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  <c r="K311" s="8"/>
    </row>
    <row r="312" spans="1:11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  <c r="K312" s="8"/>
    </row>
    <row r="313" spans="1:11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  <c r="K313" s="8"/>
    </row>
    <row r="314" spans="1:11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  <c r="K314" s="8"/>
    </row>
    <row r="315" spans="1:11" s="9" customFormat="1" ht="13.2">
      <c r="A315" s="6"/>
      <c r="B315" s="6"/>
      <c r="C315" s="6"/>
      <c r="D315" s="6"/>
      <c r="E315" s="6"/>
      <c r="F315" s="10"/>
      <c r="G315" s="10"/>
      <c r="H315" s="10"/>
      <c r="I315" s="10"/>
      <c r="J315" s="10"/>
      <c r="K315" s="10"/>
    </row>
    <row r="316" spans="1:11" s="9" customFormat="1" ht="13.2">
      <c r="A316" s="6"/>
      <c r="B316" s="6"/>
      <c r="C316" s="6"/>
      <c r="D316" s="6"/>
      <c r="E316" s="6"/>
      <c r="F316" s="11"/>
      <c r="G316" s="11"/>
      <c r="H316" s="11"/>
      <c r="I316" s="11"/>
      <c r="J316" s="11"/>
      <c r="K316" s="11"/>
    </row>
    <row r="317" spans="1:11" s="9" customFormat="1" ht="13.2">
      <c r="A317" s="6"/>
      <c r="B317" s="6"/>
      <c r="C317" s="6"/>
      <c r="D317" s="6"/>
      <c r="E317" s="6"/>
      <c r="F317" s="8"/>
      <c r="G317" s="8"/>
      <c r="H317" s="8"/>
      <c r="I317" s="8"/>
      <c r="J317" s="8"/>
      <c r="K317" s="8"/>
    </row>
    <row r="318" spans="1:11" s="9" customFormat="1" ht="13.2">
      <c r="A318" s="6"/>
      <c r="B318" s="6"/>
      <c r="C318" s="6"/>
      <c r="D318" s="6"/>
      <c r="E318" s="6"/>
      <c r="F318" s="11"/>
      <c r="G318" s="11"/>
      <c r="H318" s="11"/>
      <c r="I318" s="11"/>
      <c r="J318" s="11"/>
      <c r="K318" s="11"/>
    </row>
    <row r="319" spans="1:11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  <c r="K319" s="8"/>
    </row>
    <row r="320" spans="1:11" s="9" customFormat="1" ht="13.2">
      <c r="A320" s="6"/>
      <c r="B320" s="6"/>
      <c r="C320" s="6"/>
      <c r="D320" s="6"/>
      <c r="E320" s="6"/>
      <c r="F320" s="8"/>
      <c r="G320" s="8"/>
      <c r="H320" s="8"/>
      <c r="I320" s="8"/>
      <c r="J320" s="8"/>
      <c r="K320" s="8"/>
    </row>
    <row r="321" spans="1:11" s="9" customFormat="1" ht="13.2">
      <c r="A321" s="6"/>
      <c r="B321" s="6"/>
      <c r="C321" s="6"/>
      <c r="D321" s="6"/>
      <c r="E321" s="6"/>
      <c r="F321" s="11"/>
      <c r="G321" s="11"/>
      <c r="H321" s="11"/>
      <c r="I321" s="11"/>
      <c r="J321" s="11"/>
      <c r="K321" s="11"/>
    </row>
    <row r="322" spans="1:11" s="9" customFormat="1" ht="13.2">
      <c r="A322" s="6"/>
      <c r="B322" s="6"/>
      <c r="C322" s="6"/>
      <c r="D322" s="6"/>
      <c r="E322" s="6"/>
      <c r="F322" s="11"/>
      <c r="G322" s="11"/>
      <c r="H322" s="11"/>
      <c r="I322" s="11"/>
      <c r="J322" s="11"/>
      <c r="K322" s="11"/>
    </row>
    <row r="323" spans="1:11" s="9" customFormat="1" ht="13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spans="1:11" s="9" customFormat="1" ht="13.2">
      <c r="A324" s="6"/>
      <c r="B324" s="6"/>
      <c r="C324" s="6"/>
      <c r="D324" s="6"/>
      <c r="E324" s="6"/>
      <c r="F324" s="11"/>
      <c r="G324" s="11"/>
      <c r="H324" s="11"/>
      <c r="I324" s="11"/>
      <c r="J324" s="11"/>
      <c r="K324" s="11"/>
    </row>
    <row r="325" spans="1:11" s="9" customFormat="1" ht="13.2">
      <c r="A325" s="6"/>
      <c r="B325" s="6"/>
      <c r="C325" s="6"/>
      <c r="D325" s="6"/>
      <c r="E325" s="6"/>
      <c r="F325" s="11"/>
      <c r="G325" s="11"/>
      <c r="H325" s="11"/>
      <c r="I325" s="11"/>
      <c r="J325" s="11"/>
      <c r="K325" s="11"/>
    </row>
    <row r="326" spans="1:11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</row>
    <row r="327" spans="1:11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</row>
    <row r="328" spans="1:11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  <c r="K328" s="8"/>
    </row>
    <row r="329" spans="1:11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  <c r="K329" s="8"/>
    </row>
    <row r="330" spans="1:11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  <c r="K330" s="8"/>
    </row>
    <row r="331" spans="1:11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  <c r="K331" s="7"/>
    </row>
    <row r="332" spans="1:11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  <c r="K332" s="7"/>
    </row>
    <row r="333" spans="1:11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  <c r="K333" s="8"/>
    </row>
    <row r="334" spans="1:11" s="9" customFormat="1" ht="13.2">
      <c r="A334" s="6"/>
      <c r="B334" s="6"/>
      <c r="C334" s="6"/>
      <c r="D334" s="6"/>
      <c r="E334" s="6"/>
      <c r="F334" s="11"/>
      <c r="G334" s="11"/>
      <c r="H334" s="11"/>
      <c r="I334" s="11"/>
      <c r="J334" s="11"/>
      <c r="K334" s="11"/>
    </row>
    <row r="335" spans="1:11" s="9" customFormat="1" ht="13.2">
      <c r="A335" s="6"/>
      <c r="B335" s="6"/>
      <c r="C335" s="6"/>
      <c r="D335" s="6"/>
      <c r="E335" s="6"/>
      <c r="F335" s="7"/>
      <c r="G335" s="7"/>
      <c r="H335" s="7"/>
      <c r="I335" s="7"/>
      <c r="J335" s="7"/>
      <c r="K335" s="7"/>
    </row>
    <row r="336" spans="1:11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  <c r="K336" s="8"/>
    </row>
    <row r="337" spans="1:11" s="9" customFormat="1" ht="13.2">
      <c r="A337" s="6"/>
      <c r="B337" s="6"/>
      <c r="C337" s="6"/>
      <c r="D337" s="6"/>
      <c r="E337" s="6"/>
      <c r="F337" s="7"/>
      <c r="G337" s="7"/>
      <c r="H337" s="7"/>
      <c r="I337" s="7"/>
      <c r="J337" s="7"/>
      <c r="K337" s="7"/>
    </row>
    <row r="338" spans="1:11" s="9" customFormat="1" ht="13.2">
      <c r="A338" s="6"/>
      <c r="B338" s="6"/>
      <c r="C338" s="6"/>
      <c r="D338" s="6"/>
      <c r="E338" s="6"/>
      <c r="F338" s="7"/>
      <c r="G338" s="7"/>
      <c r="H338" s="7"/>
      <c r="I338" s="7"/>
      <c r="J338" s="7"/>
      <c r="K338" s="7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  <c r="K343" s="8"/>
    </row>
    <row r="344" spans="1:11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  <c r="K344" s="8"/>
    </row>
    <row r="345" spans="1:11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</row>
    <row r="346" spans="1:11" s="9" customFormat="1" ht="13.2">
      <c r="A346" s="6"/>
      <c r="B346" s="6"/>
      <c r="C346" s="6"/>
      <c r="D346" s="6"/>
      <c r="E346" s="6"/>
      <c r="F346" s="7"/>
      <c r="G346" s="7"/>
      <c r="H346" s="7"/>
      <c r="I346" s="7"/>
      <c r="J346" s="7"/>
      <c r="K346" s="7"/>
    </row>
    <row r="347" spans="1:11" s="9" customFormat="1" ht="13.2">
      <c r="A347" s="6"/>
      <c r="B347" s="6"/>
      <c r="C347" s="6"/>
      <c r="D347" s="6"/>
      <c r="E347" s="6"/>
      <c r="F347" s="7"/>
      <c r="G347" s="7"/>
      <c r="H347" s="7"/>
      <c r="I347" s="7"/>
      <c r="J347" s="7"/>
      <c r="K347" s="7"/>
    </row>
    <row r="348" spans="1:11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</row>
    <row r="360" spans="1:11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8"/>
      <c r="G371" s="8"/>
      <c r="H371" s="8"/>
      <c r="I371" s="8"/>
      <c r="J371" s="8"/>
      <c r="K371" s="8"/>
    </row>
    <row r="372" spans="1:11" s="9" customFormat="1" ht="13.2">
      <c r="A372" s="6"/>
      <c r="B372" s="6"/>
      <c r="C372" s="6"/>
      <c r="D372" s="6"/>
      <c r="E372" s="6"/>
      <c r="F372" s="8"/>
      <c r="G372" s="8"/>
      <c r="H372" s="8"/>
      <c r="I372" s="8"/>
      <c r="J372" s="8"/>
      <c r="K372" s="8"/>
    </row>
    <row r="373" spans="1:11" s="9" customFormat="1" ht="13.2">
      <c r="A373" s="6"/>
      <c r="B373" s="6"/>
      <c r="C373" s="6"/>
      <c r="D373" s="6"/>
      <c r="E373" s="6"/>
      <c r="F373" s="8"/>
      <c r="G373" s="8"/>
      <c r="H373" s="8"/>
      <c r="I373" s="8"/>
      <c r="J373" s="8"/>
      <c r="K373" s="8"/>
    </row>
    <row r="374" spans="1:11" s="9" customFormat="1" ht="13.2">
      <c r="A374" s="6"/>
      <c r="B374" s="6"/>
      <c r="C374" s="6"/>
      <c r="D374" s="6"/>
      <c r="E374" s="6"/>
      <c r="F374" s="8"/>
      <c r="G374" s="8"/>
      <c r="H374" s="8"/>
      <c r="I374" s="8"/>
      <c r="J374" s="8"/>
      <c r="K374" s="8"/>
    </row>
    <row r="375" spans="1:11" s="9" customFormat="1" ht="13.2">
      <c r="A375" s="6"/>
      <c r="B375" s="6"/>
      <c r="C375" s="6"/>
      <c r="D375" s="6"/>
      <c r="E375" s="6"/>
      <c r="F375" s="10"/>
      <c r="G375" s="10"/>
      <c r="H375" s="10"/>
      <c r="I375" s="10"/>
      <c r="J375" s="10"/>
      <c r="K375" s="10"/>
    </row>
    <row r="376" spans="1:11" s="9" customFormat="1" ht="13.2">
      <c r="A376" s="6"/>
      <c r="B376" s="6"/>
      <c r="C376" s="6"/>
      <c r="D376" s="6"/>
      <c r="E376" s="6"/>
      <c r="F376" s="10"/>
      <c r="G376" s="10"/>
      <c r="H376" s="10"/>
      <c r="I376" s="10"/>
      <c r="J376" s="10"/>
      <c r="K376" s="10"/>
    </row>
    <row r="377" spans="1:11" s="9" customFormat="1" ht="13.2">
      <c r="A377" s="6"/>
      <c r="B377" s="6"/>
      <c r="C377" s="6"/>
      <c r="D377" s="6"/>
      <c r="E377" s="6"/>
      <c r="F377" s="10"/>
      <c r="G377" s="10"/>
      <c r="H377" s="10"/>
      <c r="I377" s="10"/>
      <c r="J377" s="10"/>
      <c r="K377" s="10"/>
    </row>
    <row r="378" spans="1:11" s="9" customFormat="1" ht="13.2">
      <c r="A378" s="6"/>
      <c r="B378" s="6"/>
      <c r="C378" s="6"/>
      <c r="D378" s="6"/>
      <c r="E378" s="6"/>
      <c r="F378" s="8"/>
      <c r="G378" s="8"/>
      <c r="H378" s="8"/>
      <c r="I378" s="8"/>
      <c r="J378" s="8"/>
      <c r="K378" s="8"/>
    </row>
    <row r="379" spans="1:11" s="9" customFormat="1" ht="13.2">
      <c r="A379" s="6"/>
      <c r="B379" s="6"/>
      <c r="C379" s="6"/>
      <c r="D379" s="6"/>
      <c r="E379" s="6"/>
      <c r="F379" s="8"/>
      <c r="G379" s="8"/>
      <c r="H379" s="8"/>
      <c r="I379" s="8"/>
      <c r="J379" s="8"/>
      <c r="K379" s="8"/>
    </row>
    <row r="380" spans="1:11" s="9" customFormat="1" ht="13.2">
      <c r="A380" s="6"/>
      <c r="B380" s="6"/>
      <c r="C380" s="6"/>
      <c r="D380" s="6"/>
      <c r="E380" s="6"/>
      <c r="F380" s="10"/>
      <c r="G380" s="10"/>
      <c r="H380" s="10"/>
      <c r="I380" s="10"/>
      <c r="J380" s="10"/>
      <c r="K380" s="10"/>
    </row>
    <row r="381" spans="1:11" s="9" customFormat="1" ht="13.2">
      <c r="A381" s="6"/>
      <c r="B381" s="6"/>
      <c r="C381" s="6"/>
      <c r="D381" s="6"/>
      <c r="E381" s="6"/>
      <c r="F381" s="10"/>
      <c r="G381" s="10"/>
      <c r="H381" s="10"/>
      <c r="I381" s="10"/>
      <c r="J381" s="10"/>
      <c r="K381" s="10"/>
    </row>
    <row r="382" spans="1:11" s="9" customFormat="1" ht="13.2">
      <c r="A382" s="6"/>
      <c r="B382" s="6"/>
      <c r="C382" s="6"/>
      <c r="D382" s="6"/>
      <c r="E382" s="6"/>
      <c r="F382" s="10"/>
      <c r="G382" s="10"/>
      <c r="H382" s="10"/>
      <c r="I382" s="10"/>
      <c r="J382" s="10"/>
      <c r="K382" s="10"/>
    </row>
    <row r="383" spans="1:11" s="9" customFormat="1" ht="13.2">
      <c r="A383" s="6"/>
      <c r="B383" s="6"/>
      <c r="C383" s="6"/>
      <c r="D383" s="6"/>
      <c r="E383" s="6"/>
      <c r="F383" s="8"/>
      <c r="G383" s="8"/>
      <c r="H383" s="8"/>
      <c r="I383" s="8"/>
      <c r="J383" s="8"/>
      <c r="K383" s="8"/>
    </row>
    <row r="384" spans="1:11" s="9" customFormat="1" ht="13.2">
      <c r="A384" s="6"/>
      <c r="B384" s="6"/>
      <c r="C384" s="6"/>
      <c r="D384" s="6"/>
      <c r="E384" s="6"/>
      <c r="F384" s="8"/>
      <c r="G384" s="8"/>
      <c r="H384" s="8"/>
      <c r="I384" s="8"/>
      <c r="J384" s="8"/>
      <c r="K384" s="8"/>
    </row>
    <row r="385" spans="1:11" s="9" customFormat="1" ht="13.2">
      <c r="A385" s="6"/>
      <c r="B385" s="6"/>
      <c r="C385" s="6"/>
      <c r="D385" s="6"/>
      <c r="E385" s="6"/>
      <c r="F385" s="8"/>
      <c r="G385" s="8"/>
      <c r="H385" s="8"/>
      <c r="I385" s="8"/>
      <c r="J385" s="8"/>
      <c r="K385" s="8"/>
    </row>
    <row r="386" spans="1:11" s="9" customFormat="1" ht="13.2">
      <c r="A386" s="6"/>
      <c r="B386" s="6"/>
      <c r="C386" s="6"/>
      <c r="D386" s="6"/>
      <c r="E386" s="6"/>
      <c r="F386" s="12"/>
      <c r="G386" s="12"/>
      <c r="H386" s="12"/>
      <c r="I386" s="12"/>
      <c r="J386" s="12"/>
      <c r="K386" s="12"/>
    </row>
    <row r="387" spans="1:11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  <c r="K387" s="12"/>
    </row>
    <row r="388" spans="1:11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  <c r="K388" s="12"/>
    </row>
    <row r="389" spans="1:11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  <c r="K389" s="12"/>
    </row>
    <row r="390" spans="1:11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</row>
    <row r="391" spans="1:11" s="9" customFormat="1" ht="13.2">
      <c r="A391" s="13"/>
      <c r="B391" s="13"/>
      <c r="C391" s="13"/>
      <c r="D391" s="13"/>
      <c r="E391" s="13"/>
      <c r="F391" s="12"/>
      <c r="G391" s="12"/>
      <c r="H391" s="12"/>
      <c r="I391" s="12"/>
      <c r="J391" s="12"/>
      <c r="K391" s="12"/>
    </row>
    <row r="392" spans="1:11" s="9" customFormat="1" ht="13.2">
      <c r="A392" s="13"/>
      <c r="B392" s="13"/>
      <c r="C392" s="13"/>
      <c r="D392" s="13"/>
      <c r="E392" s="13"/>
      <c r="F392" s="12"/>
      <c r="G392" s="12"/>
      <c r="H392" s="12"/>
      <c r="I392" s="12"/>
      <c r="J392" s="12"/>
      <c r="K392" s="12"/>
    </row>
    <row r="393" spans="1:11" s="9" customFormat="1" ht="13.2">
      <c r="A393" s="13"/>
      <c r="B393" s="13"/>
      <c r="C393" s="13"/>
      <c r="D393" s="13"/>
      <c r="E393" s="13"/>
      <c r="F393" s="12"/>
      <c r="G393" s="12"/>
      <c r="H393" s="12"/>
      <c r="I393" s="12"/>
      <c r="J393" s="12"/>
      <c r="K393" s="12"/>
    </row>
    <row r="394" spans="1:11" s="9" customFormat="1" ht="13.2">
      <c r="A394" s="13"/>
      <c r="B394" s="13"/>
      <c r="C394" s="13"/>
      <c r="D394" s="13"/>
      <c r="E394" s="13"/>
      <c r="F394" s="12"/>
      <c r="G394" s="12"/>
      <c r="H394" s="12"/>
      <c r="I394" s="12"/>
      <c r="J394" s="12"/>
      <c r="K394" s="12"/>
    </row>
    <row r="395" spans="1:11" s="9" customFormat="1" ht="13.2">
      <c r="A395" s="13"/>
      <c r="B395" s="13"/>
      <c r="C395" s="13"/>
      <c r="D395" s="13"/>
      <c r="E395" s="13"/>
      <c r="F395" s="11"/>
      <c r="G395" s="11"/>
      <c r="H395" s="11"/>
      <c r="I395" s="11"/>
      <c r="J395" s="11"/>
      <c r="K395" s="11"/>
    </row>
    <row r="396" spans="1:11" s="9" customFormat="1" ht="13.2">
      <c r="A396" s="13"/>
      <c r="B396" s="13"/>
      <c r="C396" s="13"/>
      <c r="D396" s="13"/>
      <c r="E396" s="13"/>
      <c r="F396" s="11"/>
      <c r="G396" s="11"/>
      <c r="H396" s="11"/>
      <c r="I396" s="11"/>
      <c r="J396" s="11"/>
      <c r="K396" s="11"/>
    </row>
    <row r="397" spans="1:11" s="9" customFormat="1" ht="13.2">
      <c r="A397" s="13"/>
      <c r="B397" s="13"/>
      <c r="C397" s="13"/>
      <c r="D397" s="13"/>
      <c r="E397" s="13"/>
      <c r="F397" s="11"/>
      <c r="G397" s="11"/>
      <c r="H397" s="11"/>
      <c r="I397" s="11"/>
      <c r="J397" s="11"/>
      <c r="K397" s="11"/>
    </row>
    <row r="398" spans="1:11" s="9" customFormat="1" ht="13.2">
      <c r="A398" s="13"/>
      <c r="B398" s="13"/>
      <c r="C398" s="13"/>
      <c r="D398" s="13"/>
      <c r="E398" s="13"/>
      <c r="F398" s="11"/>
      <c r="G398" s="11"/>
      <c r="H398" s="11"/>
      <c r="I398" s="11"/>
      <c r="J398" s="11"/>
      <c r="K398" s="11"/>
    </row>
    <row r="399" spans="1:11" s="9" customFormat="1" ht="13.2">
      <c r="A399" s="13"/>
      <c r="B399" s="13"/>
      <c r="C399" s="13"/>
      <c r="D399" s="13"/>
      <c r="E399" s="13"/>
      <c r="F399" s="12"/>
      <c r="G399" s="12"/>
      <c r="H399" s="12"/>
      <c r="I399" s="12"/>
      <c r="J399" s="12"/>
      <c r="K399" s="12"/>
    </row>
    <row r="400" spans="1:11" s="9" customFormat="1" ht="13.2">
      <c r="A400" s="13"/>
      <c r="B400" s="13"/>
      <c r="C400" s="13"/>
      <c r="D400" s="13"/>
      <c r="E400" s="13"/>
      <c r="F400" s="12"/>
      <c r="G400" s="12"/>
      <c r="H400" s="12"/>
      <c r="I400" s="12"/>
      <c r="J400" s="12"/>
      <c r="K400" s="12"/>
    </row>
    <row r="401" spans="1:11" s="9" customFormat="1" ht="13.2">
      <c r="A401" s="13"/>
      <c r="B401" s="13"/>
      <c r="C401" s="13"/>
      <c r="D401" s="13"/>
      <c r="E401" s="13"/>
      <c r="F401" s="12"/>
      <c r="G401" s="12"/>
      <c r="H401" s="12"/>
      <c r="I401" s="12"/>
      <c r="J401" s="12"/>
      <c r="K401" s="12"/>
    </row>
    <row r="402" spans="1:11" s="9" customFormat="1" ht="13.2">
      <c r="A402" s="13"/>
      <c r="B402" s="13"/>
      <c r="C402" s="13"/>
      <c r="D402" s="13"/>
      <c r="E402" s="13"/>
      <c r="F402" s="8"/>
      <c r="G402" s="8"/>
      <c r="H402" s="8"/>
      <c r="I402" s="8"/>
      <c r="J402" s="8"/>
      <c r="K402" s="8"/>
    </row>
    <row r="403" spans="1:11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  <c r="K403" s="12"/>
    </row>
    <row r="404" spans="1:11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  <c r="K404" s="12"/>
    </row>
    <row r="405" spans="1:11" s="9" customFormat="1" ht="13.2">
      <c r="A405" s="13"/>
      <c r="B405" s="13"/>
      <c r="C405" s="13"/>
      <c r="D405" s="13"/>
      <c r="E405" s="13"/>
      <c r="F405" s="14"/>
      <c r="G405" s="14"/>
      <c r="H405" s="14"/>
      <c r="I405" s="14"/>
      <c r="J405" s="14"/>
      <c r="K405" s="14"/>
    </row>
    <row r="406" spans="1:11" s="9" customFormat="1" ht="13.2">
      <c r="A406" s="13"/>
      <c r="B406" s="13"/>
      <c r="C406" s="13"/>
      <c r="D406" s="13"/>
      <c r="E406" s="13"/>
      <c r="F406" s="14"/>
      <c r="G406" s="14"/>
      <c r="H406" s="14"/>
      <c r="I406" s="14"/>
      <c r="J406" s="14"/>
      <c r="K406" s="14"/>
    </row>
    <row r="407" spans="1:11" s="9" customFormat="1" ht="13.2">
      <c r="A407" s="13"/>
      <c r="B407" s="13"/>
      <c r="C407" s="13"/>
      <c r="D407" s="13"/>
      <c r="E407" s="13"/>
      <c r="F407" s="14"/>
      <c r="G407" s="14"/>
      <c r="H407" s="14"/>
      <c r="I407" s="14"/>
      <c r="J407" s="14"/>
      <c r="K407" s="14"/>
    </row>
    <row r="408" spans="1:11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</row>
    <row r="409" spans="1:11" s="9" customFormat="1" ht="13.2">
      <c r="A409" s="13"/>
      <c r="B409" s="13"/>
      <c r="C409" s="13"/>
      <c r="D409" s="13"/>
      <c r="E409" s="13"/>
      <c r="F409" s="14"/>
      <c r="G409" s="14"/>
      <c r="H409" s="14"/>
      <c r="I409" s="14"/>
      <c r="J409" s="14"/>
      <c r="K409" s="14"/>
    </row>
    <row r="410" spans="1:11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  <c r="K410" s="14"/>
    </row>
    <row r="411" spans="1:11" s="9" customFormat="1" ht="13.2">
      <c r="A411" s="13"/>
      <c r="B411" s="13"/>
      <c r="C411" s="13"/>
      <c r="D411" s="13"/>
      <c r="E411" s="13"/>
      <c r="F411" s="14"/>
      <c r="G411" s="14"/>
      <c r="H411" s="14"/>
      <c r="I411" s="14"/>
      <c r="J411" s="14"/>
      <c r="K411" s="14"/>
    </row>
    <row r="412" spans="1:11" s="9" customFormat="1" ht="13.2">
      <c r="A412" s="13"/>
      <c r="B412" s="13"/>
      <c r="C412" s="13"/>
      <c r="D412" s="13"/>
      <c r="E412" s="13"/>
      <c r="F412" s="10"/>
      <c r="G412" s="10"/>
      <c r="H412" s="10"/>
      <c r="I412" s="10"/>
      <c r="J412" s="10"/>
      <c r="K412" s="10"/>
    </row>
    <row r="413" spans="1:11" s="9" customFormat="1" ht="13.2">
      <c r="A413" s="13"/>
      <c r="B413" s="13"/>
      <c r="C413" s="13"/>
      <c r="D413" s="13"/>
      <c r="E413" s="13"/>
      <c r="F413" s="14"/>
      <c r="G413" s="14"/>
      <c r="H413" s="14"/>
      <c r="I413" s="14"/>
      <c r="J413" s="14"/>
      <c r="K413" s="14"/>
    </row>
    <row r="414" spans="1:11" s="9" customFormat="1" ht="13.2">
      <c r="A414" s="13"/>
      <c r="B414" s="13"/>
      <c r="C414" s="13"/>
      <c r="D414" s="13"/>
      <c r="E414" s="13"/>
      <c r="F414" s="14"/>
      <c r="G414" s="14"/>
      <c r="H414" s="14"/>
      <c r="I414" s="14"/>
      <c r="J414" s="14"/>
      <c r="K414" s="14"/>
    </row>
    <row r="415" spans="1:11" s="9" customFormat="1" ht="13.2">
      <c r="A415" s="13"/>
      <c r="B415" s="13"/>
      <c r="C415" s="13"/>
      <c r="D415" s="13"/>
      <c r="E415" s="13"/>
      <c r="F415" s="14"/>
      <c r="G415" s="14"/>
      <c r="H415" s="14"/>
      <c r="I415" s="14"/>
      <c r="J415" s="14"/>
      <c r="K415" s="14"/>
    </row>
    <row r="416" spans="1:11" s="9" customFormat="1" ht="13.2">
      <c r="A416" s="13"/>
      <c r="B416" s="13"/>
      <c r="C416" s="13"/>
      <c r="D416" s="13"/>
      <c r="E416" s="13"/>
      <c r="F416" s="8"/>
      <c r="G416" s="8"/>
      <c r="H416" s="8"/>
      <c r="I416" s="8"/>
      <c r="J416" s="8"/>
      <c r="K416" s="8"/>
    </row>
    <row r="417" spans="1:11" s="9" customFormat="1" ht="13.2">
      <c r="A417" s="13"/>
      <c r="B417" s="13"/>
      <c r="C417" s="13"/>
      <c r="D417" s="13"/>
      <c r="E417" s="13"/>
      <c r="F417" s="14"/>
      <c r="G417" s="14"/>
      <c r="H417" s="14"/>
      <c r="I417" s="14"/>
      <c r="J417" s="14"/>
      <c r="K417" s="14"/>
    </row>
    <row r="418" spans="1:11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  <c r="K418" s="10"/>
    </row>
    <row r="419" spans="1:11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  <c r="K419" s="12"/>
    </row>
    <row r="420" spans="1:11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  <c r="K420" s="12"/>
    </row>
    <row r="421" spans="1:11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  <c r="K421" s="12"/>
    </row>
    <row r="422" spans="1:11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  <c r="K422" s="12"/>
    </row>
    <row r="423" spans="1:11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  <c r="K423" s="12"/>
    </row>
    <row r="424" spans="1:11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  <c r="K424" s="12"/>
    </row>
    <row r="425" spans="1:11" s="9" customFormat="1" ht="13.2">
      <c r="A425" s="13"/>
      <c r="B425" s="13"/>
      <c r="C425" s="13"/>
      <c r="D425" s="13"/>
      <c r="E425" s="13"/>
      <c r="F425" s="14"/>
      <c r="G425" s="14"/>
      <c r="H425" s="14"/>
      <c r="I425" s="14"/>
      <c r="J425" s="14"/>
      <c r="K425" s="14"/>
    </row>
    <row r="426" spans="1:11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  <c r="K426" s="8"/>
    </row>
    <row r="427" spans="1:11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  <c r="K427" s="8"/>
    </row>
    <row r="428" spans="1:11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  <c r="K428" s="8"/>
    </row>
    <row r="429" spans="1:11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  <c r="K429" s="8"/>
    </row>
    <row r="430" spans="1:11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  <c r="K430" s="8"/>
    </row>
    <row r="431" spans="1:11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  <c r="K431" s="8"/>
    </row>
    <row r="432" spans="1:11" s="9" customFormat="1" ht="13.2">
      <c r="A432" s="13"/>
      <c r="B432" s="13"/>
      <c r="C432" s="13"/>
      <c r="D432" s="13"/>
      <c r="E432" s="13"/>
      <c r="F432" s="10"/>
      <c r="G432" s="10"/>
      <c r="H432" s="10"/>
      <c r="I432" s="10"/>
      <c r="J432" s="10"/>
      <c r="K432" s="10"/>
    </row>
    <row r="433" spans="1:11" s="9" customFormat="1" ht="13.2">
      <c r="A433" s="13"/>
      <c r="B433" s="13"/>
      <c r="C433" s="13"/>
      <c r="D433" s="13"/>
      <c r="E433" s="13"/>
      <c r="F433" s="10"/>
      <c r="G433" s="10"/>
      <c r="H433" s="10"/>
      <c r="I433" s="10"/>
      <c r="J433" s="10"/>
      <c r="K433" s="10"/>
    </row>
    <row r="434" spans="1:11" s="9" customFormat="1" ht="13.2">
      <c r="A434" s="13"/>
      <c r="B434" s="13"/>
      <c r="C434" s="13"/>
      <c r="D434" s="13"/>
      <c r="E434" s="13"/>
      <c r="F434" s="10"/>
      <c r="G434" s="10"/>
      <c r="H434" s="10"/>
      <c r="I434" s="10"/>
      <c r="J434" s="10"/>
      <c r="K434" s="10"/>
    </row>
    <row r="435" spans="1:11" s="9" customFormat="1" ht="13.2">
      <c r="A435" s="13"/>
      <c r="B435" s="13"/>
      <c r="C435" s="13"/>
      <c r="D435" s="13"/>
      <c r="E435" s="13"/>
      <c r="F435" s="10"/>
      <c r="G435" s="10"/>
      <c r="H435" s="10"/>
      <c r="I435" s="10"/>
      <c r="J435" s="10"/>
      <c r="K435" s="10"/>
    </row>
    <row r="436" spans="1:11" s="9" customFormat="1" ht="13.2">
      <c r="A436" s="13"/>
      <c r="B436" s="13"/>
      <c r="C436" s="13"/>
      <c r="D436" s="13"/>
      <c r="E436" s="13"/>
      <c r="F436" s="12"/>
      <c r="G436" s="12"/>
      <c r="H436" s="12"/>
      <c r="I436" s="12"/>
      <c r="J436" s="12"/>
      <c r="K436" s="12"/>
    </row>
    <row r="437" spans="1:11" s="9" customFormat="1" ht="13.2">
      <c r="A437" s="13"/>
      <c r="B437" s="13"/>
      <c r="C437" s="13"/>
      <c r="D437" s="13"/>
      <c r="E437" s="13"/>
      <c r="F437" s="12"/>
      <c r="G437" s="12"/>
      <c r="H437" s="12"/>
      <c r="I437" s="12"/>
      <c r="J437" s="12"/>
      <c r="K437" s="12"/>
    </row>
    <row r="438" spans="1:11" s="9" customFormat="1" ht="13.2">
      <c r="A438" s="13"/>
      <c r="B438" s="13"/>
      <c r="C438" s="13"/>
      <c r="D438" s="13"/>
      <c r="E438" s="13"/>
      <c r="F438" s="12"/>
      <c r="G438" s="12"/>
      <c r="H438" s="12"/>
      <c r="I438" s="12"/>
      <c r="J438" s="12"/>
      <c r="K438" s="12"/>
    </row>
    <row r="439" spans="1:11" s="9" customFormat="1" ht="13.2">
      <c r="A439" s="13"/>
      <c r="B439" s="13"/>
      <c r="C439" s="13"/>
      <c r="D439" s="13"/>
      <c r="E439" s="13"/>
      <c r="F439" s="8"/>
      <c r="G439" s="8"/>
      <c r="H439" s="8"/>
      <c r="I439" s="8"/>
      <c r="J439" s="8"/>
      <c r="K439" s="8"/>
    </row>
    <row r="440" spans="1:11" s="9" customFormat="1" ht="13.2">
      <c r="A440" s="13"/>
      <c r="B440" s="13"/>
      <c r="C440" s="13"/>
      <c r="D440" s="13"/>
      <c r="E440" s="13"/>
      <c r="F440" s="8"/>
      <c r="G440" s="8"/>
      <c r="H440" s="8"/>
      <c r="I440" s="8"/>
      <c r="J440" s="8"/>
      <c r="K440" s="8"/>
    </row>
    <row r="441" spans="1:11" s="9" customFormat="1" ht="13.2">
      <c r="A441" s="13"/>
      <c r="B441" s="13"/>
      <c r="C441" s="13"/>
      <c r="D441" s="13"/>
      <c r="E441" s="13"/>
      <c r="F441" s="12"/>
      <c r="G441" s="12"/>
      <c r="H441" s="12"/>
      <c r="I441" s="12"/>
      <c r="J441" s="12"/>
      <c r="K441" s="12"/>
    </row>
    <row r="442" spans="1:11" s="9" customFormat="1" ht="13.2">
      <c r="A442" s="13"/>
      <c r="B442" s="13"/>
      <c r="C442" s="13"/>
      <c r="D442" s="13"/>
      <c r="E442" s="13"/>
      <c r="F442" s="12"/>
      <c r="G442" s="12"/>
      <c r="H442" s="12"/>
      <c r="I442" s="12"/>
      <c r="J442" s="12"/>
      <c r="K442" s="12"/>
    </row>
    <row r="443" spans="1:11" s="9" customFormat="1" ht="13.2">
      <c r="A443" s="13"/>
      <c r="B443" s="13"/>
      <c r="C443" s="13"/>
      <c r="D443" s="13"/>
      <c r="E443" s="13"/>
      <c r="F443" s="8"/>
      <c r="G443" s="8"/>
      <c r="H443" s="8"/>
      <c r="I443" s="8"/>
      <c r="J443" s="8"/>
      <c r="K443" s="8"/>
    </row>
    <row r="444" spans="1:11" s="9" customFormat="1" ht="13.2">
      <c r="A444" s="13"/>
      <c r="B444" s="13"/>
      <c r="C444" s="13"/>
      <c r="D444" s="13"/>
      <c r="E444" s="13"/>
      <c r="F444" s="8"/>
      <c r="G444" s="8"/>
      <c r="H444" s="8"/>
      <c r="I444" s="8"/>
      <c r="J444" s="8"/>
      <c r="K444" s="8"/>
    </row>
    <row r="445" spans="1:11" s="9" customFormat="1" ht="13.2">
      <c r="A445" s="13"/>
      <c r="B445" s="13"/>
      <c r="C445" s="13"/>
      <c r="D445" s="13"/>
      <c r="E445" s="13"/>
      <c r="F445" s="8"/>
      <c r="G445" s="8"/>
      <c r="H445" s="8"/>
      <c r="I445" s="8"/>
      <c r="J445" s="8"/>
      <c r="K445" s="8"/>
    </row>
    <row r="446" spans="1:11" s="9" customFormat="1" ht="13.2">
      <c r="A446" s="13"/>
      <c r="B446" s="13"/>
      <c r="C446" s="13"/>
      <c r="D446" s="13"/>
      <c r="E446" s="13"/>
      <c r="F446" s="8"/>
      <c r="G446" s="8"/>
      <c r="H446" s="8"/>
      <c r="I446" s="8"/>
      <c r="J446" s="8"/>
      <c r="K446" s="8"/>
    </row>
    <row r="447" spans="1:11" s="9" customFormat="1" ht="13.2">
      <c r="A447" s="13"/>
      <c r="B447" s="13"/>
      <c r="C447" s="13"/>
      <c r="D447" s="13"/>
      <c r="E447" s="13"/>
      <c r="F447" s="8"/>
      <c r="G447" s="8"/>
      <c r="H447" s="8"/>
      <c r="I447" s="8"/>
      <c r="J447" s="8"/>
      <c r="K447" s="8"/>
    </row>
    <row r="448" spans="1:11" s="9" customFormat="1" ht="13.2">
      <c r="A448" s="13"/>
      <c r="B448" s="13"/>
      <c r="C448" s="13"/>
      <c r="D448" s="13"/>
      <c r="E448" s="13"/>
      <c r="F448" s="8"/>
      <c r="G448" s="8"/>
      <c r="H448" s="8"/>
      <c r="I448" s="8"/>
      <c r="J448" s="8"/>
      <c r="K448" s="8"/>
    </row>
    <row r="449" spans="1:11" s="9" customFormat="1" ht="13.2">
      <c r="A449" s="13"/>
      <c r="B449" s="13"/>
      <c r="C449" s="13"/>
      <c r="D449" s="13"/>
      <c r="E449" s="13"/>
      <c r="F449" s="11"/>
      <c r="G449" s="11"/>
      <c r="H449" s="11"/>
      <c r="I449" s="11"/>
      <c r="J449" s="11"/>
      <c r="K449" s="11"/>
    </row>
    <row r="450" spans="1:11" s="9" customFormat="1" ht="13.2">
      <c r="A450" s="13"/>
      <c r="B450" s="13"/>
      <c r="C450" s="13"/>
      <c r="D450" s="13"/>
      <c r="E450" s="13"/>
      <c r="F450" s="11"/>
      <c r="G450" s="11"/>
      <c r="H450" s="11"/>
      <c r="I450" s="11"/>
      <c r="J450" s="11"/>
      <c r="K450" s="11"/>
    </row>
    <row r="451" spans="1:11" s="9" customFormat="1" ht="13.2">
      <c r="A451" s="13"/>
      <c r="B451" s="13"/>
      <c r="C451" s="13"/>
      <c r="D451" s="13"/>
      <c r="E451" s="13"/>
      <c r="F451" s="11"/>
      <c r="G451" s="11"/>
      <c r="H451" s="11"/>
      <c r="I451" s="11"/>
      <c r="J451" s="11"/>
      <c r="K451" s="11"/>
    </row>
    <row r="452" spans="1:11" s="9" customFormat="1" ht="13.2">
      <c r="A452" s="13"/>
      <c r="B452" s="13"/>
      <c r="C452" s="13"/>
      <c r="D452" s="13"/>
      <c r="E452" s="13"/>
      <c r="F452" s="11"/>
      <c r="G452" s="11"/>
      <c r="H452" s="11"/>
      <c r="I452" s="11"/>
      <c r="J452" s="11"/>
      <c r="K452" s="11"/>
    </row>
    <row r="453" spans="1:11" s="9" customFormat="1" ht="13.2">
      <c r="A453" s="15"/>
      <c r="B453" s="15"/>
      <c r="C453" s="15"/>
      <c r="D453" s="15"/>
      <c r="E453" s="15"/>
      <c r="F453" s="12"/>
      <c r="G453" s="12"/>
      <c r="H453" s="12"/>
      <c r="I453" s="12"/>
      <c r="J453" s="12"/>
      <c r="K453" s="12"/>
    </row>
    <row r="454" spans="1:11" s="9" customFormat="1" ht="13.2">
      <c r="A454" s="15"/>
      <c r="B454" s="15"/>
      <c r="C454" s="15"/>
      <c r="D454" s="15"/>
      <c r="E454" s="15"/>
      <c r="F454" s="11"/>
      <c r="G454" s="11"/>
      <c r="H454" s="11"/>
      <c r="I454" s="11"/>
      <c r="J454" s="11"/>
      <c r="K454" s="11"/>
    </row>
    <row r="455" spans="1:11" s="9" customFormat="1" ht="13.2">
      <c r="A455" s="15"/>
      <c r="B455" s="15"/>
      <c r="C455" s="15"/>
      <c r="D455" s="15"/>
      <c r="E455" s="15"/>
      <c r="F455" s="12"/>
      <c r="G455" s="12"/>
      <c r="H455" s="12"/>
      <c r="I455" s="12"/>
      <c r="J455" s="12"/>
      <c r="K455" s="12"/>
    </row>
    <row r="456" spans="1:11" s="9" customFormat="1" ht="13.2">
      <c r="A456" s="15"/>
      <c r="B456" s="15"/>
      <c r="C456" s="15"/>
      <c r="D456" s="15"/>
      <c r="E456" s="15"/>
      <c r="F456" s="12"/>
      <c r="G456" s="12"/>
      <c r="H456" s="12"/>
      <c r="I456" s="12"/>
      <c r="J456" s="12"/>
      <c r="K456" s="12"/>
    </row>
    <row r="457" spans="1:11" s="9" customFormat="1" ht="13.2">
      <c r="A457" s="15"/>
      <c r="B457" s="15"/>
      <c r="C457" s="15"/>
      <c r="D457" s="15"/>
      <c r="E457" s="15"/>
      <c r="F457" s="12"/>
      <c r="G457" s="12"/>
      <c r="H457" s="12"/>
      <c r="I457" s="12"/>
      <c r="J457" s="12"/>
      <c r="K457" s="12"/>
    </row>
    <row r="458" spans="1:11" s="9" customFormat="1" ht="13.2">
      <c r="A458" s="15"/>
      <c r="B458" s="15"/>
      <c r="C458" s="15"/>
      <c r="D458" s="15"/>
      <c r="E458" s="15"/>
      <c r="F458" s="12"/>
      <c r="G458" s="12"/>
      <c r="H458" s="12"/>
      <c r="I458" s="12"/>
      <c r="J458" s="12"/>
      <c r="K458" s="12"/>
    </row>
    <row r="459" spans="1:11" s="9" customFormat="1" ht="13.2">
      <c r="A459" s="15"/>
      <c r="B459" s="15"/>
      <c r="C459" s="15"/>
      <c r="D459" s="15"/>
      <c r="E459" s="15"/>
      <c r="F459" s="12"/>
      <c r="G459" s="12"/>
      <c r="H459" s="12"/>
      <c r="I459" s="12"/>
      <c r="J459" s="12"/>
      <c r="K459" s="12"/>
    </row>
    <row r="460" spans="1:11" s="9" customFormat="1" ht="13.2">
      <c r="A460" s="15"/>
      <c r="B460" s="15"/>
      <c r="C460" s="15"/>
      <c r="D460" s="15"/>
      <c r="E460" s="15"/>
      <c r="F460" s="12"/>
      <c r="G460" s="12"/>
      <c r="H460" s="12"/>
      <c r="I460" s="12"/>
      <c r="J460" s="12"/>
      <c r="K460" s="12"/>
    </row>
    <row r="461" spans="1:11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  <c r="K461" s="8"/>
    </row>
    <row r="462" spans="1:11" s="9" customFormat="1" ht="13.2">
      <c r="A462" s="15"/>
      <c r="B462" s="15"/>
      <c r="C462" s="15"/>
      <c r="D462" s="15"/>
      <c r="E462" s="15"/>
      <c r="F462" s="12"/>
      <c r="G462" s="12"/>
      <c r="H462" s="12"/>
      <c r="I462" s="12"/>
      <c r="J462" s="12"/>
      <c r="K462" s="12"/>
    </row>
    <row r="463" spans="1:11" s="9" customFormat="1" ht="13.2">
      <c r="A463" s="15"/>
      <c r="B463" s="15"/>
      <c r="C463" s="15"/>
      <c r="D463" s="15"/>
      <c r="E463" s="15"/>
      <c r="F463" s="12"/>
      <c r="G463" s="12"/>
      <c r="H463" s="12"/>
      <c r="I463" s="12"/>
      <c r="J463" s="12"/>
      <c r="K463" s="12"/>
    </row>
    <row r="464" spans="1:11" s="9" customFormat="1" ht="13.2">
      <c r="A464" s="15"/>
      <c r="B464" s="15"/>
      <c r="C464" s="15"/>
      <c r="D464" s="15"/>
      <c r="E464" s="15"/>
      <c r="F464" s="12"/>
      <c r="G464" s="12"/>
      <c r="H464" s="12"/>
      <c r="I464" s="12"/>
      <c r="J464" s="12"/>
      <c r="K464" s="12"/>
    </row>
    <row r="465" spans="1:11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  <c r="K465" s="8"/>
    </row>
    <row r="466" spans="1:11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  <c r="K466" s="8"/>
    </row>
    <row r="467" spans="1:11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  <c r="K467" s="8"/>
    </row>
    <row r="468" spans="1:11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  <c r="K468" s="8"/>
    </row>
    <row r="469" spans="1:11" s="9" customFormat="1" ht="13.2">
      <c r="A469" s="15"/>
      <c r="B469" s="15"/>
      <c r="C469" s="15"/>
      <c r="D469" s="15"/>
      <c r="E469" s="15"/>
      <c r="F469" s="8"/>
      <c r="G469" s="8"/>
      <c r="H469" s="8"/>
      <c r="I469" s="8"/>
      <c r="J469" s="8"/>
      <c r="K469" s="8"/>
    </row>
    <row r="470" spans="1:11" s="9" customFormat="1" ht="13.2">
      <c r="A470" s="15"/>
      <c r="B470" s="15"/>
      <c r="C470" s="15"/>
      <c r="D470" s="15"/>
      <c r="E470" s="15"/>
      <c r="F470" s="8"/>
      <c r="G470" s="8"/>
      <c r="H470" s="8"/>
      <c r="I470" s="8"/>
      <c r="J470" s="8"/>
      <c r="K470" s="8"/>
    </row>
    <row r="471" spans="1:11" s="9" customFormat="1" ht="13.2">
      <c r="A471" s="15"/>
      <c r="B471" s="15"/>
      <c r="C471" s="15"/>
      <c r="D471" s="15"/>
      <c r="E471" s="15"/>
      <c r="F471" s="11"/>
      <c r="G471" s="11"/>
      <c r="H471" s="11"/>
      <c r="I471" s="11"/>
      <c r="J471" s="11"/>
      <c r="K471" s="11"/>
    </row>
    <row r="472" spans="1:11" s="9" customFormat="1" ht="13.2">
      <c r="A472" s="15"/>
      <c r="B472" s="15"/>
      <c r="C472" s="15"/>
      <c r="D472" s="15"/>
      <c r="E472" s="15"/>
      <c r="F472" s="11"/>
      <c r="G472" s="11"/>
      <c r="H472" s="11"/>
      <c r="I472" s="11"/>
      <c r="J472" s="11"/>
      <c r="K472" s="11"/>
    </row>
    <row r="473" spans="1:11" s="9" customFormat="1" ht="13.2">
      <c r="A473" s="15"/>
      <c r="B473" s="15"/>
      <c r="C473" s="15"/>
      <c r="D473" s="15"/>
      <c r="E473" s="15"/>
      <c r="F473" s="11"/>
      <c r="G473" s="11"/>
      <c r="H473" s="11"/>
      <c r="I473" s="11"/>
      <c r="J473" s="11"/>
      <c r="K473" s="11"/>
    </row>
    <row r="474" spans="1:11" s="9" customFormat="1" ht="13.2">
      <c r="A474" s="15"/>
      <c r="B474" s="15"/>
      <c r="C474" s="15"/>
      <c r="D474" s="15"/>
      <c r="E474" s="15"/>
      <c r="F474" s="11"/>
      <c r="G474" s="11"/>
      <c r="H474" s="11"/>
      <c r="I474" s="11"/>
      <c r="J474" s="11"/>
      <c r="K474" s="11"/>
    </row>
    <row r="475" spans="1:11" s="9" customFormat="1" ht="13.2">
      <c r="A475" s="15"/>
      <c r="B475" s="15"/>
      <c r="C475" s="15"/>
      <c r="D475" s="15"/>
      <c r="E475" s="15"/>
      <c r="F475" s="11"/>
      <c r="G475" s="11"/>
      <c r="H475" s="11"/>
      <c r="I475" s="11"/>
      <c r="J475" s="11"/>
      <c r="K475" s="11"/>
    </row>
    <row r="476" spans="1:11" s="9" customFormat="1" ht="13.2">
      <c r="A476" s="15"/>
      <c r="B476" s="15"/>
      <c r="C476" s="15"/>
      <c r="D476" s="15"/>
      <c r="E476" s="15"/>
      <c r="F476" s="11"/>
      <c r="G476" s="11"/>
      <c r="H476" s="11"/>
      <c r="I476" s="11"/>
      <c r="J476" s="11"/>
      <c r="K476" s="11"/>
    </row>
    <row r="477" spans="1:11" s="9" customFormat="1" ht="13.2">
      <c r="A477" s="15"/>
      <c r="B477" s="15"/>
      <c r="C477" s="15"/>
      <c r="D477" s="15"/>
      <c r="E477" s="15"/>
      <c r="F477" s="8"/>
      <c r="G477" s="8"/>
      <c r="H477" s="8"/>
      <c r="I477" s="8"/>
      <c r="J477" s="8"/>
      <c r="K477" s="8"/>
    </row>
    <row r="478" spans="1:11" s="9" customFormat="1" ht="13.2">
      <c r="A478" s="15"/>
      <c r="B478" s="15"/>
      <c r="C478" s="15"/>
      <c r="D478" s="15"/>
      <c r="E478" s="15"/>
      <c r="F478" s="8"/>
      <c r="G478" s="8"/>
      <c r="H478" s="8"/>
      <c r="I478" s="8"/>
      <c r="J478" s="8"/>
      <c r="K478" s="8"/>
    </row>
    <row r="479" spans="1:11" s="9" customFormat="1" ht="13.2">
      <c r="A479" s="15"/>
      <c r="B479" s="15"/>
      <c r="C479" s="15"/>
      <c r="D479" s="15"/>
      <c r="E479" s="15"/>
      <c r="F479" s="8"/>
      <c r="G479" s="8"/>
      <c r="H479" s="8"/>
      <c r="I479" s="8"/>
      <c r="J479" s="8"/>
      <c r="K479" s="8"/>
    </row>
    <row r="480" spans="1:11" s="9" customFormat="1" ht="13.2">
      <c r="A480" s="15"/>
      <c r="B480" s="15"/>
      <c r="C480" s="15"/>
      <c r="D480" s="15"/>
      <c r="E480" s="15"/>
      <c r="F480" s="8"/>
      <c r="G480" s="8"/>
      <c r="H480" s="8"/>
      <c r="I480" s="8"/>
      <c r="J480" s="8"/>
      <c r="K480" s="8"/>
    </row>
    <row r="481" spans="1:11" s="9" customFormat="1" ht="13.2">
      <c r="A481" s="15"/>
      <c r="B481" s="15"/>
      <c r="C481" s="15"/>
      <c r="D481" s="15"/>
      <c r="E481" s="15"/>
      <c r="F481" s="8"/>
      <c r="G481" s="8"/>
      <c r="H481" s="8"/>
      <c r="I481" s="8"/>
      <c r="J481" s="8"/>
      <c r="K481" s="8"/>
    </row>
    <row r="482" spans="1:11" s="9" customFormat="1" ht="13.2">
      <c r="A482" s="15"/>
      <c r="B482" s="15"/>
      <c r="C482" s="15"/>
      <c r="D482" s="15"/>
      <c r="E482" s="15"/>
      <c r="F482" s="8"/>
      <c r="G482" s="8"/>
      <c r="H482" s="8"/>
      <c r="I482" s="8"/>
      <c r="J482" s="8"/>
      <c r="K482" s="8"/>
    </row>
    <row r="483" spans="1:11" s="9" customFormat="1" ht="13.2">
      <c r="A483" s="15"/>
      <c r="B483" s="15"/>
      <c r="C483" s="15"/>
      <c r="D483" s="15"/>
      <c r="E483" s="15"/>
      <c r="F483" s="8"/>
      <c r="G483" s="8"/>
      <c r="H483" s="8"/>
      <c r="I483" s="8"/>
      <c r="J483" s="8"/>
      <c r="K483" s="8"/>
    </row>
    <row r="484" spans="1:11" s="9" customFormat="1" ht="13.2">
      <c r="A484" s="6"/>
      <c r="B484" s="6"/>
      <c r="C484" s="6"/>
      <c r="D484" s="6"/>
      <c r="E484" s="6"/>
      <c r="F484" s="12"/>
      <c r="G484" s="12"/>
      <c r="H484" s="12"/>
      <c r="I484" s="12"/>
      <c r="J484" s="12"/>
      <c r="K484" s="12"/>
    </row>
    <row r="485" spans="1:11" s="9" customFormat="1" ht="13.2">
      <c r="A485" s="6"/>
      <c r="B485" s="6"/>
      <c r="C485" s="6"/>
      <c r="D485" s="6"/>
      <c r="E485" s="6"/>
      <c r="F485" s="12"/>
      <c r="G485" s="12"/>
      <c r="H485" s="12"/>
      <c r="I485" s="12"/>
      <c r="J485" s="12"/>
      <c r="K485" s="12"/>
    </row>
    <row r="486" spans="1:11" s="9" customFormat="1" ht="13.2">
      <c r="A486" s="6"/>
      <c r="B486" s="6"/>
      <c r="C486" s="6"/>
      <c r="D486" s="6"/>
      <c r="E486" s="6"/>
      <c r="F486" s="11"/>
      <c r="G486" s="11"/>
      <c r="H486" s="11"/>
      <c r="I486" s="11"/>
      <c r="J486" s="11"/>
      <c r="K486" s="11"/>
    </row>
    <row r="487" spans="1:11" s="9" customFormat="1" ht="13.2">
      <c r="A487" s="6"/>
      <c r="B487" s="6"/>
      <c r="C487" s="6"/>
      <c r="D487" s="6"/>
      <c r="E487" s="6"/>
      <c r="F487" s="12"/>
      <c r="G487" s="12"/>
      <c r="H487" s="12"/>
      <c r="I487" s="12"/>
      <c r="J487" s="12"/>
      <c r="K487" s="12"/>
    </row>
    <row r="488" spans="1:11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  <c r="K488" s="8"/>
    </row>
    <row r="489" spans="1:11" s="9" customFormat="1" ht="13.2">
      <c r="A489" s="6"/>
      <c r="B489" s="6"/>
      <c r="C489" s="6"/>
      <c r="D489" s="6"/>
      <c r="E489" s="6"/>
      <c r="F489" s="8"/>
      <c r="G489" s="8"/>
      <c r="H489" s="8"/>
      <c r="I489" s="8"/>
      <c r="J489" s="8"/>
      <c r="K489" s="8"/>
    </row>
    <row r="490" spans="1:11" s="9" customFormat="1" ht="13.2">
      <c r="A490" s="6"/>
      <c r="B490" s="6"/>
      <c r="C490" s="6"/>
      <c r="D490" s="6"/>
      <c r="E490" s="6"/>
      <c r="F490" s="11"/>
      <c r="G490" s="11"/>
      <c r="H490" s="11"/>
      <c r="I490" s="11"/>
      <c r="J490" s="11"/>
      <c r="K490" s="11"/>
    </row>
    <row r="491" spans="1:11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  <c r="K491" s="12"/>
    </row>
    <row r="492" spans="1:11" s="9" customFormat="1" ht="13.2">
      <c r="A492" s="6"/>
      <c r="B492" s="6"/>
      <c r="C492" s="6"/>
      <c r="D492" s="6"/>
      <c r="E492" s="6"/>
      <c r="F492" s="11"/>
      <c r="G492" s="11"/>
      <c r="H492" s="11"/>
      <c r="I492" s="11"/>
      <c r="J492" s="11"/>
      <c r="K492" s="11"/>
    </row>
    <row r="493" spans="1:11" s="9" customFormat="1" ht="13.2">
      <c r="A493" s="6"/>
      <c r="B493" s="6"/>
      <c r="C493" s="6"/>
      <c r="D493" s="6"/>
      <c r="E493" s="6"/>
      <c r="F493" s="11"/>
      <c r="G493" s="11"/>
      <c r="H493" s="11"/>
      <c r="I493" s="11"/>
      <c r="J493" s="11"/>
      <c r="K493" s="11"/>
    </row>
    <row r="494" spans="1:11" s="9" customFormat="1" ht="13.2">
      <c r="A494" s="6"/>
      <c r="B494" s="6"/>
      <c r="C494" s="6"/>
      <c r="D494" s="6"/>
      <c r="E494" s="6"/>
      <c r="F494" s="11"/>
      <c r="G494" s="11"/>
      <c r="H494" s="11"/>
      <c r="I494" s="11"/>
      <c r="J494" s="11"/>
      <c r="K494" s="11"/>
    </row>
    <row r="495" spans="1:11" s="9" customFormat="1" ht="13.2">
      <c r="A495" s="6"/>
      <c r="B495" s="6"/>
      <c r="C495" s="6"/>
      <c r="D495" s="6"/>
      <c r="E495" s="6"/>
      <c r="F495" s="11"/>
      <c r="G495" s="11"/>
      <c r="H495" s="11"/>
      <c r="I495" s="11"/>
      <c r="J495" s="11"/>
      <c r="K495" s="11"/>
    </row>
    <row r="496" spans="1:11" s="9" customFormat="1" ht="13.2">
      <c r="A496" s="6"/>
      <c r="B496" s="6"/>
      <c r="C496" s="6"/>
      <c r="D496" s="6"/>
      <c r="E496" s="6"/>
      <c r="F496" s="11"/>
      <c r="G496" s="11"/>
      <c r="H496" s="11"/>
      <c r="I496" s="11"/>
      <c r="J496" s="11"/>
      <c r="K496" s="11"/>
    </row>
    <row r="497" spans="1:11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  <c r="K497" s="11"/>
    </row>
    <row r="498" spans="1:11" s="9" customFormat="1" ht="13.2">
      <c r="A498" s="6"/>
      <c r="B498" s="6"/>
      <c r="C498" s="6"/>
      <c r="D498" s="6"/>
      <c r="E498" s="6"/>
      <c r="F498" s="11"/>
      <c r="G498" s="11"/>
      <c r="H498" s="11"/>
      <c r="I498" s="11"/>
      <c r="J498" s="11"/>
      <c r="K498" s="11"/>
    </row>
    <row r="499" spans="1:11" s="9" customFormat="1" ht="13.2">
      <c r="A499" s="6"/>
      <c r="B499" s="6"/>
      <c r="C499" s="6"/>
      <c r="D499" s="6"/>
      <c r="E499" s="6"/>
      <c r="F499" s="11"/>
      <c r="G499" s="11"/>
      <c r="H499" s="11"/>
      <c r="I499" s="11"/>
      <c r="J499" s="11"/>
      <c r="K499" s="11"/>
    </row>
    <row r="500" spans="1:11" s="9" customFormat="1" ht="13.2">
      <c r="A500" s="6"/>
      <c r="B500" s="6"/>
      <c r="C500" s="6"/>
      <c r="D500" s="6"/>
      <c r="E500" s="6"/>
      <c r="F500" s="8"/>
      <c r="G500" s="8"/>
      <c r="H500" s="8"/>
      <c r="I500" s="8"/>
      <c r="J500" s="8"/>
      <c r="K500" s="8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8"/>
      <c r="G502" s="8"/>
      <c r="H502" s="8"/>
      <c r="I502" s="8"/>
      <c r="J502" s="8"/>
      <c r="K502" s="8"/>
    </row>
    <row r="503" spans="1:11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  <c r="K503" s="8"/>
    </row>
    <row r="504" spans="1:11" s="9" customFormat="1" ht="13.2">
      <c r="A504" s="6"/>
      <c r="B504" s="6"/>
      <c r="C504" s="6"/>
      <c r="D504" s="6"/>
      <c r="E504" s="6"/>
      <c r="F504" s="8"/>
      <c r="G504" s="8"/>
      <c r="H504" s="8"/>
      <c r="I504" s="8"/>
      <c r="J504" s="8"/>
      <c r="K504" s="8"/>
    </row>
    <row r="505" spans="1:11" s="9" customFormat="1" ht="13.2">
      <c r="A505" s="6"/>
      <c r="B505" s="6"/>
      <c r="C505" s="6"/>
      <c r="D505" s="6"/>
      <c r="E505" s="6"/>
      <c r="F505" s="8"/>
      <c r="G505" s="8"/>
      <c r="H505" s="8"/>
      <c r="I505" s="8"/>
      <c r="J505" s="8"/>
      <c r="K505" s="8"/>
    </row>
    <row r="506" spans="1:11" s="9" customFormat="1" ht="13.2">
      <c r="A506" s="6"/>
      <c r="B506" s="6"/>
      <c r="C506" s="6"/>
      <c r="D506" s="6"/>
      <c r="E506" s="6"/>
      <c r="F506" s="12"/>
      <c r="G506" s="12"/>
      <c r="H506" s="12"/>
      <c r="I506" s="12"/>
      <c r="J506" s="12"/>
      <c r="K506" s="12"/>
    </row>
    <row r="507" spans="1:11" s="9" customFormat="1" ht="13.2">
      <c r="A507" s="6"/>
      <c r="B507" s="6"/>
      <c r="C507" s="6"/>
      <c r="D507" s="6"/>
      <c r="E507" s="6"/>
      <c r="F507" s="10"/>
      <c r="G507" s="10"/>
      <c r="H507" s="10"/>
      <c r="I507" s="10"/>
      <c r="J507" s="10"/>
      <c r="K507" s="10"/>
    </row>
    <row r="508" spans="1:11" s="9" customFormat="1" ht="13.2">
      <c r="A508" s="6"/>
      <c r="B508" s="6"/>
      <c r="C508" s="6"/>
      <c r="D508" s="6"/>
      <c r="E508" s="6"/>
      <c r="F508" s="12"/>
      <c r="G508" s="12"/>
      <c r="H508" s="12"/>
      <c r="I508" s="12"/>
      <c r="J508" s="12"/>
      <c r="K508" s="12"/>
    </row>
    <row r="509" spans="1:11" s="9" customFormat="1" ht="13.2">
      <c r="A509" s="6"/>
      <c r="B509" s="6"/>
      <c r="C509" s="6"/>
      <c r="D509" s="6"/>
      <c r="E509" s="6"/>
      <c r="F509" s="12"/>
      <c r="G509" s="12"/>
      <c r="H509" s="12"/>
      <c r="I509" s="12"/>
      <c r="J509" s="12"/>
      <c r="K509" s="12"/>
    </row>
    <row r="510" spans="1:11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  <c r="K510" s="8"/>
    </row>
    <row r="511" spans="1:11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  <c r="K511" s="8"/>
    </row>
    <row r="512" spans="1:11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  <c r="K512" s="8"/>
    </row>
    <row r="513" spans="1:11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  <c r="K513" s="8"/>
    </row>
    <row r="514" spans="1:11" s="9" customFormat="1" ht="13.2">
      <c r="A514" s="6"/>
      <c r="B514" s="6"/>
      <c r="C514" s="6"/>
      <c r="D514" s="6"/>
      <c r="E514" s="6"/>
      <c r="F514" s="11"/>
      <c r="G514" s="11"/>
      <c r="H514" s="11"/>
      <c r="I514" s="11"/>
      <c r="J514" s="11"/>
      <c r="K514" s="11"/>
    </row>
    <row r="515" spans="1:11" s="9" customFormat="1" ht="13.2">
      <c r="A515" s="6"/>
      <c r="B515" s="6"/>
      <c r="C515" s="6"/>
      <c r="D515" s="6"/>
      <c r="E515" s="6"/>
      <c r="F515" s="12"/>
      <c r="G515" s="12"/>
      <c r="H515" s="12"/>
      <c r="I515" s="12"/>
      <c r="J515" s="12"/>
      <c r="K515" s="12"/>
    </row>
    <row r="516" spans="1:11" s="9" customFormat="1" ht="13.2">
      <c r="A516" s="6"/>
      <c r="B516" s="6"/>
      <c r="C516" s="6"/>
      <c r="D516" s="6"/>
      <c r="E516" s="6"/>
      <c r="F516" s="10"/>
      <c r="G516" s="10"/>
      <c r="H516" s="10"/>
      <c r="I516" s="10"/>
      <c r="J516" s="10"/>
      <c r="K516" s="10"/>
    </row>
    <row r="517" spans="1:11" s="9" customFormat="1" ht="13.2">
      <c r="A517" s="6"/>
      <c r="B517" s="6"/>
      <c r="C517" s="6"/>
      <c r="D517" s="6"/>
      <c r="E517" s="6"/>
      <c r="F517" s="11"/>
      <c r="G517" s="11"/>
      <c r="H517" s="11"/>
      <c r="I517" s="11"/>
      <c r="J517" s="11"/>
      <c r="K517" s="11"/>
    </row>
    <row r="518" spans="1:11" s="9" customFormat="1" ht="13.2">
      <c r="A518" s="6"/>
      <c r="B518" s="6"/>
      <c r="C518" s="6"/>
      <c r="D518" s="6"/>
      <c r="E518" s="6"/>
      <c r="F518" s="8"/>
      <c r="G518" s="8"/>
      <c r="H518" s="8"/>
      <c r="I518" s="8"/>
      <c r="J518" s="8"/>
      <c r="K518" s="8"/>
    </row>
    <row r="519" spans="1:11" s="9" customFormat="1" ht="13.2">
      <c r="A519" s="6"/>
      <c r="B519" s="6"/>
      <c r="C519" s="6"/>
      <c r="D519" s="6"/>
      <c r="E519" s="6"/>
      <c r="F519" s="7"/>
      <c r="G519" s="7"/>
      <c r="H519" s="7"/>
      <c r="I519" s="7"/>
      <c r="J519" s="7"/>
      <c r="K519" s="7"/>
    </row>
    <row r="520" spans="1:11" s="9" customFormat="1" ht="13.2">
      <c r="A520" s="6"/>
      <c r="B520" s="6"/>
      <c r="C520" s="6"/>
      <c r="D520" s="6"/>
      <c r="E520" s="6"/>
      <c r="F520" s="7"/>
      <c r="G520" s="7"/>
      <c r="H520" s="7"/>
      <c r="I520" s="7"/>
      <c r="J520" s="7"/>
      <c r="K520" s="7"/>
    </row>
    <row r="521" spans="1:11" s="9" customFormat="1" ht="13.2">
      <c r="A521" s="6"/>
      <c r="B521" s="6"/>
      <c r="C521" s="6"/>
      <c r="D521" s="6"/>
      <c r="E521" s="6"/>
      <c r="F521" s="7"/>
      <c r="G521" s="7"/>
      <c r="H521" s="7"/>
      <c r="I521" s="7"/>
      <c r="J521" s="7"/>
      <c r="K521" s="7"/>
    </row>
    <row r="522" spans="1:11" s="9" customFormat="1" ht="13.2">
      <c r="A522" s="6"/>
      <c r="B522" s="6"/>
      <c r="C522" s="6"/>
      <c r="D522" s="6"/>
      <c r="E522" s="6"/>
      <c r="F522" s="7"/>
      <c r="G522" s="7"/>
      <c r="H522" s="7"/>
      <c r="I522" s="7"/>
      <c r="J522" s="7"/>
      <c r="K522" s="7"/>
    </row>
    <row r="523" spans="1:11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  <c r="K523" s="8"/>
    </row>
    <row r="524" spans="1:11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  <c r="K524" s="8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  <c r="K527" s="8"/>
    </row>
    <row r="528" spans="1:11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  <c r="K528" s="8"/>
    </row>
    <row r="529" spans="1:11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  <c r="K529" s="8"/>
    </row>
    <row r="530" spans="1:11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  <c r="K530" s="8"/>
    </row>
    <row r="531" spans="1:11" s="9" customFormat="1" ht="13.2">
      <c r="A531" s="6"/>
      <c r="B531" s="6"/>
      <c r="C531" s="6"/>
      <c r="D531" s="6"/>
      <c r="E531" s="6"/>
      <c r="F531" s="12"/>
      <c r="G531" s="12"/>
      <c r="H531" s="12"/>
      <c r="I531" s="12"/>
      <c r="J531" s="12"/>
      <c r="K531" s="12"/>
    </row>
    <row r="532" spans="1:11" s="9" customFormat="1" ht="13.2">
      <c r="A532" s="6"/>
      <c r="B532" s="6"/>
      <c r="C532" s="6"/>
      <c r="D532" s="6"/>
      <c r="E532" s="6"/>
      <c r="F532" s="11"/>
      <c r="G532" s="11"/>
      <c r="H532" s="11"/>
      <c r="I532" s="11"/>
      <c r="J532" s="11"/>
      <c r="K532" s="11"/>
    </row>
    <row r="533" spans="1:11" s="9" customFormat="1" ht="13.2">
      <c r="A533" s="6"/>
      <c r="B533" s="6"/>
      <c r="C533" s="6"/>
      <c r="D533" s="6"/>
      <c r="E533" s="6"/>
      <c r="F533" s="12"/>
      <c r="G533" s="12"/>
      <c r="H533" s="12"/>
      <c r="I533" s="12"/>
      <c r="J533" s="12"/>
      <c r="K533" s="12"/>
    </row>
    <row r="534" spans="1:11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  <c r="K534" s="8"/>
    </row>
    <row r="535" spans="1:11" s="9" customFormat="1" ht="13.2">
      <c r="A535" s="6"/>
      <c r="B535" s="6"/>
      <c r="C535" s="6"/>
      <c r="D535" s="6"/>
      <c r="E535" s="6"/>
      <c r="F535" s="12"/>
      <c r="G535" s="12"/>
      <c r="H535" s="12"/>
      <c r="I535" s="12"/>
      <c r="J535" s="12"/>
      <c r="K535" s="12"/>
    </row>
    <row r="536" spans="1:11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  <c r="K536" s="8"/>
    </row>
    <row r="537" spans="1:11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  <c r="K537" s="8"/>
    </row>
    <row r="538" spans="1:11" s="9" customFormat="1" ht="13.2">
      <c r="A538" s="6"/>
      <c r="B538" s="6"/>
      <c r="C538" s="6"/>
      <c r="D538" s="6"/>
      <c r="E538" s="6"/>
      <c r="F538" s="12"/>
      <c r="G538" s="12"/>
      <c r="H538" s="12"/>
      <c r="I538" s="12"/>
      <c r="J538" s="12"/>
      <c r="K538" s="12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  <c r="K540" s="8"/>
    </row>
    <row r="541" spans="1:11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  <c r="K541" s="11"/>
    </row>
    <row r="542" spans="1:11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  <c r="K542" s="8"/>
    </row>
    <row r="543" spans="1:11" s="9" customFormat="1" ht="13.2">
      <c r="A543" s="6"/>
      <c r="B543" s="6"/>
      <c r="C543" s="6"/>
      <c r="D543" s="6"/>
      <c r="E543" s="6"/>
      <c r="F543" s="8"/>
      <c r="G543" s="8"/>
      <c r="H543" s="8"/>
      <c r="I543" s="8"/>
      <c r="J543" s="8"/>
      <c r="K543" s="8"/>
    </row>
    <row r="544" spans="1:11" s="9" customFormat="1" ht="13.2">
      <c r="A544" s="6"/>
      <c r="B544" s="6"/>
      <c r="C544" s="6"/>
      <c r="D544" s="6"/>
      <c r="E544" s="6"/>
      <c r="F544" s="8"/>
      <c r="G544" s="8"/>
      <c r="H544" s="8"/>
      <c r="I544" s="8"/>
      <c r="J544" s="8"/>
      <c r="K544" s="8"/>
    </row>
    <row r="545" spans="1:11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  <c r="K545" s="11"/>
    </row>
    <row r="546" spans="1:11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  <c r="K546" s="8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  <c r="K548" s="8"/>
    </row>
    <row r="549" spans="1:11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  <c r="K549" s="8"/>
    </row>
    <row r="550" spans="1:11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  <c r="K550" s="8"/>
    </row>
    <row r="551" spans="1:11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  <c r="K551" s="8"/>
    </row>
    <row r="552" spans="1:11" s="9" customFormat="1" ht="13.2">
      <c r="A552" s="6"/>
      <c r="B552" s="6"/>
      <c r="C552" s="6"/>
      <c r="D552" s="6"/>
      <c r="E552" s="6"/>
      <c r="F552" s="10"/>
      <c r="G552" s="10"/>
      <c r="H552" s="10"/>
      <c r="I552" s="10"/>
      <c r="J552" s="10"/>
      <c r="K552" s="10"/>
    </row>
    <row r="553" spans="1:11" s="9" customFormat="1" ht="13.2">
      <c r="A553" s="6"/>
      <c r="B553" s="6"/>
      <c r="C553" s="6"/>
      <c r="D553" s="6"/>
      <c r="E553" s="6"/>
      <c r="F553" s="11"/>
      <c r="G553" s="11"/>
      <c r="H553" s="11"/>
      <c r="I553" s="11"/>
      <c r="J553" s="11"/>
      <c r="K553" s="11"/>
    </row>
    <row r="554" spans="1:11" s="9" customFormat="1" ht="13.2">
      <c r="A554" s="6"/>
      <c r="B554" s="6"/>
      <c r="C554" s="6"/>
      <c r="D554" s="6"/>
      <c r="E554" s="6"/>
      <c r="F554" s="8"/>
      <c r="G554" s="8"/>
      <c r="H554" s="8"/>
      <c r="I554" s="8"/>
      <c r="J554" s="8"/>
      <c r="K554" s="8"/>
    </row>
    <row r="555" spans="1:11" s="9" customFormat="1" ht="13.2">
      <c r="A555" s="6"/>
      <c r="B555" s="6"/>
      <c r="C555" s="6"/>
      <c r="D555" s="6"/>
      <c r="E555" s="6"/>
      <c r="F555" s="11"/>
      <c r="G555" s="11"/>
      <c r="H555" s="11"/>
      <c r="I555" s="11"/>
      <c r="J555" s="11"/>
      <c r="K555" s="11"/>
    </row>
    <row r="556" spans="1:11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  <c r="K556" s="8"/>
    </row>
    <row r="557" spans="1:11" s="9" customFormat="1" ht="13.2">
      <c r="A557" s="6"/>
      <c r="B557" s="6"/>
      <c r="C557" s="6"/>
      <c r="D557" s="6"/>
      <c r="E557" s="6"/>
      <c r="F557" s="8"/>
      <c r="G557" s="8"/>
      <c r="H557" s="8"/>
      <c r="I557" s="8"/>
      <c r="J557" s="8"/>
      <c r="K557" s="8"/>
    </row>
    <row r="558" spans="1:11" s="9" customFormat="1" ht="13.2">
      <c r="A558" s="6"/>
      <c r="B558" s="6"/>
      <c r="C558" s="6"/>
      <c r="D558" s="6"/>
      <c r="E558" s="6"/>
      <c r="F558" s="11"/>
      <c r="G558" s="11"/>
      <c r="H558" s="11"/>
      <c r="I558" s="11"/>
      <c r="J558" s="11"/>
      <c r="K558" s="11"/>
    </row>
    <row r="559" spans="1:11" s="9" customFormat="1" ht="13.2">
      <c r="A559" s="6"/>
      <c r="B559" s="6"/>
      <c r="C559" s="6"/>
      <c r="D559" s="6"/>
      <c r="E559" s="6"/>
      <c r="F559" s="11"/>
      <c r="G559" s="11"/>
      <c r="H559" s="11"/>
      <c r="I559" s="11"/>
      <c r="J559" s="11"/>
      <c r="K559" s="11"/>
    </row>
    <row r="560" spans="1:11" s="9" customFormat="1" ht="13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spans="1:11" s="9" customFormat="1" ht="13.2">
      <c r="A561" s="6"/>
      <c r="B561" s="6"/>
      <c r="C561" s="6"/>
      <c r="D561" s="6"/>
      <c r="E561" s="6"/>
      <c r="F561" s="11"/>
      <c r="G561" s="11"/>
      <c r="H561" s="11"/>
      <c r="I561" s="11"/>
      <c r="J561" s="11"/>
      <c r="K561" s="11"/>
    </row>
    <row r="562" spans="1:11" s="9" customFormat="1" ht="13.2">
      <c r="A562" s="6"/>
      <c r="B562" s="6"/>
      <c r="C562" s="6"/>
      <c r="D562" s="6"/>
      <c r="E562" s="6"/>
      <c r="F562" s="11"/>
      <c r="G562" s="11"/>
      <c r="H562" s="11"/>
      <c r="I562" s="11"/>
      <c r="J562" s="11"/>
      <c r="K562" s="11"/>
    </row>
    <row r="563" spans="1:11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  <c r="K563" s="8"/>
    </row>
    <row r="564" spans="1:11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  <c r="K564" s="8"/>
    </row>
    <row r="565" spans="1:11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  <c r="K565" s="8"/>
    </row>
    <row r="566" spans="1:11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  <c r="K566" s="8"/>
    </row>
    <row r="567" spans="1:11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  <c r="K567" s="8"/>
    </row>
    <row r="568" spans="1:11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  <c r="K568" s="7"/>
    </row>
    <row r="569" spans="1:11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  <c r="K569" s="7"/>
    </row>
    <row r="570" spans="1:11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  <c r="K570" s="8"/>
    </row>
    <row r="571" spans="1:11" s="9" customFormat="1" ht="13.2">
      <c r="A571" s="6"/>
      <c r="B571" s="6"/>
      <c r="C571" s="6"/>
      <c r="D571" s="6"/>
      <c r="E571" s="6"/>
      <c r="F571" s="11"/>
      <c r="G571" s="11"/>
      <c r="H571" s="11"/>
      <c r="I571" s="11"/>
      <c r="J571" s="11"/>
      <c r="K571" s="11"/>
    </row>
    <row r="572" spans="1:11" s="9" customFormat="1" ht="13.2">
      <c r="A572" s="6"/>
      <c r="B572" s="6"/>
      <c r="C572" s="6"/>
      <c r="D572" s="6"/>
      <c r="E572" s="6"/>
      <c r="F572" s="7"/>
      <c r="G572" s="7"/>
      <c r="H572" s="7"/>
      <c r="I572" s="7"/>
      <c r="J572" s="7"/>
      <c r="K572" s="7"/>
    </row>
    <row r="573" spans="1:11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  <c r="K573" s="8"/>
    </row>
    <row r="574" spans="1:11" s="9" customFormat="1" ht="13.2">
      <c r="A574" s="6"/>
      <c r="B574" s="6"/>
      <c r="C574" s="6"/>
      <c r="D574" s="6"/>
      <c r="E574" s="6"/>
      <c r="F574" s="7"/>
      <c r="G574" s="7"/>
      <c r="H574" s="7"/>
      <c r="I574" s="7"/>
      <c r="J574" s="7"/>
      <c r="K574" s="7"/>
    </row>
    <row r="575" spans="1:11" s="9" customFormat="1" ht="13.2">
      <c r="A575" s="6"/>
      <c r="B575" s="6"/>
      <c r="C575" s="6"/>
      <c r="D575" s="6"/>
      <c r="E575" s="6"/>
      <c r="F575" s="7"/>
      <c r="G575" s="7"/>
      <c r="H575" s="7"/>
      <c r="I575" s="7"/>
      <c r="J575" s="7"/>
      <c r="K575" s="7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  <c r="K580" s="8"/>
    </row>
    <row r="581" spans="1:11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  <c r="K581" s="8"/>
    </row>
    <row r="582" spans="1:11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  <c r="K582" s="8"/>
    </row>
    <row r="583" spans="1:11" s="9" customFormat="1" ht="13.2">
      <c r="A583" s="6"/>
      <c r="B583" s="6"/>
      <c r="C583" s="6"/>
      <c r="D583" s="6"/>
      <c r="E583" s="6"/>
      <c r="F583" s="7"/>
      <c r="G583" s="7"/>
      <c r="H583" s="7"/>
      <c r="I583" s="7"/>
      <c r="J583" s="7"/>
      <c r="K583" s="7"/>
    </row>
    <row r="584" spans="1:11" s="9" customFormat="1" ht="13.2">
      <c r="A584" s="6"/>
      <c r="B584" s="6"/>
      <c r="C584" s="6"/>
      <c r="D584" s="6"/>
      <c r="E584" s="6"/>
      <c r="F584" s="7"/>
      <c r="G584" s="7"/>
      <c r="H584" s="7"/>
      <c r="I584" s="7"/>
      <c r="J584" s="7"/>
      <c r="K584" s="7"/>
    </row>
    <row r="585" spans="1:11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  <c r="K585" s="8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  <c r="K596" s="8"/>
    </row>
    <row r="597" spans="1:11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  <c r="K597" s="8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8"/>
      <c r="G608" s="8"/>
      <c r="H608" s="8"/>
      <c r="I608" s="8"/>
      <c r="J608" s="8"/>
      <c r="K608" s="8"/>
    </row>
    <row r="609" spans="1:11" s="9" customFormat="1" ht="13.2">
      <c r="A609" s="6"/>
      <c r="B609" s="6"/>
      <c r="C609" s="6"/>
      <c r="D609" s="6"/>
      <c r="E609" s="6"/>
      <c r="F609" s="8"/>
      <c r="G609" s="8"/>
      <c r="H609" s="8"/>
      <c r="I609" s="8"/>
      <c r="J609" s="8"/>
      <c r="K609" s="8"/>
    </row>
    <row r="610" spans="1:11" s="9" customFormat="1" ht="13.2">
      <c r="A610" s="6"/>
      <c r="B610" s="6"/>
      <c r="C610" s="6"/>
      <c r="D610" s="6"/>
      <c r="E610" s="6"/>
      <c r="F610" s="8"/>
      <c r="G610" s="8"/>
      <c r="H610" s="8"/>
      <c r="I610" s="8"/>
      <c r="J610" s="8"/>
      <c r="K610" s="8"/>
    </row>
    <row r="611" spans="1:11" s="9" customFormat="1" ht="13.2">
      <c r="A611" s="6"/>
      <c r="B611" s="6"/>
      <c r="C611" s="6"/>
      <c r="D611" s="6"/>
      <c r="E611" s="6"/>
      <c r="F611" s="8"/>
      <c r="G611" s="8"/>
      <c r="H611" s="8"/>
      <c r="I611" s="8"/>
      <c r="J611" s="8"/>
      <c r="K611" s="8"/>
    </row>
    <row r="612" spans="1:11" s="9" customFormat="1" ht="13.2">
      <c r="A612" s="6"/>
      <c r="B612" s="6"/>
      <c r="C612" s="6"/>
      <c r="D612" s="6"/>
      <c r="E612" s="6"/>
      <c r="F612" s="10"/>
      <c r="G612" s="10"/>
      <c r="H612" s="10"/>
      <c r="I612" s="10"/>
      <c r="J612" s="10"/>
      <c r="K612" s="10"/>
    </row>
    <row r="613" spans="1:11" s="9" customFormat="1" ht="13.2">
      <c r="A613" s="6"/>
      <c r="B613" s="6"/>
      <c r="C613" s="6"/>
      <c r="D613" s="6"/>
      <c r="E613" s="6"/>
      <c r="F613" s="10"/>
      <c r="G613" s="10"/>
      <c r="H613" s="10"/>
      <c r="I613" s="10"/>
      <c r="J613" s="10"/>
      <c r="K613" s="10"/>
    </row>
    <row r="614" spans="1:11" s="9" customFormat="1" ht="13.2">
      <c r="A614" s="6"/>
      <c r="B614" s="6"/>
      <c r="C614" s="6"/>
      <c r="D614" s="6"/>
      <c r="E614" s="6"/>
      <c r="F614" s="10"/>
      <c r="G614" s="10"/>
      <c r="H614" s="10"/>
      <c r="I614" s="10"/>
      <c r="J614" s="10"/>
      <c r="K614" s="10"/>
    </row>
    <row r="615" spans="1:11" s="9" customFormat="1" ht="13.2">
      <c r="A615" s="6"/>
      <c r="B615" s="6"/>
      <c r="C615" s="6"/>
      <c r="D615" s="6"/>
      <c r="E615" s="6"/>
      <c r="F615" s="8"/>
      <c r="G615" s="8"/>
      <c r="H615" s="8"/>
      <c r="I615" s="8"/>
      <c r="J615" s="8"/>
      <c r="K615" s="8"/>
    </row>
    <row r="616" spans="1:11" s="9" customFormat="1" ht="13.2">
      <c r="A616" s="6"/>
      <c r="B616" s="6"/>
      <c r="C616" s="6"/>
      <c r="D616" s="6"/>
      <c r="E616" s="6"/>
      <c r="F616" s="8"/>
      <c r="G616" s="8"/>
      <c r="H616" s="8"/>
      <c r="I616" s="8"/>
      <c r="J616" s="8"/>
      <c r="K616" s="8"/>
    </row>
    <row r="617" spans="1:11" s="9" customFormat="1" ht="13.2">
      <c r="A617" s="6"/>
      <c r="B617" s="6"/>
      <c r="C617" s="6"/>
      <c r="D617" s="6"/>
      <c r="E617" s="6"/>
      <c r="F617" s="10"/>
      <c r="G617" s="10"/>
      <c r="H617" s="10"/>
      <c r="I617" s="10"/>
      <c r="J617" s="10"/>
      <c r="K617" s="10"/>
    </row>
    <row r="618" spans="1:11" s="9" customFormat="1" ht="13.2">
      <c r="A618" s="6"/>
      <c r="B618" s="6"/>
      <c r="C618" s="6"/>
      <c r="D618" s="6"/>
      <c r="E618" s="6"/>
      <c r="F618" s="10"/>
      <c r="G618" s="10"/>
      <c r="H618" s="10"/>
      <c r="I618" s="10"/>
      <c r="J618" s="10"/>
      <c r="K618" s="10"/>
    </row>
    <row r="619" spans="1:11" s="9" customFormat="1" ht="13.2">
      <c r="A619" s="6"/>
      <c r="B619" s="6"/>
      <c r="C619" s="6"/>
      <c r="D619" s="6"/>
      <c r="E619" s="6"/>
      <c r="F619" s="10"/>
      <c r="G619" s="10"/>
      <c r="H619" s="10"/>
      <c r="I619" s="10"/>
      <c r="J619" s="10"/>
      <c r="K619" s="10"/>
    </row>
    <row r="620" spans="1:11" s="9" customFormat="1" ht="13.2">
      <c r="A620" s="6"/>
      <c r="B620" s="6"/>
      <c r="C620" s="6"/>
      <c r="D620" s="6"/>
      <c r="E620" s="6"/>
      <c r="F620" s="8"/>
      <c r="G620" s="8"/>
      <c r="H620" s="8"/>
      <c r="I620" s="8"/>
      <c r="J620" s="8"/>
      <c r="K620" s="8"/>
    </row>
    <row r="621" spans="1:11" s="9" customFormat="1" ht="13.2">
      <c r="A621" s="6"/>
      <c r="B621" s="6"/>
      <c r="C621" s="6"/>
      <c r="D621" s="6"/>
      <c r="E621" s="6"/>
      <c r="F621" s="8"/>
      <c r="G621" s="8"/>
      <c r="H621" s="8"/>
      <c r="I621" s="8"/>
      <c r="J621" s="8"/>
      <c r="K621" s="8"/>
    </row>
    <row r="622" spans="1:11" s="9" customFormat="1" ht="13.2">
      <c r="A622" s="6"/>
      <c r="B622" s="6"/>
      <c r="C622" s="6"/>
      <c r="D622" s="6"/>
      <c r="E622" s="6"/>
      <c r="F622" s="8"/>
      <c r="G622" s="8"/>
      <c r="H622" s="8"/>
      <c r="I622" s="8"/>
      <c r="J622" s="8"/>
      <c r="K622" s="8"/>
    </row>
    <row r="623" spans="1:11" s="9" customFormat="1" ht="13.2">
      <c r="A623" s="6"/>
      <c r="B623" s="6"/>
      <c r="C623" s="6"/>
      <c r="D623" s="6"/>
      <c r="E623" s="6"/>
      <c r="F623" s="12"/>
      <c r="G623" s="12"/>
      <c r="H623" s="12"/>
      <c r="I623" s="12"/>
      <c r="J623" s="12"/>
      <c r="K623" s="12"/>
    </row>
    <row r="624" spans="1:11" s="9" customFormat="1" ht="13.2">
      <c r="A624" s="6"/>
      <c r="B624" s="6"/>
      <c r="C624" s="6"/>
      <c r="D624" s="6"/>
      <c r="E624" s="6"/>
      <c r="F624" s="12"/>
      <c r="G624" s="12"/>
      <c r="H624" s="12"/>
      <c r="I624" s="12"/>
      <c r="J624" s="12"/>
      <c r="K624" s="12"/>
    </row>
    <row r="625" spans="1:13" s="9" customFormat="1" ht="13.2">
      <c r="A625" s="6"/>
      <c r="B625" s="6"/>
      <c r="C625" s="6"/>
      <c r="D625" s="6"/>
      <c r="E625" s="6"/>
      <c r="F625" s="12"/>
      <c r="G625" s="12"/>
      <c r="H625" s="12"/>
      <c r="I625" s="12"/>
      <c r="J625" s="12"/>
      <c r="K625" s="12"/>
    </row>
    <row r="626" spans="1:13" s="9" customFormat="1" ht="13.2">
      <c r="A626" s="6"/>
      <c r="B626" s="6"/>
      <c r="C626" s="6"/>
      <c r="D626" s="6"/>
      <c r="E626" s="6"/>
      <c r="F626" s="12"/>
      <c r="G626" s="12"/>
      <c r="H626" s="12"/>
      <c r="I626" s="12"/>
      <c r="J626" s="12"/>
      <c r="K626" s="12"/>
    </row>
    <row r="627" spans="1:13" s="9" customFormat="1" ht="13.2">
      <c r="A627" s="6"/>
      <c r="B627" s="6"/>
      <c r="C627" s="6"/>
      <c r="D627" s="6"/>
      <c r="E627" s="6"/>
      <c r="F627" s="12"/>
      <c r="G627" s="12"/>
      <c r="H627" s="12"/>
      <c r="I627" s="12"/>
      <c r="J627" s="12"/>
      <c r="K627" s="12"/>
    </row>
    <row r="628" spans="1:13" s="9" customFormat="1" ht="13.2">
      <c r="A628" s="6"/>
      <c r="B628" s="6"/>
      <c r="C628" s="6"/>
      <c r="D628" s="6"/>
      <c r="E628" s="6"/>
      <c r="F628" s="12"/>
      <c r="G628" s="12"/>
      <c r="H628" s="12"/>
      <c r="I628" s="12"/>
      <c r="J628" s="12"/>
      <c r="K628" s="12"/>
    </row>
    <row r="629" spans="1:13" s="9" customFormat="1" ht="13.2">
      <c r="A629" s="6"/>
      <c r="B629" s="6"/>
      <c r="C629" s="6"/>
      <c r="D629" s="6"/>
      <c r="E629" s="6"/>
      <c r="F629" s="12"/>
      <c r="G629" s="12"/>
      <c r="H629" s="12"/>
      <c r="I629" s="12"/>
      <c r="J629" s="12"/>
      <c r="K629" s="12"/>
    </row>
    <row r="630" spans="1:13" s="9" customForma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s="9" customForma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s="9" customForma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s="9" customForma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s="9" customForma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s="9" customForma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</sheetData>
  <mergeCells count="309">
    <mergeCell ref="B22:F22"/>
    <mergeCell ref="B3:H3"/>
    <mergeCell ref="L3:M3"/>
    <mergeCell ref="B4:H4"/>
    <mergeCell ref="L4:M4"/>
    <mergeCell ref="B5:H5"/>
    <mergeCell ref="L5:M5"/>
    <mergeCell ref="G11:I11"/>
    <mergeCell ref="J11:K11"/>
    <mergeCell ref="B6:H6"/>
    <mergeCell ref="L6:M6"/>
    <mergeCell ref="L8:M8"/>
    <mergeCell ref="G16:I16"/>
    <mergeCell ref="J16:K16"/>
    <mergeCell ref="G17:I17"/>
    <mergeCell ref="J17:K17"/>
    <mergeCell ref="B17:F17"/>
    <mergeCell ref="G21:I21"/>
    <mergeCell ref="J21:K21"/>
    <mergeCell ref="G22:I22"/>
    <mergeCell ref="J22:K22"/>
    <mergeCell ref="A9:A10"/>
    <mergeCell ref="B9:F10"/>
    <mergeCell ref="G9:I10"/>
    <mergeCell ref="J9:L9"/>
    <mergeCell ref="M9:M10"/>
    <mergeCell ref="J10:K10"/>
    <mergeCell ref="B15:F15"/>
    <mergeCell ref="G15:I15"/>
    <mergeCell ref="J15:K15"/>
    <mergeCell ref="G13:I13"/>
    <mergeCell ref="J13:K13"/>
    <mergeCell ref="B14:E14"/>
    <mergeCell ref="G14:I14"/>
    <mergeCell ref="J14:K14"/>
    <mergeCell ref="B12:F12"/>
    <mergeCell ref="G12:I12"/>
    <mergeCell ref="J12:K12"/>
    <mergeCell ref="G23:I23"/>
    <mergeCell ref="J23:K23"/>
    <mergeCell ref="G18:I18"/>
    <mergeCell ref="J18:K18"/>
    <mergeCell ref="G19:I19"/>
    <mergeCell ref="J19:K19"/>
    <mergeCell ref="G20:I20"/>
    <mergeCell ref="J20:K20"/>
    <mergeCell ref="G27:I27"/>
    <mergeCell ref="J27:K27"/>
    <mergeCell ref="G28:I28"/>
    <mergeCell ref="J28:K28"/>
    <mergeCell ref="G24:I24"/>
    <mergeCell ref="J24:K24"/>
    <mergeCell ref="G25:I25"/>
    <mergeCell ref="J25:K25"/>
    <mergeCell ref="B26:F26"/>
    <mergeCell ref="G26:I26"/>
    <mergeCell ref="J26:K26"/>
    <mergeCell ref="C25:F25"/>
    <mergeCell ref="B28:F28"/>
    <mergeCell ref="B27:F27"/>
    <mergeCell ref="G30:I30"/>
    <mergeCell ref="J30:K30"/>
    <mergeCell ref="G38:I38"/>
    <mergeCell ref="J38:K38"/>
    <mergeCell ref="G40:I40"/>
    <mergeCell ref="J40:K40"/>
    <mergeCell ref="G29:I29"/>
    <mergeCell ref="J29:K29"/>
    <mergeCell ref="B29:F29"/>
    <mergeCell ref="B35:F35"/>
    <mergeCell ref="B36:F36"/>
    <mergeCell ref="B37:F37"/>
    <mergeCell ref="B38:F38"/>
    <mergeCell ref="B39:F39"/>
    <mergeCell ref="B40:F40"/>
    <mergeCell ref="J32:K33"/>
    <mergeCell ref="A32:A33"/>
    <mergeCell ref="G32:I33"/>
    <mergeCell ref="L32:L33"/>
    <mergeCell ref="M32:M33"/>
    <mergeCell ref="B50:F50"/>
    <mergeCell ref="G50:H50"/>
    <mergeCell ref="J50:K50"/>
    <mergeCell ref="B51:F51"/>
    <mergeCell ref="G51:H51"/>
    <mergeCell ref="J51:K51"/>
    <mergeCell ref="G46:I46"/>
    <mergeCell ref="J46:K46"/>
    <mergeCell ref="B47:F47"/>
    <mergeCell ref="B49:F49"/>
    <mergeCell ref="G49:H49"/>
    <mergeCell ref="J49:K49"/>
    <mergeCell ref="B41:F41"/>
    <mergeCell ref="B42:F42"/>
    <mergeCell ref="B43:F43"/>
    <mergeCell ref="B44:F44"/>
    <mergeCell ref="B45:F45"/>
    <mergeCell ref="B46:F46"/>
    <mergeCell ref="B54:F54"/>
    <mergeCell ref="G54:I54"/>
    <mergeCell ref="A56:F56"/>
    <mergeCell ref="H56:M56"/>
    <mergeCell ref="A57:F57"/>
    <mergeCell ref="H57:M57"/>
    <mergeCell ref="B52:F52"/>
    <mergeCell ref="G52:H52"/>
    <mergeCell ref="J52:K52"/>
    <mergeCell ref="B53:F53"/>
    <mergeCell ref="G53:H53"/>
    <mergeCell ref="J53:K53"/>
    <mergeCell ref="A61:F61"/>
    <mergeCell ref="H61:M61"/>
    <mergeCell ref="A62:F62"/>
    <mergeCell ref="H62:M62"/>
    <mergeCell ref="A63:F63"/>
    <mergeCell ref="H63:M63"/>
    <mergeCell ref="A58:F58"/>
    <mergeCell ref="H58:M58"/>
    <mergeCell ref="A59:F59"/>
    <mergeCell ref="H59:M59"/>
    <mergeCell ref="A60:F60"/>
    <mergeCell ref="H60:M60"/>
    <mergeCell ref="H67:K67"/>
    <mergeCell ref="L67:M67"/>
    <mergeCell ref="A68:F68"/>
    <mergeCell ref="H68:I68"/>
    <mergeCell ref="J68:K68"/>
    <mergeCell ref="A69:F69"/>
    <mergeCell ref="H69:I69"/>
    <mergeCell ref="J69:K69"/>
    <mergeCell ref="A64:F64"/>
    <mergeCell ref="H64:M64"/>
    <mergeCell ref="A65:F65"/>
    <mergeCell ref="H65:M65"/>
    <mergeCell ref="A66:F66"/>
    <mergeCell ref="H66:M66"/>
    <mergeCell ref="A73:F73"/>
    <mergeCell ref="H73:I73"/>
    <mergeCell ref="J73:K73"/>
    <mergeCell ref="A74:F74"/>
    <mergeCell ref="H74:I74"/>
    <mergeCell ref="J74:K74"/>
    <mergeCell ref="H70:I70"/>
    <mergeCell ref="J70:K70"/>
    <mergeCell ref="A71:F71"/>
    <mergeCell ref="H71:I71"/>
    <mergeCell ref="J71:K71"/>
    <mergeCell ref="A72:F72"/>
    <mergeCell ref="H72:I72"/>
    <mergeCell ref="J72:K72"/>
    <mergeCell ref="A77:F77"/>
    <mergeCell ref="H77:I77"/>
    <mergeCell ref="J77:K77"/>
    <mergeCell ref="A78:F78"/>
    <mergeCell ref="H78:I78"/>
    <mergeCell ref="J78:K78"/>
    <mergeCell ref="A75:F75"/>
    <mergeCell ref="H75:I75"/>
    <mergeCell ref="J75:K75"/>
    <mergeCell ref="A76:F76"/>
    <mergeCell ref="H76:I76"/>
    <mergeCell ref="J76:K76"/>
    <mergeCell ref="A88:B88"/>
    <mergeCell ref="D88:F88"/>
    <mergeCell ref="H88:J88"/>
    <mergeCell ref="L88:M88"/>
    <mergeCell ref="A89:B89"/>
    <mergeCell ref="D89:F89"/>
    <mergeCell ref="H89:J89"/>
    <mergeCell ref="B82:C82"/>
    <mergeCell ref="D82:E82"/>
    <mergeCell ref="F82:G82"/>
    <mergeCell ref="H82:I82"/>
    <mergeCell ref="J82:L82"/>
    <mergeCell ref="B83:C84"/>
    <mergeCell ref="D83:E84"/>
    <mergeCell ref="F83:G84"/>
    <mergeCell ref="H83:I84"/>
    <mergeCell ref="J83:L84"/>
    <mergeCell ref="B98:H98"/>
    <mergeCell ref="L98:M98"/>
    <mergeCell ref="L100:M100"/>
    <mergeCell ref="A101:A102"/>
    <mergeCell ref="B101:F102"/>
    <mergeCell ref="G101:I102"/>
    <mergeCell ref="J101:L101"/>
    <mergeCell ref="M101:M102"/>
    <mergeCell ref="B95:H95"/>
    <mergeCell ref="L95:M95"/>
    <mergeCell ref="B96:H96"/>
    <mergeCell ref="L96:M96"/>
    <mergeCell ref="B97:H97"/>
    <mergeCell ref="L97:M97"/>
    <mergeCell ref="B106:F106"/>
    <mergeCell ref="G106:I106"/>
    <mergeCell ref="B107:F107"/>
    <mergeCell ref="G107:I107"/>
    <mergeCell ref="B108:F108"/>
    <mergeCell ref="G108:I108"/>
    <mergeCell ref="B103:F103"/>
    <mergeCell ref="G103:I103"/>
    <mergeCell ref="B104:F104"/>
    <mergeCell ref="G104:I104"/>
    <mergeCell ref="B105:F105"/>
    <mergeCell ref="G105:I105"/>
    <mergeCell ref="B112:F112"/>
    <mergeCell ref="G112:I112"/>
    <mergeCell ref="B113:F113"/>
    <mergeCell ref="G113:I113"/>
    <mergeCell ref="B114:F114"/>
    <mergeCell ref="G114:I114"/>
    <mergeCell ref="B109:F109"/>
    <mergeCell ref="G109:I109"/>
    <mergeCell ref="B110:F110"/>
    <mergeCell ref="G110:I110"/>
    <mergeCell ref="B111:F111"/>
    <mergeCell ref="G111:I111"/>
    <mergeCell ref="B118:F118"/>
    <mergeCell ref="G118:I118"/>
    <mergeCell ref="B119:F119"/>
    <mergeCell ref="G119:I119"/>
    <mergeCell ref="B120:F120"/>
    <mergeCell ref="G120:I120"/>
    <mergeCell ref="B115:F115"/>
    <mergeCell ref="G115:I115"/>
    <mergeCell ref="B116:F116"/>
    <mergeCell ref="G116:I116"/>
    <mergeCell ref="B117:F117"/>
    <mergeCell ref="G117:I117"/>
    <mergeCell ref="B126:F126"/>
    <mergeCell ref="G126:H126"/>
    <mergeCell ref="B127:F127"/>
    <mergeCell ref="G127:H127"/>
    <mergeCell ref="B128:F128"/>
    <mergeCell ref="G128:H128"/>
    <mergeCell ref="B121:F121"/>
    <mergeCell ref="G121:I121"/>
    <mergeCell ref="B122:F122"/>
    <mergeCell ref="G122:I122"/>
    <mergeCell ref="B123:F123"/>
    <mergeCell ref="B125:F125"/>
    <mergeCell ref="G125:H125"/>
    <mergeCell ref="A133:F133"/>
    <mergeCell ref="H133:M133"/>
    <mergeCell ref="A134:F134"/>
    <mergeCell ref="H134:M134"/>
    <mergeCell ref="A135:F135"/>
    <mergeCell ref="H135:M135"/>
    <mergeCell ref="B129:F129"/>
    <mergeCell ref="G129:H129"/>
    <mergeCell ref="B130:F130"/>
    <mergeCell ref="G130:I130"/>
    <mergeCell ref="A132:F132"/>
    <mergeCell ref="H132:M132"/>
    <mergeCell ref="A139:F139"/>
    <mergeCell ref="H139:M139"/>
    <mergeCell ref="A140:F140"/>
    <mergeCell ref="H140:M140"/>
    <mergeCell ref="A141:F141"/>
    <mergeCell ref="H141:M141"/>
    <mergeCell ref="A136:F136"/>
    <mergeCell ref="H136:M136"/>
    <mergeCell ref="A137:F137"/>
    <mergeCell ref="H137:M137"/>
    <mergeCell ref="A138:F138"/>
    <mergeCell ref="H138:M138"/>
    <mergeCell ref="H145:I145"/>
    <mergeCell ref="A146:F146"/>
    <mergeCell ref="H146:I146"/>
    <mergeCell ref="A147:F147"/>
    <mergeCell ref="H147:I147"/>
    <mergeCell ref="A142:F142"/>
    <mergeCell ref="H142:M142"/>
    <mergeCell ref="H143:J143"/>
    <mergeCell ref="L143:M143"/>
    <mergeCell ref="A144:F144"/>
    <mergeCell ref="H144:I144"/>
    <mergeCell ref="A145:F145"/>
    <mergeCell ref="A165:B165"/>
    <mergeCell ref="D165:F165"/>
    <mergeCell ref="H165:J165"/>
    <mergeCell ref="J158:L158"/>
    <mergeCell ref="B159:C160"/>
    <mergeCell ref="D159:E160"/>
    <mergeCell ref="F159:G160"/>
    <mergeCell ref="H159:I160"/>
    <mergeCell ref="J159:L160"/>
    <mergeCell ref="B158:C158"/>
    <mergeCell ref="D158:E158"/>
    <mergeCell ref="F158:G158"/>
    <mergeCell ref="H158:I158"/>
    <mergeCell ref="A164:B164"/>
    <mergeCell ref="D164:F164"/>
    <mergeCell ref="H164:J164"/>
    <mergeCell ref="L164:M164"/>
    <mergeCell ref="A154:F154"/>
    <mergeCell ref="H154:I154"/>
    <mergeCell ref="A151:F151"/>
    <mergeCell ref="H151:I151"/>
    <mergeCell ref="A152:F152"/>
    <mergeCell ref="H152:I152"/>
    <mergeCell ref="A153:F153"/>
    <mergeCell ref="H153:I153"/>
    <mergeCell ref="A148:F148"/>
    <mergeCell ref="H148:I148"/>
    <mergeCell ref="A149:F149"/>
    <mergeCell ref="H149:I149"/>
    <mergeCell ref="A150:F150"/>
    <mergeCell ref="H150:I150"/>
  </mergeCells>
  <printOptions horizontalCentered="1"/>
  <pageMargins left="0.31496062992126" right="0.31496062992126" top="0.35433070866141703" bottom="0.35433070866141703" header="0.31496062992126" footer="0.31496062992126"/>
  <pageSetup paperSize="14" scale="56" orientation="portrait" r:id="rId1"/>
  <rowBreaks count="1" manualBreakCount="1">
    <brk id="89" max="11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EACD-8C87-467D-83A6-D791502C87AD}">
  <sheetPr>
    <tabColor rgb="FFFFC000"/>
    <pageSetUpPr fitToPage="1"/>
  </sheetPr>
  <dimension ref="A1:O634"/>
  <sheetViews>
    <sheetView view="pageBreakPreview" topLeftCell="A37" zoomScale="86" zoomScaleNormal="55" zoomScaleSheetLayoutView="86" zoomScalePageLayoutView="25" workbookViewId="0">
      <selection activeCell="M88" sqref="A1:M88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9.8867187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554" t="s">
        <v>426</v>
      </c>
      <c r="C4" s="554"/>
      <c r="D4" s="554"/>
      <c r="E4" s="554"/>
      <c r="F4" s="554"/>
      <c r="G4" s="554"/>
      <c r="H4" s="554"/>
      <c r="J4" s="22"/>
      <c r="K4" s="22"/>
      <c r="L4" s="555"/>
      <c r="M4" s="555"/>
    </row>
    <row r="5" spans="1:13" s="16" customFormat="1" ht="16.5" customHeight="1">
      <c r="A5" s="69"/>
      <c r="B5" s="554" t="s">
        <v>427</v>
      </c>
      <c r="C5" s="554"/>
      <c r="D5" s="554"/>
      <c r="E5" s="554"/>
      <c r="F5" s="554"/>
      <c r="G5" s="554"/>
      <c r="H5" s="554"/>
      <c r="I5" s="21" t="s">
        <v>5</v>
      </c>
      <c r="J5" s="22"/>
      <c r="K5" s="22"/>
      <c r="L5" s="557" t="s">
        <v>337</v>
      </c>
      <c r="M5" s="557"/>
    </row>
    <row r="6" spans="1:13" s="16" customFormat="1" ht="16.5" customHeight="1">
      <c r="A6" s="22" t="s">
        <v>10</v>
      </c>
      <c r="B6" s="556" t="s">
        <v>428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404"/>
      <c r="M7" s="404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3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32"/>
    </row>
    <row r="11" spans="1:13" s="326" customFormat="1" ht="16.5" customHeight="1">
      <c r="A11" s="396" t="s">
        <v>274</v>
      </c>
      <c r="B11" s="424" t="s">
        <v>103</v>
      </c>
      <c r="C11" s="427"/>
      <c r="D11" s="427"/>
      <c r="E11" s="427"/>
      <c r="F11" s="428"/>
      <c r="G11" s="735"/>
      <c r="H11" s="735"/>
      <c r="I11" s="735"/>
      <c r="J11" s="738"/>
      <c r="K11" s="739"/>
      <c r="L11" s="358"/>
      <c r="M11" s="509"/>
    </row>
    <row r="12" spans="1:13" s="18" customFormat="1" ht="16.5" customHeight="1">
      <c r="A12" s="444" t="s">
        <v>104</v>
      </c>
      <c r="B12" s="795" t="s">
        <v>437</v>
      </c>
      <c r="C12" s="796"/>
      <c r="D12" s="796"/>
      <c r="E12" s="796"/>
      <c r="F12" s="797"/>
      <c r="G12" s="709"/>
      <c r="H12" s="710"/>
      <c r="I12" s="711"/>
      <c r="J12" s="798"/>
      <c r="K12" s="799"/>
      <c r="L12" s="447"/>
      <c r="M12" s="526" t="s">
        <v>106</v>
      </c>
    </row>
    <row r="13" spans="1:13" s="326" customFormat="1" ht="16.5" customHeight="1">
      <c r="A13" s="395" t="s">
        <v>107</v>
      </c>
      <c r="B13" s="429" t="s">
        <v>310</v>
      </c>
      <c r="C13" s="430"/>
      <c r="D13" s="430"/>
      <c r="E13" s="430"/>
      <c r="F13" s="394"/>
      <c r="G13" s="735"/>
      <c r="H13" s="735"/>
      <c r="I13" s="735"/>
      <c r="J13" s="736"/>
      <c r="K13" s="737"/>
      <c r="L13" s="418"/>
      <c r="M13" s="509" t="s">
        <v>333</v>
      </c>
    </row>
    <row r="14" spans="1:13" s="18" customFormat="1" ht="16.2" customHeight="1">
      <c r="A14" s="395" t="s">
        <v>111</v>
      </c>
      <c r="B14" s="744" t="s">
        <v>112</v>
      </c>
      <c r="C14" s="745"/>
      <c r="D14" s="745"/>
      <c r="E14" s="745"/>
      <c r="F14" s="394"/>
      <c r="G14" s="735"/>
      <c r="H14" s="735"/>
      <c r="I14" s="735"/>
      <c r="J14" s="736"/>
      <c r="K14" s="737"/>
      <c r="L14" s="418"/>
      <c r="M14" s="509" t="s">
        <v>333</v>
      </c>
    </row>
    <row r="15" spans="1:13" s="326" customFormat="1" ht="16.5" customHeight="1">
      <c r="A15" s="396" t="s">
        <v>276</v>
      </c>
      <c r="B15" s="792" t="s">
        <v>352</v>
      </c>
      <c r="C15" s="793"/>
      <c r="D15" s="793"/>
      <c r="E15" s="793"/>
      <c r="F15" s="794"/>
      <c r="G15" s="735"/>
      <c r="H15" s="735"/>
      <c r="I15" s="735"/>
      <c r="J15" s="738"/>
      <c r="K15" s="739"/>
      <c r="L15" s="357"/>
      <c r="M15" s="524"/>
    </row>
    <row r="16" spans="1:13" s="18" customFormat="1" ht="16.5" customHeight="1">
      <c r="A16" s="431">
        <v>801</v>
      </c>
      <c r="B16" s="432" t="s">
        <v>438</v>
      </c>
      <c r="C16" s="433"/>
      <c r="D16" s="434"/>
      <c r="E16" s="434"/>
      <c r="F16" s="433"/>
      <c r="G16" s="735"/>
      <c r="H16" s="735"/>
      <c r="I16" s="735"/>
      <c r="J16" s="747"/>
      <c r="K16" s="748"/>
      <c r="L16" s="418"/>
      <c r="M16" s="525" t="s">
        <v>331</v>
      </c>
    </row>
    <row r="17" spans="1:13" s="326" customFormat="1" ht="16.5" customHeight="1">
      <c r="A17" s="431" t="s">
        <v>311</v>
      </c>
      <c r="B17" s="775" t="s">
        <v>118</v>
      </c>
      <c r="C17" s="776"/>
      <c r="D17" s="776"/>
      <c r="E17" s="776"/>
      <c r="F17" s="777"/>
      <c r="G17" s="735"/>
      <c r="H17" s="735"/>
      <c r="I17" s="735"/>
      <c r="J17" s="747"/>
      <c r="K17" s="748"/>
      <c r="L17" s="418"/>
      <c r="M17" s="525" t="s">
        <v>265</v>
      </c>
    </row>
    <row r="18" spans="1:13" s="326" customFormat="1" ht="16.5" customHeight="1">
      <c r="A18" s="395" t="s">
        <v>312</v>
      </c>
      <c r="B18" s="775" t="s">
        <v>439</v>
      </c>
      <c r="C18" s="776"/>
      <c r="D18" s="776"/>
      <c r="E18" s="776"/>
      <c r="F18" s="777"/>
      <c r="G18" s="735"/>
      <c r="H18" s="735"/>
      <c r="I18" s="735"/>
      <c r="J18" s="747"/>
      <c r="K18" s="748"/>
      <c r="L18" s="418"/>
      <c r="M18" s="509" t="s">
        <v>265</v>
      </c>
    </row>
    <row r="19" spans="1:13" s="18" customFormat="1" ht="16.5" customHeight="1">
      <c r="A19" s="395" t="s">
        <v>339</v>
      </c>
      <c r="B19" s="432" t="s">
        <v>440</v>
      </c>
      <c r="C19" s="394"/>
      <c r="D19" s="434"/>
      <c r="E19" s="434"/>
      <c r="F19" s="433"/>
      <c r="G19" s="735"/>
      <c r="H19" s="735"/>
      <c r="I19" s="735"/>
      <c r="J19" s="747"/>
      <c r="K19" s="748"/>
      <c r="L19" s="418"/>
      <c r="M19" s="509" t="s">
        <v>265</v>
      </c>
    </row>
    <row r="20" spans="1:13" s="326" customFormat="1" ht="16.5" customHeight="1">
      <c r="A20" s="395" t="s">
        <v>340</v>
      </c>
      <c r="B20" s="432" t="s">
        <v>441</v>
      </c>
      <c r="C20" s="394"/>
      <c r="D20" s="434"/>
      <c r="E20" s="434"/>
      <c r="F20" s="433"/>
      <c r="G20" s="735"/>
      <c r="H20" s="735"/>
      <c r="I20" s="735"/>
      <c r="J20" s="747"/>
      <c r="K20" s="748"/>
      <c r="L20" s="418"/>
      <c r="M20" s="509" t="s">
        <v>265</v>
      </c>
    </row>
    <row r="21" spans="1:13" s="18" customFormat="1" ht="16.5" customHeight="1">
      <c r="A21" s="395" t="s">
        <v>344</v>
      </c>
      <c r="B21" s="432" t="s">
        <v>442</v>
      </c>
      <c r="C21" s="394"/>
      <c r="D21" s="434"/>
      <c r="E21" s="434"/>
      <c r="F21" s="433"/>
      <c r="G21" s="735"/>
      <c r="H21" s="735"/>
      <c r="I21" s="735"/>
      <c r="J21" s="747"/>
      <c r="K21" s="748"/>
      <c r="L21" s="418"/>
      <c r="M21" s="509" t="s">
        <v>265</v>
      </c>
    </row>
    <row r="22" spans="1:13" s="326" customFormat="1" ht="16.5" customHeight="1">
      <c r="A22" s="395">
        <v>1046</v>
      </c>
      <c r="B22" s="775" t="s">
        <v>320</v>
      </c>
      <c r="C22" s="776"/>
      <c r="D22" s="776"/>
      <c r="E22" s="776"/>
      <c r="F22" s="777"/>
      <c r="G22" s="735"/>
      <c r="H22" s="735"/>
      <c r="I22" s="735"/>
      <c r="J22" s="747"/>
      <c r="K22" s="748"/>
      <c r="L22" s="333"/>
      <c r="M22" s="509" t="s">
        <v>331</v>
      </c>
    </row>
    <row r="23" spans="1:13" s="18" customFormat="1" ht="16.5" customHeight="1">
      <c r="A23" s="395">
        <v>1027</v>
      </c>
      <c r="B23" s="432" t="s">
        <v>359</v>
      </c>
      <c r="C23" s="394"/>
      <c r="D23" s="434"/>
      <c r="E23" s="434"/>
      <c r="F23" s="433"/>
      <c r="G23" s="735"/>
      <c r="H23" s="735"/>
      <c r="I23" s="735"/>
      <c r="J23" s="747"/>
      <c r="K23" s="748"/>
      <c r="L23" s="333"/>
      <c r="M23" s="509" t="s">
        <v>331</v>
      </c>
    </row>
    <row r="24" spans="1:13" s="326" customFormat="1" ht="16.5" customHeight="1">
      <c r="A24" s="395">
        <v>1047</v>
      </c>
      <c r="B24" s="775" t="s">
        <v>443</v>
      </c>
      <c r="C24" s="776"/>
      <c r="D24" s="776"/>
      <c r="E24" s="776"/>
      <c r="F24" s="777"/>
      <c r="G24" s="735"/>
      <c r="H24" s="735"/>
      <c r="I24" s="735"/>
      <c r="J24" s="747"/>
      <c r="K24" s="748"/>
      <c r="L24" s="333"/>
      <c r="M24" s="509" t="s">
        <v>402</v>
      </c>
    </row>
    <row r="25" spans="1:13" s="18" customFormat="1" ht="16.5" customHeight="1">
      <c r="A25" s="395" t="s">
        <v>429</v>
      </c>
      <c r="B25" s="432" t="s">
        <v>324</v>
      </c>
      <c r="C25" s="394"/>
      <c r="D25" s="434"/>
      <c r="E25" s="434"/>
      <c r="F25" s="433"/>
      <c r="G25" s="735"/>
      <c r="H25" s="735"/>
      <c r="I25" s="735"/>
      <c r="J25" s="747"/>
      <c r="K25" s="748"/>
      <c r="L25" s="333"/>
      <c r="M25" s="509" t="s">
        <v>331</v>
      </c>
    </row>
    <row r="26" spans="1:13" s="326" customFormat="1" ht="18" customHeight="1">
      <c r="A26" s="395">
        <v>1012</v>
      </c>
      <c r="B26" s="749" t="s">
        <v>444</v>
      </c>
      <c r="C26" s="750"/>
      <c r="D26" s="750"/>
      <c r="E26" s="750"/>
      <c r="F26" s="751"/>
      <c r="G26" s="735"/>
      <c r="H26" s="735"/>
      <c r="I26" s="735"/>
      <c r="J26" s="747"/>
      <c r="K26" s="748"/>
      <c r="L26" s="333"/>
      <c r="M26" s="509" t="s">
        <v>331</v>
      </c>
    </row>
    <row r="27" spans="1:13" s="18" customFormat="1" ht="16.5" customHeight="1">
      <c r="A27" s="395" t="s">
        <v>349</v>
      </c>
      <c r="B27" s="432" t="s">
        <v>364</v>
      </c>
      <c r="C27" s="394"/>
      <c r="D27" s="434"/>
      <c r="E27" s="434"/>
      <c r="F27" s="433"/>
      <c r="G27" s="735"/>
      <c r="H27" s="735"/>
      <c r="I27" s="735"/>
      <c r="J27" s="747"/>
      <c r="K27" s="748"/>
      <c r="L27" s="333"/>
      <c r="M27" s="509" t="s">
        <v>331</v>
      </c>
    </row>
    <row r="28" spans="1:13" s="326" customFormat="1" ht="16.5" customHeight="1">
      <c r="A28" s="444">
        <v>1008</v>
      </c>
      <c r="B28" s="432" t="s">
        <v>365</v>
      </c>
      <c r="C28" s="394"/>
      <c r="D28" s="434"/>
      <c r="E28" s="434"/>
      <c r="F28" s="433"/>
      <c r="G28" s="709"/>
      <c r="H28" s="710"/>
      <c r="I28" s="711"/>
      <c r="J28" s="715"/>
      <c r="K28" s="716"/>
      <c r="L28" s="447"/>
      <c r="M28" s="526" t="s">
        <v>331</v>
      </c>
    </row>
    <row r="29" spans="1:13" s="326" customFormat="1" ht="16.5" customHeight="1">
      <c r="A29" s="444">
        <v>1010</v>
      </c>
      <c r="B29" s="775" t="s">
        <v>445</v>
      </c>
      <c r="C29" s="776"/>
      <c r="D29" s="776"/>
      <c r="E29" s="776"/>
      <c r="F29" s="777"/>
      <c r="G29" s="709"/>
      <c r="H29" s="710"/>
      <c r="I29" s="711"/>
      <c r="J29" s="715"/>
      <c r="K29" s="716"/>
      <c r="L29" s="447"/>
      <c r="M29" s="526" t="s">
        <v>369</v>
      </c>
    </row>
    <row r="30" spans="1:13" s="326" customFormat="1" ht="16.5" customHeight="1">
      <c r="A30" s="395">
        <v>1018</v>
      </c>
      <c r="B30" s="775" t="s">
        <v>366</v>
      </c>
      <c r="C30" s="776"/>
      <c r="D30" s="776"/>
      <c r="E30" s="776"/>
      <c r="F30" s="777"/>
      <c r="G30" s="752"/>
      <c r="H30" s="753"/>
      <c r="I30" s="754"/>
      <c r="J30" s="747"/>
      <c r="K30" s="748"/>
      <c r="L30" s="333"/>
      <c r="M30" s="509" t="s">
        <v>331</v>
      </c>
    </row>
    <row r="31" spans="1:13" s="326" customFormat="1" ht="16.5" customHeight="1">
      <c r="A31" s="395">
        <v>1032</v>
      </c>
      <c r="B31" s="775" t="s">
        <v>322</v>
      </c>
      <c r="C31" s="776"/>
      <c r="D31" s="776"/>
      <c r="E31" s="776"/>
      <c r="F31" s="433"/>
      <c r="G31" s="421"/>
      <c r="H31" s="422"/>
      <c r="I31" s="423"/>
      <c r="J31" s="418"/>
      <c r="K31" s="419"/>
      <c r="L31" s="333"/>
      <c r="M31" s="509" t="s">
        <v>331</v>
      </c>
    </row>
    <row r="32" spans="1:13" s="326" customFormat="1" ht="16.5" customHeight="1">
      <c r="A32" s="445" t="s">
        <v>430</v>
      </c>
      <c r="B32" s="775" t="s">
        <v>360</v>
      </c>
      <c r="C32" s="776"/>
      <c r="D32" s="776"/>
      <c r="E32" s="776"/>
      <c r="F32" s="777"/>
      <c r="G32" s="709"/>
      <c r="H32" s="710"/>
      <c r="I32" s="711"/>
      <c r="J32" s="446"/>
      <c r="K32" s="419"/>
      <c r="L32" s="447"/>
      <c r="M32" s="526" t="s">
        <v>331</v>
      </c>
    </row>
    <row r="33" spans="1:13" s="326" customFormat="1" ht="16.5" customHeight="1">
      <c r="A33" s="395" t="s">
        <v>431</v>
      </c>
      <c r="B33" s="432" t="s">
        <v>446</v>
      </c>
      <c r="C33" s="394"/>
      <c r="D33" s="434"/>
      <c r="E33" s="434"/>
      <c r="F33" s="433"/>
      <c r="G33" s="421"/>
      <c r="H33" s="422"/>
      <c r="I33" s="423"/>
      <c r="J33" s="418"/>
      <c r="K33" s="419"/>
      <c r="L33" s="333"/>
      <c r="M33" s="509" t="s">
        <v>331</v>
      </c>
    </row>
    <row r="34" spans="1:13" s="326" customFormat="1" ht="16.5" customHeight="1">
      <c r="A34" s="395" t="s">
        <v>432</v>
      </c>
      <c r="B34" s="432" t="s">
        <v>449</v>
      </c>
      <c r="C34" s="394"/>
      <c r="D34" s="434"/>
      <c r="E34" s="434"/>
      <c r="F34" s="433"/>
      <c r="G34" s="421"/>
      <c r="H34" s="422"/>
      <c r="I34" s="423"/>
      <c r="J34" s="418"/>
      <c r="K34" s="419"/>
      <c r="L34" s="333"/>
      <c r="M34" s="509" t="s">
        <v>331</v>
      </c>
    </row>
    <row r="35" spans="1:13" s="326" customFormat="1" ht="16.5" customHeight="1">
      <c r="A35" s="395" t="s">
        <v>433</v>
      </c>
      <c r="B35" s="432" t="s">
        <v>447</v>
      </c>
      <c r="C35" s="394"/>
      <c r="D35" s="434"/>
      <c r="E35" s="434"/>
      <c r="F35" s="433"/>
      <c r="G35" s="421"/>
      <c r="H35" s="422"/>
      <c r="I35" s="423"/>
      <c r="J35" s="418"/>
      <c r="K35" s="419"/>
      <c r="L35" s="333"/>
      <c r="M35" s="509" t="s">
        <v>331</v>
      </c>
    </row>
    <row r="36" spans="1:13" s="326" customFormat="1" ht="16.5" customHeight="1">
      <c r="A36" s="395" t="s">
        <v>434</v>
      </c>
      <c r="B36" s="432" t="s">
        <v>448</v>
      </c>
      <c r="C36" s="394"/>
      <c r="D36" s="434"/>
      <c r="E36" s="434"/>
      <c r="F36" s="433"/>
      <c r="G36" s="421"/>
      <c r="H36" s="422"/>
      <c r="I36" s="423"/>
      <c r="J36" s="418"/>
      <c r="K36" s="419"/>
      <c r="L36" s="333"/>
      <c r="M36" s="509" t="s">
        <v>331</v>
      </c>
    </row>
    <row r="37" spans="1:13" s="326" customFormat="1" ht="16.5" customHeight="1">
      <c r="A37" s="395">
        <v>1002</v>
      </c>
      <c r="B37" s="775" t="s">
        <v>368</v>
      </c>
      <c r="C37" s="776"/>
      <c r="D37" s="776"/>
      <c r="E37" s="776"/>
      <c r="F37" s="777"/>
      <c r="G37" s="752"/>
      <c r="H37" s="753"/>
      <c r="I37" s="754"/>
      <c r="J37" s="747"/>
      <c r="K37" s="748"/>
      <c r="L37" s="333"/>
      <c r="M37" s="509" t="s">
        <v>333</v>
      </c>
    </row>
    <row r="38" spans="1:13" s="326" customFormat="1" ht="16.5" customHeight="1">
      <c r="A38" s="332" t="s">
        <v>435</v>
      </c>
      <c r="B38" s="775" t="s">
        <v>450</v>
      </c>
      <c r="C38" s="776"/>
      <c r="D38" s="776"/>
      <c r="E38" s="776"/>
      <c r="F38" s="777"/>
      <c r="G38" s="421"/>
      <c r="H38" s="422"/>
      <c r="I38" s="423"/>
      <c r="J38" s="418"/>
      <c r="K38" s="419"/>
      <c r="L38" s="333"/>
      <c r="M38" s="509" t="s">
        <v>369</v>
      </c>
    </row>
    <row r="39" spans="1:13" s="326" customFormat="1" ht="16.5" customHeight="1">
      <c r="A39" s="395" t="s">
        <v>436</v>
      </c>
      <c r="B39" s="775" t="s">
        <v>451</v>
      </c>
      <c r="C39" s="776"/>
      <c r="D39" s="776"/>
      <c r="E39" s="776"/>
      <c r="F39" s="777"/>
      <c r="G39" s="752"/>
      <c r="H39" s="753"/>
      <c r="I39" s="754"/>
      <c r="J39" s="747"/>
      <c r="K39" s="748"/>
      <c r="L39" s="333"/>
      <c r="M39" s="509" t="s">
        <v>333</v>
      </c>
    </row>
    <row r="40" spans="1:13" s="326" customFormat="1" ht="16.5" customHeight="1" thickBot="1">
      <c r="A40" s="346">
        <v>1100</v>
      </c>
      <c r="B40" s="432" t="s">
        <v>452</v>
      </c>
      <c r="C40" s="394"/>
      <c r="D40" s="434"/>
      <c r="E40" s="434"/>
      <c r="F40" s="433"/>
      <c r="G40" s="421"/>
      <c r="H40" s="422"/>
      <c r="I40" s="423"/>
      <c r="J40" s="418"/>
      <c r="K40" s="419"/>
      <c r="L40" s="333"/>
      <c r="M40" s="509" t="s">
        <v>333</v>
      </c>
    </row>
    <row r="41" spans="1:13" s="326" customFormat="1" ht="16.5" customHeight="1">
      <c r="A41" s="407">
        <v>1101</v>
      </c>
      <c r="B41" s="432" t="s">
        <v>453</v>
      </c>
      <c r="C41" s="394"/>
      <c r="D41" s="434"/>
      <c r="E41" s="434"/>
      <c r="F41" s="433"/>
      <c r="G41" s="421"/>
      <c r="H41" s="422"/>
      <c r="I41" s="423"/>
      <c r="J41" s="418"/>
      <c r="K41" s="419"/>
      <c r="L41" s="333"/>
      <c r="M41" s="509" t="s">
        <v>333</v>
      </c>
    </row>
    <row r="42" spans="1:13" s="326" customFormat="1" ht="16.5" customHeight="1">
      <c r="A42" s="442">
        <v>1102</v>
      </c>
      <c r="B42" s="432" t="s">
        <v>454</v>
      </c>
      <c r="C42" s="394"/>
      <c r="D42" s="434"/>
      <c r="E42" s="434"/>
      <c r="F42" s="433"/>
      <c r="G42" s="421"/>
      <c r="H42" s="422"/>
      <c r="I42" s="423"/>
      <c r="J42" s="418"/>
      <c r="K42" s="419"/>
      <c r="L42" s="333"/>
      <c r="M42" s="509" t="s">
        <v>263</v>
      </c>
    </row>
    <row r="43" spans="1:13" s="326" customFormat="1" ht="16.5" customHeight="1">
      <c r="A43" s="442">
        <v>1103</v>
      </c>
      <c r="B43" s="432" t="s">
        <v>455</v>
      </c>
      <c r="C43" s="394"/>
      <c r="D43" s="434"/>
      <c r="E43" s="434"/>
      <c r="F43" s="433"/>
      <c r="G43" s="421"/>
      <c r="H43" s="422"/>
      <c r="I43" s="423"/>
      <c r="J43" s="418"/>
      <c r="K43" s="419"/>
      <c r="L43" s="333"/>
      <c r="M43" s="509" t="s">
        <v>263</v>
      </c>
    </row>
    <row r="44" spans="1:13" s="326" customFormat="1" ht="16.5" customHeight="1">
      <c r="A44" s="442"/>
      <c r="B44" s="778"/>
      <c r="C44" s="779"/>
      <c r="D44" s="779"/>
      <c r="E44" s="779"/>
      <c r="F44" s="780"/>
      <c r="G44" s="421"/>
      <c r="H44" s="422"/>
      <c r="I44" s="423"/>
      <c r="J44" s="418"/>
      <c r="K44" s="419"/>
      <c r="L44" s="333"/>
      <c r="M44" s="509"/>
    </row>
    <row r="45" spans="1:13" s="18" customFormat="1" ht="16.5" customHeight="1" thickBot="1">
      <c r="A45" s="346"/>
      <c r="B45" s="778"/>
      <c r="C45" s="779"/>
      <c r="D45" s="779"/>
      <c r="E45" s="779"/>
      <c r="F45" s="780"/>
      <c r="G45" s="757"/>
      <c r="H45" s="757"/>
      <c r="I45" s="757"/>
      <c r="J45" s="758"/>
      <c r="K45" s="759"/>
      <c r="L45" s="350"/>
      <c r="M45" s="510"/>
    </row>
    <row r="46" spans="1:13" s="18" customFormat="1" ht="16.5" customHeight="1">
      <c r="A46" s="407"/>
      <c r="B46" s="566"/>
      <c r="C46" s="566"/>
      <c r="D46" s="566"/>
      <c r="E46" s="566"/>
      <c r="F46" s="566"/>
      <c r="G46" s="407"/>
      <c r="H46" s="41"/>
      <c r="I46" s="41"/>
      <c r="J46" s="42"/>
      <c r="K46" s="42"/>
      <c r="L46" s="43"/>
      <c r="M46" s="3"/>
    </row>
    <row r="47" spans="1:13" s="18" customFormat="1" ht="16.5" customHeight="1">
      <c r="A47" s="26"/>
      <c r="B47" s="409"/>
      <c r="C47" s="409"/>
      <c r="D47" s="409"/>
      <c r="E47" s="409"/>
      <c r="F47" s="17"/>
      <c r="G47" s="17"/>
      <c r="H47" s="17"/>
      <c r="I47" s="17"/>
      <c r="J47" s="17"/>
      <c r="K47" s="17"/>
      <c r="L47" s="3"/>
      <c r="M47" s="3"/>
    </row>
    <row r="48" spans="1:13" s="25" customFormat="1" ht="16.5" customHeight="1">
      <c r="A48" s="19" t="s">
        <v>13</v>
      </c>
      <c r="B48" s="567" t="s">
        <v>14</v>
      </c>
      <c r="C48" s="567"/>
      <c r="D48" s="567"/>
      <c r="E48" s="567"/>
      <c r="F48" s="567"/>
      <c r="G48" s="568" t="s">
        <v>24</v>
      </c>
      <c r="H48" s="568"/>
      <c r="I48" s="408" t="s">
        <v>17</v>
      </c>
      <c r="J48" s="733" t="s">
        <v>25</v>
      </c>
      <c r="K48" s="734"/>
      <c r="L48" s="403" t="s">
        <v>26</v>
      </c>
      <c r="M48" s="403" t="s">
        <v>27</v>
      </c>
    </row>
    <row r="49" spans="1:13" s="18" customFormat="1" ht="16.5" customHeight="1">
      <c r="A49" s="317"/>
      <c r="B49" s="563"/>
      <c r="C49" s="563"/>
      <c r="D49" s="563"/>
      <c r="E49" s="563"/>
      <c r="F49" s="563"/>
      <c r="G49" s="564"/>
      <c r="H49" s="564"/>
      <c r="I49" s="406"/>
      <c r="J49" s="755"/>
      <c r="K49" s="756"/>
      <c r="L49" s="413"/>
      <c r="M49" s="413"/>
    </row>
    <row r="50" spans="1:13" s="52" customFormat="1" ht="16.5" customHeight="1">
      <c r="A50" s="405"/>
      <c r="B50" s="563"/>
      <c r="C50" s="563"/>
      <c r="D50" s="563"/>
      <c r="E50" s="563"/>
      <c r="F50" s="563"/>
      <c r="G50" s="564"/>
      <c r="H50" s="564"/>
      <c r="I50" s="406"/>
      <c r="J50" s="755"/>
      <c r="K50" s="756"/>
      <c r="L50" s="413"/>
      <c r="M50" s="413"/>
    </row>
    <row r="51" spans="1:13" s="52" customFormat="1" ht="16.5" customHeight="1">
      <c r="A51" s="405"/>
      <c r="B51" s="563"/>
      <c r="C51" s="563"/>
      <c r="D51" s="563"/>
      <c r="E51" s="563"/>
      <c r="F51" s="563"/>
      <c r="G51" s="564"/>
      <c r="H51" s="564"/>
      <c r="I51" s="406"/>
      <c r="J51" s="755"/>
      <c r="K51" s="756"/>
      <c r="L51" s="413"/>
      <c r="M51" s="413"/>
    </row>
    <row r="52" spans="1:13" s="52" customFormat="1" ht="16.5" customHeight="1">
      <c r="A52" s="405"/>
      <c r="B52" s="563"/>
      <c r="C52" s="563"/>
      <c r="D52" s="563"/>
      <c r="E52" s="563"/>
      <c r="F52" s="563"/>
      <c r="G52" s="564"/>
      <c r="H52" s="564"/>
      <c r="I52" s="406"/>
      <c r="J52" s="755"/>
      <c r="K52" s="756"/>
      <c r="L52" s="413"/>
      <c r="M52" s="413"/>
    </row>
    <row r="53" spans="1:13" s="52" customFormat="1" ht="16.5" customHeight="1">
      <c r="A53" s="32"/>
      <c r="B53" s="565"/>
      <c r="C53" s="565"/>
      <c r="D53" s="565"/>
      <c r="E53" s="565"/>
      <c r="F53" s="565"/>
      <c r="G53" s="565"/>
      <c r="H53" s="565"/>
      <c r="I53" s="565"/>
      <c r="J53" s="17"/>
      <c r="K53" s="17"/>
      <c r="L53" s="3"/>
      <c r="M53" s="3"/>
    </row>
    <row r="54" spans="1:13" s="51" customFormat="1" ht="16.5" customHeight="1">
      <c r="A54" s="34" t="s">
        <v>28</v>
      </c>
      <c r="B54" s="34"/>
      <c r="C54" s="34"/>
      <c r="D54" s="34"/>
      <c r="E54" s="34"/>
      <c r="F54" s="17"/>
      <c r="G54" s="38"/>
      <c r="H54" s="36" t="s">
        <v>29</v>
      </c>
      <c r="I54" s="34"/>
      <c r="J54" s="34"/>
      <c r="K54" s="34"/>
      <c r="L54" s="34"/>
      <c r="M54" s="34"/>
    </row>
    <row r="55" spans="1:13" s="51" customFormat="1" ht="16.5" customHeight="1">
      <c r="A55" s="569"/>
      <c r="B55" s="569"/>
      <c r="C55" s="569"/>
      <c r="D55" s="569"/>
      <c r="E55" s="569"/>
      <c r="F55" s="569"/>
      <c r="G55" s="410"/>
      <c r="H55" s="569"/>
      <c r="I55" s="569"/>
      <c r="J55" s="569"/>
      <c r="K55" s="569"/>
      <c r="L55" s="569"/>
      <c r="M55" s="569"/>
    </row>
    <row r="56" spans="1:13" s="51" customFormat="1" ht="16.5" customHeight="1">
      <c r="A56" s="571"/>
      <c r="B56" s="571"/>
      <c r="C56" s="571"/>
      <c r="D56" s="571"/>
      <c r="E56" s="571"/>
      <c r="F56" s="571"/>
      <c r="G56" s="410"/>
      <c r="H56" s="571"/>
      <c r="I56" s="571"/>
      <c r="J56" s="571"/>
      <c r="K56" s="571"/>
      <c r="L56" s="571"/>
      <c r="M56" s="571"/>
    </row>
    <row r="57" spans="1:13" s="51" customFormat="1" ht="16.5" customHeight="1">
      <c r="A57" s="571"/>
      <c r="B57" s="571"/>
      <c r="C57" s="571"/>
      <c r="D57" s="571"/>
      <c r="E57" s="571"/>
      <c r="F57" s="571"/>
      <c r="G57" s="57"/>
      <c r="H57" s="569"/>
      <c r="I57" s="569"/>
      <c r="J57" s="569"/>
      <c r="K57" s="569"/>
      <c r="L57" s="569"/>
      <c r="M57" s="569"/>
    </row>
    <row r="58" spans="1:13" s="51" customFormat="1" ht="16.5" customHeight="1">
      <c r="A58" s="569"/>
      <c r="B58" s="569"/>
      <c r="C58" s="569"/>
      <c r="D58" s="569"/>
      <c r="E58" s="569"/>
      <c r="F58" s="569"/>
      <c r="G58" s="57"/>
      <c r="H58" s="569"/>
      <c r="I58" s="569"/>
      <c r="J58" s="569"/>
      <c r="K58" s="569"/>
      <c r="L58" s="569"/>
      <c r="M58" s="569"/>
    </row>
    <row r="59" spans="1:13" s="51" customFormat="1" ht="16.5" customHeight="1">
      <c r="A59" s="570"/>
      <c r="B59" s="570"/>
      <c r="C59" s="570"/>
      <c r="D59" s="570"/>
      <c r="E59" s="570"/>
      <c r="F59" s="570"/>
      <c r="G59" s="39"/>
      <c r="H59" s="569"/>
      <c r="I59" s="569"/>
      <c r="J59" s="569"/>
      <c r="K59" s="569"/>
      <c r="L59" s="569"/>
      <c r="M59" s="569"/>
    </row>
    <row r="60" spans="1:13" s="3" customFormat="1" ht="16.5" customHeight="1">
      <c r="A60" s="571"/>
      <c r="B60" s="571"/>
      <c r="C60" s="571"/>
      <c r="D60" s="571"/>
      <c r="E60" s="571"/>
      <c r="F60" s="571"/>
      <c r="G60" s="410"/>
      <c r="H60" s="569"/>
      <c r="I60" s="569"/>
      <c r="J60" s="569"/>
      <c r="K60" s="569"/>
      <c r="L60" s="569"/>
      <c r="M60" s="569"/>
    </row>
    <row r="61" spans="1:13" s="3" customFormat="1" ht="16.5" customHeight="1">
      <c r="A61" s="571"/>
      <c r="B61" s="571"/>
      <c r="C61" s="571"/>
      <c r="D61" s="571"/>
      <c r="E61" s="571"/>
      <c r="F61" s="571"/>
      <c r="G61" s="57"/>
      <c r="H61" s="569"/>
      <c r="I61" s="569"/>
      <c r="J61" s="569"/>
      <c r="K61" s="569"/>
      <c r="L61" s="569"/>
      <c r="M61" s="569"/>
    </row>
    <row r="62" spans="1:13" s="3" customFormat="1" ht="16.5" customHeight="1">
      <c r="A62" s="571"/>
      <c r="B62" s="571"/>
      <c r="C62" s="571"/>
      <c r="D62" s="571"/>
      <c r="E62" s="571"/>
      <c r="F62" s="571"/>
      <c r="G62" s="410"/>
      <c r="H62" s="569"/>
      <c r="I62" s="569"/>
      <c r="J62" s="569"/>
      <c r="K62" s="569"/>
      <c r="L62" s="569"/>
      <c r="M62" s="569"/>
    </row>
    <row r="63" spans="1:13" s="3" customFormat="1" ht="16.5" customHeight="1">
      <c r="A63" s="571"/>
      <c r="B63" s="571"/>
      <c r="C63" s="571"/>
      <c r="D63" s="571"/>
      <c r="E63" s="571"/>
      <c r="F63" s="571"/>
      <c r="G63" s="410"/>
      <c r="H63" s="569"/>
      <c r="I63" s="569"/>
      <c r="J63" s="569"/>
      <c r="K63" s="569"/>
      <c r="L63" s="569"/>
      <c r="M63" s="569"/>
    </row>
    <row r="64" spans="1:13" s="3" customFormat="1" ht="16.5" customHeight="1">
      <c r="A64" s="571"/>
      <c r="B64" s="571"/>
      <c r="C64" s="571"/>
      <c r="D64" s="571"/>
      <c r="E64" s="571"/>
      <c r="F64" s="571"/>
      <c r="G64" s="57"/>
      <c r="H64" s="569"/>
      <c r="I64" s="569"/>
      <c r="J64" s="569"/>
      <c r="K64" s="569"/>
      <c r="L64" s="569"/>
      <c r="M64" s="569"/>
    </row>
    <row r="65" spans="1:13" s="3" customFormat="1" ht="16.5" customHeight="1">
      <c r="A65" s="572"/>
      <c r="B65" s="572"/>
      <c r="C65" s="572"/>
      <c r="D65" s="572"/>
      <c r="E65" s="572"/>
      <c r="F65" s="572"/>
      <c r="G65" s="57"/>
      <c r="H65" s="572"/>
      <c r="I65" s="572"/>
      <c r="J65" s="572"/>
      <c r="K65" s="572"/>
      <c r="L65" s="572"/>
      <c r="M65" s="572"/>
    </row>
    <row r="66" spans="1:13" s="3" customFormat="1" ht="16.5" customHeight="1">
      <c r="A66" s="70" t="s">
        <v>34</v>
      </c>
      <c r="B66" s="5"/>
      <c r="C66" s="4"/>
      <c r="H66" s="760" t="s">
        <v>35</v>
      </c>
      <c r="I66" s="761"/>
      <c r="J66" s="761"/>
      <c r="K66" s="762"/>
      <c r="L66" s="573" t="s">
        <v>36</v>
      </c>
      <c r="M66" s="573"/>
    </row>
    <row r="67" spans="1:13" s="3" customFormat="1" ht="16.5" customHeight="1">
      <c r="A67" s="576"/>
      <c r="B67" s="576"/>
      <c r="C67" s="576"/>
      <c r="D67" s="576"/>
      <c r="E67" s="576"/>
      <c r="F67" s="576"/>
      <c r="G67" s="71"/>
      <c r="H67" s="577" t="s">
        <v>14</v>
      </c>
      <c r="I67" s="577"/>
      <c r="J67" s="763" t="s">
        <v>24</v>
      </c>
      <c r="K67" s="764"/>
      <c r="L67" s="414" t="s">
        <v>14</v>
      </c>
      <c r="M67" s="414" t="s">
        <v>24</v>
      </c>
    </row>
    <row r="68" spans="1:13" s="3" customFormat="1" ht="16.5" customHeight="1">
      <c r="A68" s="576"/>
      <c r="B68" s="576"/>
      <c r="C68" s="576"/>
      <c r="D68" s="576"/>
      <c r="E68" s="576"/>
      <c r="F68" s="576"/>
      <c r="G68" s="72"/>
      <c r="H68" s="575"/>
      <c r="I68" s="575"/>
      <c r="J68" s="765"/>
      <c r="K68" s="766"/>
      <c r="L68" s="76"/>
      <c r="M68" s="413"/>
    </row>
    <row r="69" spans="1:13" s="3" customFormat="1" ht="16.5" customHeight="1">
      <c r="A69" s="412"/>
      <c r="B69" s="412"/>
      <c r="C69" s="412"/>
      <c r="D69" s="412"/>
      <c r="E69" s="412"/>
      <c r="F69" s="412"/>
      <c r="G69" s="72"/>
      <c r="H69" s="575"/>
      <c r="I69" s="575"/>
      <c r="J69" s="765"/>
      <c r="K69" s="766"/>
      <c r="L69" s="76"/>
      <c r="M69" s="413"/>
    </row>
    <row r="70" spans="1:13" s="3" customFormat="1" ht="16.5" customHeight="1">
      <c r="A70" s="574"/>
      <c r="B70" s="574"/>
      <c r="C70" s="574"/>
      <c r="D70" s="574"/>
      <c r="E70" s="574"/>
      <c r="F70" s="574"/>
      <c r="G70" s="72"/>
      <c r="H70" s="575"/>
      <c r="I70" s="575"/>
      <c r="J70" s="765"/>
      <c r="K70" s="766"/>
      <c r="L70" s="76"/>
      <c r="M70" s="413"/>
    </row>
    <row r="71" spans="1:13" s="3" customFormat="1" ht="16.5" customHeight="1">
      <c r="A71" s="767"/>
      <c r="B71" s="767"/>
      <c r="C71" s="767"/>
      <c r="D71" s="767"/>
      <c r="E71" s="767"/>
      <c r="F71" s="767"/>
      <c r="G71" s="72"/>
      <c r="H71" s="765"/>
      <c r="I71" s="766"/>
      <c r="J71" s="765"/>
      <c r="K71" s="766"/>
      <c r="L71" s="76"/>
      <c r="M71" s="413"/>
    </row>
    <row r="72" spans="1:13" s="3" customFormat="1" ht="16.5" customHeight="1">
      <c r="A72" s="767"/>
      <c r="B72" s="767"/>
      <c r="C72" s="767"/>
      <c r="D72" s="767"/>
      <c r="E72" s="767"/>
      <c r="F72" s="767"/>
      <c r="G72" s="72"/>
      <c r="H72" s="765"/>
      <c r="I72" s="766"/>
      <c r="J72" s="765"/>
      <c r="K72" s="766"/>
      <c r="L72" s="77"/>
      <c r="M72" s="413"/>
    </row>
    <row r="73" spans="1:13" s="3" customFormat="1" ht="70.8" customHeight="1">
      <c r="A73" s="767"/>
      <c r="B73" s="767"/>
      <c r="C73" s="767"/>
      <c r="D73" s="767"/>
      <c r="E73" s="767"/>
      <c r="F73" s="767"/>
      <c r="G73" s="72"/>
      <c r="H73" s="765"/>
      <c r="I73" s="766"/>
      <c r="J73" s="765"/>
      <c r="K73" s="766"/>
      <c r="M73" s="73"/>
    </row>
    <row r="74" spans="1:13" s="3" customFormat="1" ht="16.5" customHeight="1">
      <c r="A74" s="574"/>
      <c r="B74" s="574"/>
      <c r="C74" s="574"/>
      <c r="D74" s="574"/>
      <c r="E74" s="574"/>
      <c r="F74" s="574"/>
      <c r="G74" s="72"/>
      <c r="H74" s="575"/>
      <c r="I74" s="575"/>
      <c r="J74" s="765"/>
      <c r="K74" s="766"/>
      <c r="L74" s="77"/>
      <c r="M74" s="73"/>
    </row>
    <row r="75" spans="1:13" s="3" customFormat="1" ht="16.5" customHeight="1">
      <c r="A75" s="574"/>
      <c r="B75" s="574"/>
      <c r="C75" s="574"/>
      <c r="D75" s="574"/>
      <c r="E75" s="574"/>
      <c r="F75" s="574"/>
      <c r="G75" s="72"/>
      <c r="H75" s="575"/>
      <c r="I75" s="575"/>
      <c r="J75" s="765"/>
      <c r="K75" s="766"/>
      <c r="L75" s="77"/>
      <c r="M75" s="73"/>
    </row>
    <row r="76" spans="1:13" s="3" customFormat="1" ht="16.5" customHeight="1">
      <c r="A76" s="574"/>
      <c r="B76" s="574"/>
      <c r="C76" s="574"/>
      <c r="D76" s="574"/>
      <c r="E76" s="574"/>
      <c r="F76" s="574"/>
      <c r="G76" s="72"/>
      <c r="H76" s="575"/>
      <c r="I76" s="575"/>
      <c r="J76" s="765"/>
      <c r="K76" s="766"/>
      <c r="L76" s="77"/>
      <c r="M76" s="73"/>
    </row>
    <row r="77" spans="1:13" s="3" customFormat="1" ht="16.5" customHeight="1">
      <c r="A77" s="574"/>
      <c r="B77" s="574"/>
      <c r="C77" s="574"/>
      <c r="D77" s="574"/>
      <c r="E77" s="574"/>
      <c r="F77" s="574"/>
      <c r="G77" s="72"/>
      <c r="H77" s="575"/>
      <c r="I77" s="575"/>
      <c r="J77" s="765"/>
      <c r="K77" s="766"/>
      <c r="L77" s="77"/>
      <c r="M77" s="73"/>
    </row>
    <row r="78" spans="1:13" s="3" customFormat="1" ht="16.5" customHeight="1">
      <c r="A78" s="45"/>
      <c r="B78" s="46"/>
      <c r="C78" s="46"/>
      <c r="D78" s="46"/>
      <c r="E78" s="44"/>
      <c r="F78" s="46"/>
      <c r="G78" s="46"/>
      <c r="H78" s="46"/>
      <c r="I78" s="46"/>
      <c r="J78" s="46"/>
      <c r="K78" s="46"/>
      <c r="L78" s="47"/>
      <c r="M78" s="46"/>
    </row>
    <row r="79" spans="1:13" s="3" customFormat="1" ht="16.5" customHeight="1">
      <c r="A79" s="45" t="s">
        <v>45</v>
      </c>
      <c r="B79" s="46"/>
      <c r="C79" s="46"/>
      <c r="D79" s="46"/>
      <c r="E79" s="44"/>
      <c r="F79" s="46"/>
      <c r="G79" s="46"/>
      <c r="H79" s="46"/>
      <c r="I79" s="46"/>
      <c r="J79" s="46"/>
      <c r="K79" s="46"/>
      <c r="L79" s="47"/>
      <c r="M79" s="46"/>
    </row>
    <row r="80" spans="1:13" s="3" customFormat="1" ht="16.5" customHeight="1">
      <c r="A80" s="45"/>
      <c r="B80" s="46"/>
      <c r="C80" s="46"/>
      <c r="D80" s="46"/>
      <c r="E80" s="44"/>
      <c r="F80" s="46"/>
      <c r="G80" s="46"/>
      <c r="H80" s="46"/>
      <c r="I80" s="48"/>
      <c r="J80" s="48"/>
      <c r="K80" s="48"/>
      <c r="L80" s="47"/>
      <c r="M80" s="46"/>
    </row>
    <row r="81" spans="1:15" s="3" customFormat="1" ht="31.5" customHeight="1">
      <c r="A81" s="46" t="s">
        <v>46</v>
      </c>
      <c r="B81" s="578" t="s">
        <v>47</v>
      </c>
      <c r="C81" s="579"/>
      <c r="D81" s="578" t="s">
        <v>48</v>
      </c>
      <c r="E81" s="579"/>
      <c r="F81" s="578" t="s">
        <v>49</v>
      </c>
      <c r="G81" s="579"/>
      <c r="H81" s="578" t="s">
        <v>50</v>
      </c>
      <c r="I81" s="579"/>
      <c r="J81" s="578" t="s">
        <v>51</v>
      </c>
      <c r="K81" s="769"/>
      <c r="L81" s="579"/>
      <c r="M81" s="49"/>
    </row>
    <row r="82" spans="1:15" s="3" customFormat="1" ht="16.5" customHeight="1">
      <c r="A82" s="50"/>
      <c r="B82" s="583"/>
      <c r="C82" s="584"/>
      <c r="D82" s="587"/>
      <c r="E82" s="588"/>
      <c r="F82" s="665"/>
      <c r="G82" s="666"/>
      <c r="H82" s="665"/>
      <c r="I82" s="666"/>
      <c r="J82" s="587"/>
      <c r="K82" s="770"/>
      <c r="L82" s="588"/>
      <c r="M82" s="49"/>
    </row>
    <row r="83" spans="1:15" s="22" customFormat="1" ht="16.5" customHeight="1">
      <c r="A83" s="50"/>
      <c r="B83" s="585"/>
      <c r="C83" s="586"/>
      <c r="D83" s="589"/>
      <c r="E83" s="590"/>
      <c r="F83" s="667"/>
      <c r="G83" s="668"/>
      <c r="H83" s="667"/>
      <c r="I83" s="668"/>
      <c r="J83" s="589"/>
      <c r="K83" s="771"/>
      <c r="L83" s="590"/>
      <c r="M83" s="49"/>
    </row>
    <row r="84" spans="1:15" s="22" customFormat="1" ht="16.5" customHeight="1">
      <c r="A84" s="35"/>
      <c r="B84" s="27"/>
      <c r="C84" s="27"/>
      <c r="D84" s="27"/>
      <c r="E84" s="35"/>
      <c r="F84" s="58"/>
      <c r="G84" s="58"/>
      <c r="H84" s="58"/>
      <c r="I84" s="58"/>
      <c r="J84" s="68"/>
      <c r="K84" s="68"/>
      <c r="L84" s="68"/>
      <c r="M84" s="3"/>
    </row>
    <row r="85" spans="1:15" s="22" customFormat="1" ht="16.5" customHeight="1">
      <c r="A85" s="35" t="s">
        <v>53</v>
      </c>
      <c r="B85" s="27"/>
      <c r="C85" s="27"/>
      <c r="D85" s="35" t="s">
        <v>54</v>
      </c>
      <c r="F85" s="58"/>
      <c r="H85" s="35" t="s">
        <v>250</v>
      </c>
      <c r="I85" s="58"/>
      <c r="L85" s="68" t="s">
        <v>266</v>
      </c>
      <c r="M85" s="3"/>
    </row>
    <row r="86" spans="1:15" s="22" customFormat="1" ht="16.5" customHeight="1">
      <c r="A86" s="29"/>
      <c r="B86" s="29"/>
      <c r="C86" s="29"/>
      <c r="D86" s="29"/>
      <c r="E86" s="29"/>
      <c r="F86" s="29"/>
      <c r="H86" s="29"/>
      <c r="I86" s="29"/>
      <c r="J86" s="3"/>
      <c r="K86" s="3"/>
      <c r="L86" s="3"/>
      <c r="M86" s="3"/>
    </row>
    <row r="87" spans="1:15" s="22" customFormat="1" ht="16.5" customHeight="1">
      <c r="A87" s="673" t="s">
        <v>371</v>
      </c>
      <c r="B87" s="673"/>
      <c r="C87" s="318"/>
      <c r="D87" s="674" t="s">
        <v>296</v>
      </c>
      <c r="E87" s="674"/>
      <c r="F87" s="674"/>
      <c r="H87" s="675" t="s">
        <v>247</v>
      </c>
      <c r="I87" s="675"/>
      <c r="J87" s="675"/>
      <c r="K87" s="416"/>
      <c r="L87" s="768"/>
      <c r="M87" s="768"/>
      <c r="O87" s="218"/>
    </row>
    <row r="88" spans="1:15" s="3" customFormat="1" ht="16.5" customHeight="1">
      <c r="A88" s="663" t="s">
        <v>59</v>
      </c>
      <c r="B88" s="663"/>
      <c r="C88" s="319"/>
      <c r="D88" s="664" t="s">
        <v>60</v>
      </c>
      <c r="E88" s="664"/>
      <c r="F88" s="664"/>
      <c r="H88" s="663" t="s">
        <v>252</v>
      </c>
      <c r="I88" s="663"/>
      <c r="J88" s="663"/>
      <c r="K88" s="416"/>
      <c r="L88" s="320" t="s">
        <v>253</v>
      </c>
      <c r="M88" s="320"/>
    </row>
    <row r="89" spans="1:15" s="3" customFormat="1" ht="16.5" customHeight="1">
      <c r="A89" s="416"/>
      <c r="B89" s="416"/>
      <c r="C89" s="319"/>
      <c r="D89" s="417"/>
      <c r="E89" s="417"/>
      <c r="F89" s="417"/>
      <c r="H89" s="416"/>
      <c r="I89" s="416"/>
      <c r="J89" s="416"/>
      <c r="K89" s="416"/>
      <c r="L89" s="320"/>
      <c r="M89" s="320"/>
    </row>
    <row r="90" spans="1:15" s="3" customFormat="1" ht="16.5" customHeight="1">
      <c r="A90" s="37"/>
      <c r="B90" s="27"/>
      <c r="C90" s="27"/>
      <c r="D90" s="27"/>
      <c r="E90" s="27"/>
      <c r="F90" s="29"/>
      <c r="G90" s="29"/>
      <c r="H90" s="29"/>
      <c r="I90" s="29"/>
      <c r="J90" s="29"/>
      <c r="K90" s="29"/>
    </row>
    <row r="91" spans="1:15" s="3" customFormat="1" ht="16.5" customHeight="1">
      <c r="A91" s="37"/>
      <c r="B91" s="27"/>
      <c r="C91" s="27"/>
      <c r="D91" s="27"/>
      <c r="E91" s="27"/>
      <c r="F91" s="29"/>
      <c r="G91" s="29"/>
      <c r="H91" s="29"/>
      <c r="I91" s="29"/>
      <c r="J91" s="29"/>
      <c r="K91" s="29"/>
    </row>
    <row r="92" spans="1:15" s="3" customFormat="1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5" s="3" customFormat="1" ht="16.5" customHeight="1">
      <c r="A93" s="40"/>
      <c r="B93" s="40"/>
      <c r="C93" s="40"/>
      <c r="D93" s="40"/>
      <c r="E93" s="40"/>
      <c r="F93" s="1"/>
      <c r="G93" s="1"/>
      <c r="H93" s="1"/>
      <c r="I93" s="1"/>
      <c r="J93" s="1"/>
      <c r="K93" s="1"/>
      <c r="L93" s="1"/>
      <c r="M93" s="1"/>
    </row>
    <row r="94" spans="1:15" s="3" customFormat="1" ht="16.5" customHeight="1">
      <c r="A94" s="21" t="s">
        <v>0</v>
      </c>
      <c r="B94" s="554"/>
      <c r="C94" s="554"/>
      <c r="D94" s="554"/>
      <c r="E94" s="554"/>
      <c r="F94" s="554"/>
      <c r="G94" s="554"/>
      <c r="H94" s="554"/>
      <c r="I94" s="16"/>
      <c r="J94" s="22"/>
      <c r="K94" s="22"/>
      <c r="L94" s="555"/>
      <c r="M94" s="555"/>
    </row>
    <row r="95" spans="1:15" s="3" customFormat="1" ht="15" customHeight="1">
      <c r="A95" s="21" t="s">
        <v>2</v>
      </c>
      <c r="B95" s="556" t="s">
        <v>269</v>
      </c>
      <c r="C95" s="556"/>
      <c r="D95" s="556"/>
      <c r="E95" s="556"/>
      <c r="F95" s="556"/>
      <c r="G95" s="556"/>
      <c r="H95" s="556"/>
      <c r="I95" s="16"/>
      <c r="J95" s="22"/>
      <c r="K95" s="22"/>
      <c r="L95" s="555"/>
      <c r="M95" s="555"/>
    </row>
    <row r="96" spans="1:15" s="3" customFormat="1" ht="15" customHeight="1">
      <c r="A96" s="69"/>
      <c r="B96" s="554" t="s">
        <v>270</v>
      </c>
      <c r="C96" s="554"/>
      <c r="D96" s="554"/>
      <c r="E96" s="554"/>
      <c r="F96" s="554"/>
      <c r="G96" s="554"/>
      <c r="H96" s="554"/>
      <c r="I96" s="21" t="s">
        <v>5</v>
      </c>
      <c r="J96" s="22"/>
      <c r="K96" s="22"/>
      <c r="L96" s="557" t="s">
        <v>271</v>
      </c>
      <c r="M96" s="557"/>
    </row>
    <row r="97" spans="1:13" s="3" customFormat="1" ht="15" customHeight="1">
      <c r="A97" s="22" t="s">
        <v>10</v>
      </c>
      <c r="B97" s="556" t="s">
        <v>272</v>
      </c>
      <c r="C97" s="556"/>
      <c r="D97" s="556"/>
      <c r="E97" s="556"/>
      <c r="F97" s="556"/>
      <c r="G97" s="556"/>
      <c r="H97" s="556"/>
      <c r="I97" s="21" t="s">
        <v>8</v>
      </c>
      <c r="J97" s="21"/>
      <c r="K97" s="21"/>
      <c r="L97" s="669" t="s">
        <v>273</v>
      </c>
      <c r="M97" s="669"/>
    </row>
    <row r="98" spans="1:13" s="3" customFormat="1" ht="15" customHeight="1">
      <c r="A98" s="22"/>
      <c r="B98" s="16"/>
      <c r="C98" s="16"/>
      <c r="D98" s="16"/>
      <c r="E98" s="16"/>
      <c r="F98" s="16"/>
      <c r="G98" s="16"/>
      <c r="H98" s="16"/>
      <c r="I98" s="16"/>
      <c r="J98" s="59"/>
      <c r="K98" s="59"/>
      <c r="L98" s="404"/>
      <c r="M98" s="404"/>
    </row>
    <row r="99" spans="1:13" s="3" customFormat="1" ht="15" customHeight="1">
      <c r="A99" s="24" t="s">
        <v>12</v>
      </c>
      <c r="L99" s="555"/>
      <c r="M99" s="555"/>
    </row>
    <row r="100" spans="1:13" s="3" customFormat="1" ht="17.399999999999999">
      <c r="A100" s="552" t="s">
        <v>13</v>
      </c>
      <c r="B100" s="552" t="s">
        <v>14</v>
      </c>
      <c r="C100" s="552"/>
      <c r="D100" s="552"/>
      <c r="E100" s="552"/>
      <c r="F100" s="552"/>
      <c r="G100" s="552" t="s">
        <v>15</v>
      </c>
      <c r="H100" s="552"/>
      <c r="I100" s="552"/>
      <c r="J100" s="553" t="s">
        <v>16</v>
      </c>
      <c r="K100" s="553"/>
      <c r="L100" s="553"/>
      <c r="M100" s="552" t="s">
        <v>17</v>
      </c>
    </row>
    <row r="101" spans="1:13" s="3" customFormat="1" ht="21.9" customHeight="1">
      <c r="A101" s="552"/>
      <c r="B101" s="552"/>
      <c r="C101" s="552"/>
      <c r="D101" s="552"/>
      <c r="E101" s="552"/>
      <c r="F101" s="552"/>
      <c r="G101" s="552"/>
      <c r="H101" s="552"/>
      <c r="I101" s="552"/>
      <c r="J101" s="403" t="s">
        <v>18</v>
      </c>
      <c r="K101" s="403"/>
      <c r="L101" s="20" t="s">
        <v>19</v>
      </c>
      <c r="M101" s="552"/>
    </row>
    <row r="102" spans="1:13" s="3" customFormat="1" ht="21.9" customHeight="1">
      <c r="A102" s="405"/>
      <c r="B102" s="558"/>
      <c r="C102" s="558"/>
      <c r="D102" s="558"/>
      <c r="E102" s="558"/>
      <c r="F102" s="558"/>
      <c r="G102" s="559"/>
      <c r="H102" s="559"/>
      <c r="I102" s="559"/>
      <c r="J102" s="216"/>
      <c r="K102" s="216"/>
      <c r="L102" s="53"/>
      <c r="M102" s="413"/>
    </row>
    <row r="103" spans="1:13" s="3" customFormat="1" ht="21.9" customHeight="1">
      <c r="A103" s="215"/>
      <c r="B103" s="558"/>
      <c r="C103" s="558"/>
      <c r="D103" s="558"/>
      <c r="E103" s="558"/>
      <c r="F103" s="558"/>
      <c r="G103" s="559"/>
      <c r="H103" s="559"/>
      <c r="I103" s="559"/>
      <c r="J103" s="216"/>
      <c r="K103" s="216"/>
      <c r="L103" s="53"/>
      <c r="M103" s="413"/>
    </row>
    <row r="104" spans="1:13" s="3" customFormat="1" ht="21.9" customHeight="1">
      <c r="A104" s="215"/>
      <c r="B104" s="558"/>
      <c r="C104" s="558"/>
      <c r="D104" s="558"/>
      <c r="E104" s="558"/>
      <c r="F104" s="558"/>
      <c r="G104" s="559"/>
      <c r="H104" s="559"/>
      <c r="I104" s="559"/>
      <c r="J104" s="216"/>
      <c r="K104" s="216"/>
      <c r="L104" s="53"/>
      <c r="M104" s="413"/>
    </row>
    <row r="105" spans="1:13" s="3" customFormat="1" ht="21.9" customHeight="1">
      <c r="A105" s="215"/>
      <c r="B105" s="558"/>
      <c r="C105" s="558"/>
      <c r="D105" s="558"/>
      <c r="E105" s="558"/>
      <c r="F105" s="558"/>
      <c r="G105" s="559"/>
      <c r="H105" s="559"/>
      <c r="I105" s="559"/>
      <c r="J105" s="216"/>
      <c r="K105" s="216"/>
      <c r="L105" s="53"/>
      <c r="M105" s="413"/>
    </row>
    <row r="106" spans="1:13" s="3" customFormat="1" ht="21.9" customHeight="1">
      <c r="A106" s="215"/>
      <c r="B106" s="558"/>
      <c r="C106" s="558"/>
      <c r="D106" s="558"/>
      <c r="E106" s="558"/>
      <c r="F106" s="558"/>
      <c r="G106" s="559"/>
      <c r="H106" s="559"/>
      <c r="I106" s="559"/>
      <c r="J106" s="53"/>
      <c r="K106" s="53"/>
      <c r="L106" s="53"/>
      <c r="M106" s="413"/>
    </row>
    <row r="107" spans="1:13" s="3" customFormat="1" ht="21.9" customHeight="1">
      <c r="A107" s="54"/>
      <c r="B107" s="558"/>
      <c r="C107" s="558"/>
      <c r="D107" s="558"/>
      <c r="E107" s="558"/>
      <c r="F107" s="558"/>
      <c r="G107" s="559"/>
      <c r="H107" s="559"/>
      <c r="I107" s="559"/>
      <c r="J107" s="53"/>
      <c r="K107" s="53"/>
      <c r="L107" s="53"/>
      <c r="M107" s="413"/>
    </row>
    <row r="108" spans="1:13" s="3" customFormat="1" ht="21.9" customHeight="1">
      <c r="A108" s="54"/>
      <c r="B108" s="562"/>
      <c r="C108" s="562"/>
      <c r="D108" s="562"/>
      <c r="E108" s="562"/>
      <c r="F108" s="562"/>
      <c r="G108" s="559"/>
      <c r="H108" s="559"/>
      <c r="I108" s="559"/>
      <c r="J108" s="53"/>
      <c r="K108" s="53"/>
      <c r="L108" s="53"/>
      <c r="M108" s="413"/>
    </row>
    <row r="109" spans="1:13" s="3" customFormat="1" ht="21.9" customHeight="1">
      <c r="A109" s="54"/>
      <c r="B109" s="562"/>
      <c r="C109" s="562"/>
      <c r="D109" s="562"/>
      <c r="E109" s="562"/>
      <c r="F109" s="562"/>
      <c r="G109" s="559"/>
      <c r="H109" s="559"/>
      <c r="I109" s="559"/>
      <c r="J109" s="53"/>
      <c r="K109" s="53"/>
      <c r="L109" s="53"/>
      <c r="M109" s="413"/>
    </row>
    <row r="110" spans="1:13" s="3" customFormat="1" ht="21.9" customHeight="1">
      <c r="A110" s="61"/>
      <c r="B110" s="562"/>
      <c r="C110" s="562"/>
      <c r="D110" s="562"/>
      <c r="E110" s="562"/>
      <c r="F110" s="562"/>
      <c r="G110" s="559"/>
      <c r="H110" s="559"/>
      <c r="I110" s="559"/>
      <c r="J110" s="53"/>
      <c r="K110" s="53"/>
      <c r="L110" s="53"/>
      <c r="M110" s="413"/>
    </row>
    <row r="111" spans="1:13" s="3" customFormat="1" ht="21.9" customHeight="1">
      <c r="A111" s="61"/>
      <c r="B111" s="562"/>
      <c r="C111" s="562"/>
      <c r="D111" s="562"/>
      <c r="E111" s="562"/>
      <c r="F111" s="562"/>
      <c r="G111" s="559"/>
      <c r="H111" s="559"/>
      <c r="I111" s="559"/>
      <c r="J111" s="53"/>
      <c r="K111" s="53"/>
      <c r="L111" s="53"/>
      <c r="M111" s="413"/>
    </row>
    <row r="112" spans="1:13" s="3" customFormat="1" ht="21.9" customHeight="1">
      <c r="A112" s="61"/>
      <c r="B112" s="562"/>
      <c r="C112" s="562"/>
      <c r="D112" s="562"/>
      <c r="E112" s="562"/>
      <c r="F112" s="562"/>
      <c r="G112" s="559"/>
      <c r="H112" s="559"/>
      <c r="I112" s="559"/>
      <c r="J112" s="53"/>
      <c r="K112" s="53"/>
      <c r="L112" s="53"/>
      <c r="M112" s="413"/>
    </row>
    <row r="113" spans="1:13" s="3" customFormat="1" ht="21.9" customHeight="1">
      <c r="A113" s="61"/>
      <c r="B113" s="562"/>
      <c r="C113" s="562"/>
      <c r="D113" s="562"/>
      <c r="E113" s="562"/>
      <c r="F113" s="562"/>
      <c r="G113" s="559"/>
      <c r="H113" s="559"/>
      <c r="I113" s="559"/>
      <c r="J113" s="53"/>
      <c r="K113" s="53"/>
      <c r="L113" s="53"/>
      <c r="M113" s="413"/>
    </row>
    <row r="114" spans="1:13" s="3" customFormat="1" ht="21.9" customHeight="1">
      <c r="A114" s="61"/>
      <c r="B114" s="562"/>
      <c r="C114" s="562"/>
      <c r="D114" s="562"/>
      <c r="E114" s="562"/>
      <c r="F114" s="562"/>
      <c r="G114" s="559"/>
      <c r="H114" s="559"/>
      <c r="I114" s="559"/>
      <c r="J114" s="53"/>
      <c r="K114" s="53"/>
      <c r="L114" s="53"/>
      <c r="M114" s="413"/>
    </row>
    <row r="115" spans="1:13" s="3" customFormat="1" ht="21.9" customHeight="1">
      <c r="A115" s="61"/>
      <c r="B115" s="562"/>
      <c r="C115" s="562"/>
      <c r="D115" s="562"/>
      <c r="E115" s="562"/>
      <c r="F115" s="562"/>
      <c r="G115" s="559"/>
      <c r="H115" s="559"/>
      <c r="I115" s="559"/>
      <c r="J115" s="53"/>
      <c r="K115" s="53"/>
      <c r="L115" s="53"/>
      <c r="M115" s="413"/>
    </row>
    <row r="116" spans="1:13" s="3" customFormat="1" ht="21.9" customHeight="1">
      <c r="A116" s="61"/>
      <c r="B116" s="562"/>
      <c r="C116" s="562"/>
      <c r="D116" s="562"/>
      <c r="E116" s="562"/>
      <c r="F116" s="562"/>
      <c r="G116" s="559"/>
      <c r="H116" s="559"/>
      <c r="I116" s="559"/>
      <c r="J116" s="53"/>
      <c r="K116" s="53"/>
      <c r="L116" s="53"/>
      <c r="M116" s="413"/>
    </row>
    <row r="117" spans="1:13" s="3" customFormat="1" ht="21.9" customHeight="1">
      <c r="A117" s="61"/>
      <c r="B117" s="562"/>
      <c r="C117" s="562"/>
      <c r="D117" s="562"/>
      <c r="E117" s="562"/>
      <c r="F117" s="562"/>
      <c r="G117" s="559"/>
      <c r="H117" s="559"/>
      <c r="I117" s="559"/>
      <c r="J117" s="53"/>
      <c r="K117" s="53"/>
      <c r="L117" s="53"/>
      <c r="M117" s="413"/>
    </row>
    <row r="118" spans="1:13" s="3" customFormat="1" ht="21.9" customHeight="1">
      <c r="A118" s="61"/>
      <c r="B118" s="562"/>
      <c r="C118" s="562"/>
      <c r="D118" s="562"/>
      <c r="E118" s="562"/>
      <c r="F118" s="562"/>
      <c r="G118" s="559"/>
      <c r="H118" s="559"/>
      <c r="I118" s="559"/>
      <c r="J118" s="53"/>
      <c r="K118" s="53"/>
      <c r="L118" s="53"/>
      <c r="M118" s="413"/>
    </row>
    <row r="119" spans="1:13" s="3" customFormat="1" ht="21.9" customHeight="1">
      <c r="A119" s="61"/>
      <c r="B119" s="562"/>
      <c r="C119" s="562"/>
      <c r="D119" s="562"/>
      <c r="E119" s="562"/>
      <c r="F119" s="562"/>
      <c r="G119" s="559"/>
      <c r="H119" s="559"/>
      <c r="I119" s="559"/>
      <c r="J119" s="53"/>
      <c r="K119" s="53"/>
      <c r="L119" s="53"/>
      <c r="M119" s="413"/>
    </row>
    <row r="120" spans="1:13" s="3" customFormat="1" ht="21.9" customHeight="1">
      <c r="A120" s="61"/>
      <c r="B120" s="562"/>
      <c r="C120" s="562"/>
      <c r="D120" s="562"/>
      <c r="E120" s="562"/>
      <c r="F120" s="562"/>
      <c r="G120" s="559"/>
      <c r="H120" s="559"/>
      <c r="I120" s="559"/>
      <c r="J120" s="53"/>
      <c r="K120" s="53"/>
      <c r="L120" s="53"/>
      <c r="M120" s="413"/>
    </row>
    <row r="121" spans="1:13" s="3" customFormat="1" ht="21.9" customHeight="1">
      <c r="A121" s="61"/>
      <c r="B121" s="562"/>
      <c r="C121" s="562"/>
      <c r="D121" s="562"/>
      <c r="E121" s="562"/>
      <c r="F121" s="562"/>
      <c r="G121" s="559"/>
      <c r="H121" s="559"/>
      <c r="I121" s="559"/>
      <c r="J121" s="53"/>
      <c r="K121" s="53"/>
      <c r="L121" s="53"/>
      <c r="M121" s="413"/>
    </row>
    <row r="122" spans="1:13" s="3" customFormat="1" ht="21.9" customHeight="1">
      <c r="A122" s="407"/>
      <c r="B122" s="566"/>
      <c r="C122" s="566"/>
      <c r="D122" s="566"/>
      <c r="E122" s="566"/>
      <c r="F122" s="566"/>
      <c r="G122" s="407"/>
      <c r="H122" s="41"/>
      <c r="I122" s="41"/>
      <c r="J122" s="42"/>
      <c r="K122" s="42"/>
      <c r="L122" s="43"/>
    </row>
    <row r="123" spans="1:13" s="3" customFormat="1" ht="21.9" customHeight="1">
      <c r="A123" s="26" t="s">
        <v>23</v>
      </c>
      <c r="B123" s="409"/>
      <c r="C123" s="409"/>
      <c r="D123" s="409"/>
      <c r="E123" s="409"/>
      <c r="F123" s="17"/>
      <c r="G123" s="17"/>
      <c r="H123" s="17"/>
      <c r="I123" s="17"/>
      <c r="J123" s="17"/>
      <c r="K123" s="17"/>
    </row>
    <row r="124" spans="1:13" s="3" customFormat="1" ht="21.9" customHeight="1">
      <c r="A124" s="19" t="s">
        <v>13</v>
      </c>
      <c r="B124" s="567" t="s">
        <v>14</v>
      </c>
      <c r="C124" s="567"/>
      <c r="D124" s="567"/>
      <c r="E124" s="567"/>
      <c r="F124" s="567"/>
      <c r="G124" s="568" t="s">
        <v>24</v>
      </c>
      <c r="H124" s="568"/>
      <c r="I124" s="408" t="s">
        <v>17</v>
      </c>
      <c r="J124" s="403" t="s">
        <v>25</v>
      </c>
      <c r="K124" s="403"/>
      <c r="L124" s="403" t="s">
        <v>26</v>
      </c>
      <c r="M124" s="403" t="s">
        <v>27</v>
      </c>
    </row>
    <row r="125" spans="1:13" s="3" customFormat="1" ht="21.9" customHeight="1">
      <c r="A125" s="317"/>
      <c r="B125" s="563"/>
      <c r="C125" s="563"/>
      <c r="D125" s="563"/>
      <c r="E125" s="563"/>
      <c r="F125" s="563"/>
      <c r="G125" s="564"/>
      <c r="H125" s="564"/>
      <c r="I125" s="406"/>
      <c r="J125" s="406"/>
      <c r="K125" s="406"/>
      <c r="L125" s="413"/>
      <c r="M125" s="413"/>
    </row>
    <row r="126" spans="1:13" s="3" customFormat="1" ht="21.9" customHeight="1">
      <c r="A126" s="405"/>
      <c r="B126" s="563"/>
      <c r="C126" s="563"/>
      <c r="D126" s="563"/>
      <c r="E126" s="563"/>
      <c r="F126" s="563"/>
      <c r="G126" s="564"/>
      <c r="H126" s="564"/>
      <c r="I126" s="406"/>
      <c r="J126" s="406"/>
      <c r="K126" s="406"/>
      <c r="L126" s="413"/>
      <c r="M126" s="413"/>
    </row>
    <row r="127" spans="1:13" s="3" customFormat="1" ht="21.9" customHeight="1">
      <c r="A127" s="405"/>
      <c r="B127" s="563"/>
      <c r="C127" s="563"/>
      <c r="D127" s="563"/>
      <c r="E127" s="563"/>
      <c r="F127" s="563"/>
      <c r="G127" s="564"/>
      <c r="H127" s="564"/>
      <c r="I127" s="406"/>
      <c r="J127" s="406"/>
      <c r="K127" s="406"/>
      <c r="L127" s="413"/>
      <c r="M127" s="413"/>
    </row>
    <row r="128" spans="1:13" s="3" customFormat="1" ht="21.9" customHeight="1">
      <c r="A128" s="405"/>
      <c r="B128" s="563"/>
      <c r="C128" s="563"/>
      <c r="D128" s="563"/>
      <c r="E128" s="563"/>
      <c r="F128" s="563"/>
      <c r="G128" s="564"/>
      <c r="H128" s="564"/>
      <c r="I128" s="406"/>
      <c r="J128" s="406"/>
      <c r="K128" s="406"/>
      <c r="L128" s="413"/>
      <c r="M128" s="413"/>
    </row>
    <row r="129" spans="1:13" s="3" customFormat="1" ht="21.9" customHeight="1">
      <c r="A129" s="32"/>
      <c r="B129" s="565"/>
      <c r="C129" s="565"/>
      <c r="D129" s="565"/>
      <c r="E129" s="565"/>
      <c r="F129" s="565"/>
      <c r="G129" s="565"/>
      <c r="H129" s="565"/>
      <c r="I129" s="565"/>
      <c r="J129" s="17"/>
      <c r="K129" s="17"/>
    </row>
    <row r="130" spans="1:13" s="3" customFormat="1" ht="21.9" customHeight="1">
      <c r="A130" s="34" t="s">
        <v>28</v>
      </c>
      <c r="B130" s="34"/>
      <c r="C130" s="34"/>
      <c r="D130" s="34"/>
      <c r="E130" s="34"/>
      <c r="F130" s="17"/>
      <c r="G130" s="38"/>
      <c r="H130" s="36" t="s">
        <v>29</v>
      </c>
      <c r="I130" s="34"/>
      <c r="J130" s="34"/>
      <c r="K130" s="34"/>
      <c r="L130" s="34"/>
      <c r="M130" s="34"/>
    </row>
    <row r="131" spans="1:13" s="3" customFormat="1" ht="21.9" customHeight="1">
      <c r="A131" s="569"/>
      <c r="B131" s="569"/>
      <c r="C131" s="569"/>
      <c r="D131" s="569"/>
      <c r="E131" s="569"/>
      <c r="F131" s="569"/>
      <c r="G131" s="410"/>
      <c r="H131" s="569"/>
      <c r="I131" s="569"/>
      <c r="J131" s="569"/>
      <c r="K131" s="569"/>
      <c r="L131" s="569"/>
      <c r="M131" s="569"/>
    </row>
    <row r="132" spans="1:13" s="3" customFormat="1" ht="21.9" customHeight="1">
      <c r="A132" s="571"/>
      <c r="B132" s="571"/>
      <c r="C132" s="571"/>
      <c r="D132" s="571"/>
      <c r="E132" s="571"/>
      <c r="F132" s="571"/>
      <c r="G132" s="410"/>
      <c r="H132" s="569"/>
      <c r="I132" s="569"/>
      <c r="J132" s="569"/>
      <c r="K132" s="569"/>
      <c r="L132" s="569"/>
      <c r="M132" s="569"/>
    </row>
    <row r="133" spans="1:13" s="3" customFormat="1" ht="21.9" customHeight="1">
      <c r="A133" s="571"/>
      <c r="B133" s="571"/>
      <c r="C133" s="571"/>
      <c r="D133" s="571"/>
      <c r="E133" s="571"/>
      <c r="F133" s="571"/>
      <c r="G133" s="57"/>
      <c r="H133" s="569"/>
      <c r="I133" s="569"/>
      <c r="J133" s="569"/>
      <c r="K133" s="569"/>
      <c r="L133" s="569"/>
      <c r="M133" s="569"/>
    </row>
    <row r="134" spans="1:13" s="3" customFormat="1" ht="21.9" customHeight="1">
      <c r="A134" s="569"/>
      <c r="B134" s="569"/>
      <c r="C134" s="569"/>
      <c r="D134" s="569"/>
      <c r="E134" s="569"/>
      <c r="F134" s="569"/>
      <c r="G134" s="57"/>
      <c r="H134" s="569"/>
      <c r="I134" s="569"/>
      <c r="J134" s="569"/>
      <c r="K134" s="569"/>
      <c r="L134" s="569"/>
      <c r="M134" s="569"/>
    </row>
    <row r="135" spans="1:13" s="3" customFormat="1" ht="21.9" customHeight="1">
      <c r="A135" s="570"/>
      <c r="B135" s="570"/>
      <c r="C135" s="570"/>
      <c r="D135" s="570"/>
      <c r="E135" s="570"/>
      <c r="F135" s="570"/>
      <c r="G135" s="39"/>
      <c r="H135" s="569"/>
      <c r="I135" s="569"/>
      <c r="J135" s="569"/>
      <c r="K135" s="569"/>
      <c r="L135" s="569"/>
      <c r="M135" s="569"/>
    </row>
    <row r="136" spans="1:13" s="3" customFormat="1" ht="21.9" customHeight="1">
      <c r="A136" s="571"/>
      <c r="B136" s="571"/>
      <c r="C136" s="571"/>
      <c r="D136" s="571"/>
      <c r="E136" s="571"/>
      <c r="F136" s="571"/>
      <c r="G136" s="410"/>
      <c r="H136" s="569"/>
      <c r="I136" s="569"/>
      <c r="J136" s="569"/>
      <c r="K136" s="569"/>
      <c r="L136" s="569"/>
      <c r="M136" s="569"/>
    </row>
    <row r="137" spans="1:13" s="3" customFormat="1" ht="21.9" customHeight="1">
      <c r="A137" s="571"/>
      <c r="B137" s="571"/>
      <c r="C137" s="571"/>
      <c r="D137" s="571"/>
      <c r="E137" s="571"/>
      <c r="F137" s="571"/>
      <c r="G137" s="57"/>
      <c r="H137" s="569"/>
      <c r="I137" s="569"/>
      <c r="J137" s="569"/>
      <c r="K137" s="569"/>
      <c r="L137" s="569"/>
      <c r="M137" s="569"/>
    </row>
    <row r="138" spans="1:13" s="3" customFormat="1" ht="21.9" customHeight="1">
      <c r="A138" s="571"/>
      <c r="B138" s="571"/>
      <c r="C138" s="571"/>
      <c r="D138" s="571"/>
      <c r="E138" s="571"/>
      <c r="F138" s="571"/>
      <c r="G138" s="410"/>
      <c r="H138" s="569"/>
      <c r="I138" s="569"/>
      <c r="J138" s="569"/>
      <c r="K138" s="569"/>
      <c r="L138" s="569"/>
      <c r="M138" s="569"/>
    </row>
    <row r="139" spans="1:13" s="3" customFormat="1" ht="21.9" customHeight="1">
      <c r="A139" s="571"/>
      <c r="B139" s="571"/>
      <c r="C139" s="571"/>
      <c r="D139" s="571"/>
      <c r="E139" s="571"/>
      <c r="F139" s="571"/>
      <c r="G139" s="410"/>
      <c r="H139" s="569"/>
      <c r="I139" s="569"/>
      <c r="J139" s="569"/>
      <c r="K139" s="569"/>
      <c r="L139" s="569"/>
      <c r="M139" s="569"/>
    </row>
    <row r="140" spans="1:13" s="3" customFormat="1" ht="21.9" customHeight="1">
      <c r="A140" s="571"/>
      <c r="B140" s="571"/>
      <c r="C140" s="571"/>
      <c r="D140" s="571"/>
      <c r="E140" s="571"/>
      <c r="F140" s="571"/>
      <c r="G140" s="57"/>
      <c r="H140" s="569"/>
      <c r="I140" s="569"/>
      <c r="J140" s="569"/>
      <c r="K140" s="569"/>
      <c r="L140" s="569"/>
      <c r="M140" s="569"/>
    </row>
    <row r="141" spans="1:13" s="3" customFormat="1" ht="21.9" customHeight="1">
      <c r="A141" s="572"/>
      <c r="B141" s="572"/>
      <c r="C141" s="572"/>
      <c r="D141" s="572"/>
      <c r="E141" s="572"/>
      <c r="F141" s="572"/>
      <c r="G141" s="57"/>
      <c r="H141" s="572"/>
      <c r="I141" s="572"/>
      <c r="J141" s="572"/>
      <c r="K141" s="572"/>
      <c r="L141" s="572"/>
      <c r="M141" s="572"/>
    </row>
    <row r="142" spans="1:13" s="3" customFormat="1" ht="21.9" customHeight="1">
      <c r="A142" s="70" t="s">
        <v>34</v>
      </c>
      <c r="B142" s="5"/>
      <c r="C142" s="4"/>
      <c r="H142" s="573" t="s">
        <v>35</v>
      </c>
      <c r="I142" s="573"/>
      <c r="J142" s="573"/>
      <c r="K142" s="411"/>
      <c r="L142" s="573" t="s">
        <v>36</v>
      </c>
      <c r="M142" s="573"/>
    </row>
    <row r="143" spans="1:13" s="3" customFormat="1" ht="21.9" customHeight="1">
      <c r="A143" s="576"/>
      <c r="B143" s="576"/>
      <c r="C143" s="576"/>
      <c r="D143" s="576"/>
      <c r="E143" s="576"/>
      <c r="F143" s="576"/>
      <c r="G143" s="71"/>
      <c r="H143" s="577" t="s">
        <v>14</v>
      </c>
      <c r="I143" s="577"/>
      <c r="J143" s="414" t="s">
        <v>24</v>
      </c>
      <c r="K143" s="414"/>
      <c r="L143" s="414" t="s">
        <v>14</v>
      </c>
      <c r="M143" s="414" t="s">
        <v>24</v>
      </c>
    </row>
    <row r="144" spans="1:13" s="3" customFormat="1" ht="21.9" customHeight="1">
      <c r="A144" s="574"/>
      <c r="B144" s="574"/>
      <c r="C144" s="574"/>
      <c r="D144" s="574"/>
      <c r="E144" s="574"/>
      <c r="F144" s="574"/>
      <c r="G144" s="72"/>
      <c r="H144" s="575"/>
      <c r="I144" s="575"/>
      <c r="J144" s="413"/>
      <c r="K144" s="413"/>
      <c r="L144" s="76"/>
      <c r="M144" s="413"/>
    </row>
    <row r="145" spans="1:13" s="3" customFormat="1" ht="21.9" customHeight="1">
      <c r="A145" s="574"/>
      <c r="B145" s="574"/>
      <c r="C145" s="574"/>
      <c r="D145" s="574"/>
      <c r="E145" s="574"/>
      <c r="F145" s="574"/>
      <c r="G145" s="72"/>
      <c r="H145" s="575"/>
      <c r="I145" s="575"/>
      <c r="J145" s="413"/>
      <c r="K145" s="413"/>
      <c r="L145" s="76"/>
      <c r="M145" s="413"/>
    </row>
    <row r="146" spans="1:13" s="3" customFormat="1" ht="21.9" customHeight="1">
      <c r="A146" s="574"/>
      <c r="B146" s="574"/>
      <c r="C146" s="574"/>
      <c r="D146" s="574"/>
      <c r="E146" s="574"/>
      <c r="F146" s="574"/>
      <c r="G146" s="72"/>
      <c r="H146" s="575"/>
      <c r="I146" s="575"/>
      <c r="J146" s="413"/>
      <c r="K146" s="413"/>
      <c r="L146" s="76"/>
      <c r="M146" s="413"/>
    </row>
    <row r="147" spans="1:13" s="3" customFormat="1" ht="21.9" customHeight="1">
      <c r="A147" s="574"/>
      <c r="B147" s="574"/>
      <c r="C147" s="574"/>
      <c r="D147" s="574"/>
      <c r="E147" s="574"/>
      <c r="F147" s="574"/>
      <c r="G147" s="72"/>
      <c r="H147" s="575"/>
      <c r="I147" s="575"/>
      <c r="J147" s="413"/>
      <c r="K147" s="413"/>
      <c r="L147" s="76"/>
      <c r="M147" s="413"/>
    </row>
    <row r="148" spans="1:13" s="3" customFormat="1" ht="21.9" customHeight="1">
      <c r="A148" s="574"/>
      <c r="B148" s="574"/>
      <c r="C148" s="574"/>
      <c r="D148" s="574"/>
      <c r="E148" s="574"/>
      <c r="F148" s="574"/>
      <c r="G148" s="72"/>
      <c r="H148" s="575"/>
      <c r="I148" s="575"/>
      <c r="J148" s="413"/>
      <c r="K148" s="413"/>
      <c r="L148" s="77"/>
      <c r="M148" s="413"/>
    </row>
    <row r="149" spans="1:13" s="3" customFormat="1" ht="21.9" customHeight="1">
      <c r="A149" s="574"/>
      <c r="B149" s="574"/>
      <c r="C149" s="574"/>
      <c r="D149" s="574"/>
      <c r="E149" s="574"/>
      <c r="F149" s="574"/>
      <c r="G149" s="72"/>
      <c r="H149" s="575"/>
      <c r="I149" s="575"/>
      <c r="J149" s="73"/>
      <c r="K149" s="72"/>
      <c r="M149" s="73"/>
    </row>
    <row r="150" spans="1:13" s="3" customFormat="1" ht="21.9" customHeight="1">
      <c r="A150" s="574"/>
      <c r="B150" s="574"/>
      <c r="C150" s="574"/>
      <c r="D150" s="574"/>
      <c r="E150" s="574"/>
      <c r="F150" s="574"/>
      <c r="G150" s="72"/>
      <c r="H150" s="575"/>
      <c r="I150" s="575"/>
      <c r="J150" s="73"/>
      <c r="K150" s="73"/>
      <c r="L150" s="77"/>
      <c r="M150" s="73"/>
    </row>
    <row r="151" spans="1:13" s="3" customFormat="1" ht="21.9" customHeight="1">
      <c r="A151" s="574"/>
      <c r="B151" s="574"/>
      <c r="C151" s="574"/>
      <c r="D151" s="574"/>
      <c r="E151" s="574"/>
      <c r="F151" s="574"/>
      <c r="G151" s="72"/>
      <c r="H151" s="575"/>
      <c r="I151" s="575"/>
      <c r="J151" s="73"/>
      <c r="K151" s="73"/>
      <c r="L151" s="77"/>
      <c r="M151" s="73"/>
    </row>
    <row r="152" spans="1:13" s="3" customFormat="1" ht="21.9" customHeight="1">
      <c r="A152" s="574"/>
      <c r="B152" s="574"/>
      <c r="C152" s="574"/>
      <c r="D152" s="574"/>
      <c r="E152" s="574"/>
      <c r="F152" s="574"/>
      <c r="G152" s="72"/>
      <c r="H152" s="575"/>
      <c r="I152" s="575"/>
      <c r="J152" s="73"/>
      <c r="K152" s="73"/>
      <c r="L152" s="77"/>
      <c r="M152" s="73"/>
    </row>
    <row r="153" spans="1:13" s="3" customFormat="1" ht="21.9" customHeight="1">
      <c r="A153" s="574"/>
      <c r="B153" s="574"/>
      <c r="C153" s="574"/>
      <c r="D153" s="574"/>
      <c r="E153" s="574"/>
      <c r="F153" s="574"/>
      <c r="G153" s="72"/>
      <c r="H153" s="575"/>
      <c r="I153" s="575"/>
      <c r="J153" s="73"/>
      <c r="K153" s="73"/>
      <c r="L153" s="77"/>
      <c r="M153" s="73"/>
    </row>
    <row r="154" spans="1:13" s="3" customFormat="1" ht="21.9" customHeight="1">
      <c r="A154" s="45"/>
      <c r="B154" s="46"/>
      <c r="C154" s="46"/>
      <c r="D154" s="46"/>
      <c r="E154" s="44"/>
      <c r="F154" s="46"/>
      <c r="G154" s="46"/>
      <c r="H154" s="46"/>
      <c r="I154" s="46"/>
      <c r="J154" s="46"/>
      <c r="K154" s="46"/>
      <c r="L154" s="47"/>
      <c r="M154" s="46"/>
    </row>
    <row r="155" spans="1:13" s="3" customFormat="1" ht="21.9" customHeight="1">
      <c r="A155" s="45" t="s">
        <v>45</v>
      </c>
      <c r="B155" s="46"/>
      <c r="C155" s="46"/>
      <c r="D155" s="46"/>
      <c r="E155" s="44"/>
      <c r="F155" s="46"/>
      <c r="G155" s="46"/>
      <c r="H155" s="46"/>
      <c r="I155" s="46"/>
      <c r="J155" s="46"/>
      <c r="K155" s="46"/>
      <c r="L155" s="47"/>
      <c r="M155" s="46"/>
    </row>
    <row r="156" spans="1:13" s="3" customFormat="1" ht="21.9" customHeight="1">
      <c r="A156" s="45"/>
      <c r="B156" s="46"/>
      <c r="C156" s="46"/>
      <c r="D156" s="46"/>
      <c r="E156" s="44"/>
      <c r="F156" s="46"/>
      <c r="G156" s="46"/>
      <c r="H156" s="46"/>
      <c r="I156" s="48"/>
      <c r="J156" s="48"/>
      <c r="K156" s="48"/>
      <c r="L156" s="47"/>
      <c r="M156" s="46"/>
    </row>
    <row r="157" spans="1:13" s="3" customFormat="1" ht="21.9" customHeight="1">
      <c r="A157" s="46" t="s">
        <v>46</v>
      </c>
      <c r="B157" s="578" t="s">
        <v>47</v>
      </c>
      <c r="C157" s="579"/>
      <c r="D157" s="578" t="s">
        <v>48</v>
      </c>
      <c r="E157" s="579"/>
      <c r="F157" s="578" t="s">
        <v>49</v>
      </c>
      <c r="G157" s="579"/>
      <c r="H157" s="578" t="s">
        <v>50</v>
      </c>
      <c r="I157" s="579"/>
      <c r="J157" s="578" t="s">
        <v>51</v>
      </c>
      <c r="K157" s="769"/>
      <c r="L157" s="579"/>
      <c r="M157" s="49"/>
    </row>
    <row r="158" spans="1:13" s="3" customFormat="1" ht="21.9" customHeight="1">
      <c r="A158" s="50"/>
      <c r="B158" s="583"/>
      <c r="C158" s="584"/>
      <c r="D158" s="587"/>
      <c r="E158" s="588"/>
      <c r="F158" s="665"/>
      <c r="G158" s="666"/>
      <c r="H158" s="665"/>
      <c r="I158" s="666"/>
      <c r="J158" s="587"/>
      <c r="K158" s="770"/>
      <c r="L158" s="588"/>
      <c r="M158" s="49"/>
    </row>
    <row r="159" spans="1:13" s="3" customFormat="1" ht="21.9" customHeight="1">
      <c r="A159" s="50"/>
      <c r="B159" s="585"/>
      <c r="C159" s="586"/>
      <c r="D159" s="589"/>
      <c r="E159" s="590"/>
      <c r="F159" s="667"/>
      <c r="G159" s="668"/>
      <c r="H159" s="667"/>
      <c r="I159" s="668"/>
      <c r="J159" s="589"/>
      <c r="K159" s="771"/>
      <c r="L159" s="590"/>
      <c r="M159" s="49"/>
    </row>
    <row r="160" spans="1:13" s="3" customFormat="1" ht="21.9" customHeight="1">
      <c r="A160" s="35"/>
      <c r="B160" s="27"/>
      <c r="C160" s="27"/>
      <c r="D160" s="27"/>
      <c r="E160" s="35"/>
      <c r="F160" s="58"/>
      <c r="G160" s="58"/>
      <c r="H160" s="58"/>
      <c r="I160" s="58"/>
      <c r="J160" s="68"/>
      <c r="K160" s="68"/>
      <c r="L160" s="68"/>
    </row>
    <row r="161" spans="1:13" s="3" customFormat="1" ht="21.9" customHeight="1">
      <c r="A161" s="35" t="s">
        <v>53</v>
      </c>
      <c r="B161" s="27"/>
      <c r="C161" s="27"/>
      <c r="D161" s="35" t="s">
        <v>54</v>
      </c>
      <c r="E161" s="22"/>
      <c r="F161" s="58"/>
      <c r="G161" s="22"/>
      <c r="H161" s="35" t="s">
        <v>250</v>
      </c>
      <c r="I161" s="58"/>
      <c r="J161" s="22"/>
      <c r="K161" s="22"/>
      <c r="L161" s="68" t="s">
        <v>266</v>
      </c>
    </row>
    <row r="162" spans="1:13" s="3" customFormat="1" ht="21.9" customHeight="1">
      <c r="A162" s="29"/>
      <c r="B162" s="29"/>
      <c r="C162" s="29"/>
      <c r="D162" s="29"/>
      <c r="E162" s="29"/>
      <c r="F162" s="29"/>
      <c r="G162" s="22"/>
      <c r="H162" s="29"/>
      <c r="I162" s="29"/>
    </row>
    <row r="163" spans="1:13" s="3" customFormat="1" ht="21.9" customHeight="1">
      <c r="A163" s="580"/>
      <c r="B163" s="580"/>
      <c r="C163" s="318"/>
      <c r="D163" s="671" t="s">
        <v>267</v>
      </c>
      <c r="E163" s="671"/>
      <c r="F163" s="671"/>
      <c r="G163" s="22"/>
      <c r="H163" s="672" t="s">
        <v>247</v>
      </c>
      <c r="I163" s="672"/>
      <c r="J163" s="672"/>
      <c r="K163" s="415"/>
      <c r="L163" s="662" t="s">
        <v>268</v>
      </c>
      <c r="M163" s="662"/>
    </row>
    <row r="164" spans="1:13" s="3" customFormat="1" ht="21.9" customHeight="1">
      <c r="A164" s="663" t="s">
        <v>59</v>
      </c>
      <c r="B164" s="663"/>
      <c r="C164" s="319"/>
      <c r="D164" s="664" t="s">
        <v>60</v>
      </c>
      <c r="E164" s="664"/>
      <c r="F164" s="664"/>
      <c r="H164" s="663" t="s">
        <v>252</v>
      </c>
      <c r="I164" s="663"/>
      <c r="J164" s="663"/>
      <c r="K164" s="416"/>
      <c r="L164" s="320" t="s">
        <v>253</v>
      </c>
      <c r="M164" s="320"/>
    </row>
    <row r="165" spans="1:13" s="3" customFormat="1" ht="21.9" customHeight="1">
      <c r="A165" s="32"/>
      <c r="B165" s="32"/>
      <c r="C165" s="32"/>
      <c r="D165" s="32"/>
      <c r="E165" s="32"/>
      <c r="F165" s="31"/>
      <c r="G165" s="31"/>
      <c r="H165" s="31"/>
      <c r="I165" s="31"/>
      <c r="J165" s="31"/>
      <c r="K165" s="31"/>
    </row>
    <row r="166" spans="1:13" s="3" customFormat="1" ht="21.9" customHeight="1">
      <c r="A166" s="32"/>
      <c r="B166" s="32"/>
      <c r="C166" s="32"/>
      <c r="D166" s="32"/>
      <c r="E166" s="32"/>
      <c r="F166" s="31"/>
      <c r="G166" s="31"/>
      <c r="H166" s="31"/>
      <c r="I166" s="31"/>
      <c r="J166" s="31"/>
      <c r="K166" s="31"/>
    </row>
    <row r="167" spans="1:13" s="3" customFormat="1" ht="21.9" customHeight="1">
      <c r="A167" s="32"/>
      <c r="B167" s="32"/>
      <c r="C167" s="32"/>
      <c r="D167" s="32"/>
      <c r="E167" s="32"/>
      <c r="F167" s="33"/>
      <c r="G167" s="33"/>
      <c r="H167" s="33"/>
      <c r="I167" s="33"/>
      <c r="J167" s="33"/>
      <c r="K167" s="33"/>
    </row>
    <row r="168" spans="1:13" s="3" customFormat="1" ht="21.9" customHeight="1">
      <c r="A168" s="32"/>
      <c r="B168" s="32"/>
      <c r="C168" s="32"/>
      <c r="D168" s="32"/>
      <c r="E168" s="32"/>
      <c r="F168" s="33"/>
      <c r="G168" s="33"/>
      <c r="H168" s="33"/>
      <c r="I168" s="33"/>
      <c r="J168" s="33"/>
      <c r="K168" s="33"/>
    </row>
    <row r="169" spans="1:13" s="3" customFormat="1" ht="21.9" customHeight="1">
      <c r="A169" s="13"/>
      <c r="B169" s="13"/>
      <c r="C169" s="13"/>
      <c r="D169" s="13"/>
      <c r="E169" s="13"/>
      <c r="F169" s="14"/>
      <c r="G169" s="14"/>
      <c r="H169" s="14"/>
      <c r="I169" s="14"/>
      <c r="J169" s="14"/>
      <c r="K169" s="14"/>
      <c r="L169" s="9"/>
      <c r="M169" s="9"/>
    </row>
    <row r="170" spans="1:13" s="3" customFormat="1" ht="21.9" customHeight="1">
      <c r="A170" s="13"/>
      <c r="B170" s="13"/>
      <c r="C170" s="13"/>
      <c r="D170" s="13"/>
      <c r="E170" s="13"/>
      <c r="F170" s="14"/>
      <c r="G170" s="14"/>
      <c r="H170" s="14"/>
      <c r="I170" s="14"/>
      <c r="J170" s="14"/>
      <c r="K170" s="14"/>
      <c r="L170" s="9"/>
      <c r="M170" s="9"/>
    </row>
    <row r="171" spans="1:13" s="3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  <c r="K171" s="14"/>
      <c r="L171" s="9"/>
      <c r="M171" s="9"/>
    </row>
    <row r="172" spans="1:13" s="3" customFormat="1" ht="21.9" customHeight="1">
      <c r="A172" s="13"/>
      <c r="B172" s="13"/>
      <c r="C172" s="13"/>
      <c r="D172" s="13"/>
      <c r="E172" s="13"/>
      <c r="F172" s="14"/>
      <c r="G172" s="14"/>
      <c r="H172" s="14"/>
      <c r="I172" s="14"/>
      <c r="J172" s="14"/>
      <c r="K172" s="14"/>
      <c r="L172" s="9"/>
      <c r="M172" s="9"/>
    </row>
    <row r="173" spans="1:13" s="3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  <c r="K173" s="14"/>
      <c r="L173" s="9"/>
      <c r="M173" s="9"/>
    </row>
    <row r="174" spans="1:13" s="3" customFormat="1" ht="21.9" customHeight="1">
      <c r="A174" s="13"/>
      <c r="B174" s="13"/>
      <c r="C174" s="13"/>
      <c r="D174" s="13"/>
      <c r="E174" s="13"/>
      <c r="F174" s="10"/>
      <c r="G174" s="10"/>
      <c r="H174" s="10"/>
      <c r="I174" s="10"/>
      <c r="J174" s="10"/>
      <c r="K174" s="10"/>
      <c r="L174" s="9"/>
      <c r="M174" s="9"/>
    </row>
    <row r="175" spans="1:13" s="9" customFormat="1" ht="21.9" customHeight="1">
      <c r="A175" s="13"/>
      <c r="B175" s="13"/>
      <c r="C175" s="13"/>
      <c r="D175" s="13"/>
      <c r="E175" s="13"/>
      <c r="F175" s="14"/>
      <c r="G175" s="14"/>
      <c r="H175" s="14"/>
      <c r="I175" s="14"/>
      <c r="J175" s="14"/>
      <c r="K175" s="14"/>
    </row>
    <row r="176" spans="1:13" s="9" customFormat="1" ht="21.9" customHeight="1">
      <c r="A176" s="13"/>
      <c r="B176" s="13"/>
      <c r="C176" s="13"/>
      <c r="D176" s="13"/>
      <c r="E176" s="13"/>
      <c r="F176" s="14"/>
      <c r="G176" s="14"/>
      <c r="H176" s="14"/>
      <c r="I176" s="14"/>
      <c r="J176" s="14"/>
      <c r="K176" s="14"/>
    </row>
    <row r="177" spans="1:11" s="9" customFormat="1" ht="21.9" customHeight="1">
      <c r="A177" s="13"/>
      <c r="B177" s="13"/>
      <c r="C177" s="13"/>
      <c r="D177" s="13"/>
      <c r="E177" s="13"/>
      <c r="F177" s="14"/>
      <c r="G177" s="14"/>
      <c r="H177" s="14"/>
      <c r="I177" s="14"/>
      <c r="J177" s="14"/>
      <c r="K177" s="14"/>
    </row>
    <row r="178" spans="1:11" s="9" customFormat="1" ht="21.9" customHeight="1">
      <c r="A178" s="13"/>
      <c r="B178" s="13"/>
      <c r="C178" s="13"/>
      <c r="D178" s="13"/>
      <c r="E178" s="13"/>
      <c r="F178" s="8"/>
      <c r="G178" s="8"/>
      <c r="H178" s="8"/>
      <c r="I178" s="8"/>
      <c r="J178" s="8"/>
      <c r="K178" s="8"/>
    </row>
    <row r="179" spans="1:11" s="9" customFormat="1" ht="21.9" customHeight="1">
      <c r="A179" s="13"/>
      <c r="B179" s="13"/>
      <c r="C179" s="13"/>
      <c r="D179" s="13"/>
      <c r="E179" s="13"/>
      <c r="F179" s="14"/>
      <c r="G179" s="14"/>
      <c r="H179" s="14"/>
      <c r="I179" s="14"/>
      <c r="J179" s="14"/>
      <c r="K179" s="14"/>
    </row>
    <row r="180" spans="1:11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  <c r="K180" s="10"/>
    </row>
    <row r="181" spans="1:11" s="9" customFormat="1" ht="21.9" customHeight="1">
      <c r="A181" s="13"/>
      <c r="B181" s="13"/>
      <c r="C181" s="13"/>
      <c r="D181" s="13"/>
      <c r="E181" s="13"/>
      <c r="F181" s="12"/>
      <c r="G181" s="12"/>
      <c r="H181" s="12"/>
      <c r="I181" s="12"/>
      <c r="J181" s="12"/>
      <c r="K181" s="12"/>
    </row>
    <row r="182" spans="1:11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  <c r="K182" s="12"/>
    </row>
    <row r="183" spans="1:11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  <c r="K183" s="12"/>
    </row>
    <row r="184" spans="1:11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  <c r="K184" s="12"/>
    </row>
    <row r="185" spans="1:11" s="9" customFormat="1" ht="21.9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  <c r="K185" s="12"/>
    </row>
    <row r="186" spans="1:11" s="9" customFormat="1" ht="21.9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  <c r="K186" s="12"/>
    </row>
    <row r="187" spans="1:11" s="9" customFormat="1" ht="21.9" customHeight="1">
      <c r="A187" s="13"/>
      <c r="B187" s="13"/>
      <c r="C187" s="13"/>
      <c r="D187" s="13"/>
      <c r="E187" s="13"/>
      <c r="F187" s="14"/>
      <c r="G187" s="14"/>
      <c r="H187" s="14"/>
      <c r="I187" s="14"/>
      <c r="J187" s="14"/>
      <c r="K187" s="14"/>
    </row>
    <row r="188" spans="1:11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  <c r="K188" s="8"/>
    </row>
    <row r="189" spans="1:11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  <c r="K189" s="8"/>
    </row>
    <row r="190" spans="1:11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  <c r="K190" s="8"/>
    </row>
    <row r="191" spans="1:11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  <c r="K191" s="8"/>
    </row>
    <row r="192" spans="1:11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  <c r="K192" s="8"/>
    </row>
    <row r="193" spans="1:11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  <c r="K193" s="8"/>
    </row>
    <row r="194" spans="1:11" s="9" customFormat="1" ht="21.9" customHeight="1">
      <c r="A194" s="13"/>
      <c r="B194" s="13"/>
      <c r="C194" s="13"/>
      <c r="D194" s="13"/>
      <c r="E194" s="13"/>
      <c r="F194" s="10"/>
      <c r="G194" s="10"/>
      <c r="H194" s="10"/>
      <c r="I194" s="10"/>
      <c r="J194" s="10"/>
      <c r="K194" s="10"/>
    </row>
    <row r="195" spans="1:11" s="9" customFormat="1" ht="21.9" customHeight="1">
      <c r="A195" s="13"/>
      <c r="B195" s="13"/>
      <c r="C195" s="13"/>
      <c r="D195" s="13"/>
      <c r="E195" s="13"/>
      <c r="F195" s="10"/>
      <c r="G195" s="10"/>
      <c r="H195" s="10"/>
      <c r="I195" s="10"/>
      <c r="J195" s="10"/>
      <c r="K195" s="10"/>
    </row>
    <row r="196" spans="1:11" s="9" customFormat="1" ht="21.9" customHeight="1">
      <c r="A196" s="13"/>
      <c r="B196" s="13"/>
      <c r="C196" s="13"/>
      <c r="D196" s="13"/>
      <c r="E196" s="13"/>
      <c r="F196" s="10"/>
      <c r="G196" s="10"/>
      <c r="H196" s="10"/>
      <c r="I196" s="10"/>
      <c r="J196" s="10"/>
      <c r="K196" s="10"/>
    </row>
    <row r="197" spans="1:11" s="9" customFormat="1" ht="21.9" customHeight="1">
      <c r="A197" s="13"/>
      <c r="B197" s="13"/>
      <c r="C197" s="13"/>
      <c r="D197" s="13"/>
      <c r="E197" s="13"/>
      <c r="F197" s="10"/>
      <c r="G197" s="10"/>
      <c r="H197" s="10"/>
      <c r="I197" s="10"/>
      <c r="J197" s="10"/>
      <c r="K197" s="10"/>
    </row>
    <row r="198" spans="1:11" s="9" customFormat="1" ht="21.9" customHeight="1">
      <c r="A198" s="13"/>
      <c r="B198" s="13"/>
      <c r="C198" s="13"/>
      <c r="D198" s="13"/>
      <c r="E198" s="13"/>
      <c r="F198" s="12"/>
      <c r="G198" s="12"/>
      <c r="H198" s="12"/>
      <c r="I198" s="12"/>
      <c r="J198" s="12"/>
      <c r="K198" s="12"/>
    </row>
    <row r="199" spans="1:11" s="9" customFormat="1" ht="21.9" customHeight="1">
      <c r="A199" s="13"/>
      <c r="B199" s="13"/>
      <c r="C199" s="13"/>
      <c r="D199" s="13"/>
      <c r="E199" s="13"/>
      <c r="F199" s="12"/>
      <c r="G199" s="12"/>
      <c r="H199" s="12"/>
      <c r="I199" s="12"/>
      <c r="J199" s="12"/>
      <c r="K199" s="12"/>
    </row>
    <row r="200" spans="1:11" s="9" customFormat="1" ht="21.9" customHeight="1">
      <c r="A200" s="13"/>
      <c r="B200" s="13"/>
      <c r="C200" s="13"/>
      <c r="D200" s="13"/>
      <c r="E200" s="13"/>
      <c r="F200" s="12"/>
      <c r="G200" s="12"/>
      <c r="H200" s="12"/>
      <c r="I200" s="12"/>
      <c r="J200" s="12"/>
      <c r="K200" s="12"/>
    </row>
    <row r="201" spans="1:11" s="9" customFormat="1" ht="21.9" customHeight="1">
      <c r="A201" s="13"/>
      <c r="B201" s="13"/>
      <c r="C201" s="13"/>
      <c r="D201" s="13"/>
      <c r="E201" s="13"/>
      <c r="F201" s="8"/>
      <c r="G201" s="8"/>
      <c r="H201" s="8"/>
      <c r="I201" s="8"/>
      <c r="J201" s="8"/>
      <c r="K201" s="8"/>
    </row>
    <row r="202" spans="1:11" s="9" customFormat="1" ht="21.9" customHeight="1">
      <c r="A202" s="13"/>
      <c r="B202" s="13"/>
      <c r="C202" s="13"/>
      <c r="D202" s="13"/>
      <c r="E202" s="13"/>
      <c r="F202" s="8"/>
      <c r="G202" s="8"/>
      <c r="H202" s="8"/>
      <c r="I202" s="8"/>
      <c r="J202" s="8"/>
      <c r="K202" s="8"/>
    </row>
    <row r="203" spans="1:11" s="9" customFormat="1" ht="21.9" customHeight="1">
      <c r="A203" s="13"/>
      <c r="B203" s="13"/>
      <c r="C203" s="13"/>
      <c r="D203" s="13"/>
      <c r="E203" s="13"/>
      <c r="F203" s="12"/>
      <c r="G203" s="12"/>
      <c r="H203" s="12"/>
      <c r="I203" s="12"/>
      <c r="J203" s="12"/>
      <c r="K203" s="12"/>
    </row>
    <row r="204" spans="1:11" s="9" customFormat="1" ht="21.9" customHeight="1">
      <c r="A204" s="13"/>
      <c r="B204" s="13"/>
      <c r="C204" s="13"/>
      <c r="D204" s="13"/>
      <c r="E204" s="13"/>
      <c r="F204" s="12"/>
      <c r="G204" s="12"/>
      <c r="H204" s="12"/>
      <c r="I204" s="12"/>
      <c r="J204" s="12"/>
      <c r="K204" s="12"/>
    </row>
    <row r="205" spans="1:11" s="9" customFormat="1" ht="21.9" customHeight="1">
      <c r="A205" s="13"/>
      <c r="B205" s="13"/>
      <c r="C205" s="13"/>
      <c r="D205" s="13"/>
      <c r="E205" s="13"/>
      <c r="F205" s="8"/>
      <c r="G205" s="8"/>
      <c r="H205" s="8"/>
      <c r="I205" s="8"/>
      <c r="J205" s="8"/>
      <c r="K205" s="8"/>
    </row>
    <row r="206" spans="1:11" s="9" customFormat="1" ht="21.9" customHeight="1">
      <c r="A206" s="13"/>
      <c r="B206" s="13"/>
      <c r="C206" s="13"/>
      <c r="D206" s="13"/>
      <c r="E206" s="13"/>
      <c r="F206" s="8"/>
      <c r="G206" s="8"/>
      <c r="H206" s="8"/>
      <c r="I206" s="8"/>
      <c r="J206" s="8"/>
      <c r="K206" s="8"/>
    </row>
    <row r="207" spans="1:11" s="9" customFormat="1" ht="21.9" customHeight="1">
      <c r="A207" s="13"/>
      <c r="B207" s="13"/>
      <c r="C207" s="13"/>
      <c r="D207" s="13"/>
      <c r="E207" s="13"/>
      <c r="F207" s="8"/>
      <c r="G207" s="8"/>
      <c r="H207" s="8"/>
      <c r="I207" s="8"/>
      <c r="J207" s="8"/>
      <c r="K207" s="8"/>
    </row>
    <row r="208" spans="1:11" s="9" customFormat="1" ht="21.9" customHeight="1">
      <c r="A208" s="13"/>
      <c r="B208" s="13"/>
      <c r="C208" s="13"/>
      <c r="D208" s="13"/>
      <c r="E208" s="13"/>
      <c r="F208" s="8"/>
      <c r="G208" s="8"/>
      <c r="H208" s="8"/>
      <c r="I208" s="8"/>
      <c r="J208" s="8"/>
      <c r="K208" s="8"/>
    </row>
    <row r="209" spans="1:11" s="9" customFormat="1" ht="21.9" customHeight="1">
      <c r="A209" s="13"/>
      <c r="B209" s="13"/>
      <c r="C209" s="13"/>
      <c r="D209" s="13"/>
      <c r="E209" s="13"/>
      <c r="F209" s="8"/>
      <c r="G209" s="8"/>
      <c r="H209" s="8"/>
      <c r="I209" s="8"/>
      <c r="J209" s="8"/>
      <c r="K209" s="8"/>
    </row>
    <row r="210" spans="1:11" s="9" customFormat="1" ht="21.9" customHeight="1">
      <c r="A210" s="13"/>
      <c r="B210" s="13"/>
      <c r="C210" s="13"/>
      <c r="D210" s="13"/>
      <c r="E210" s="13"/>
      <c r="F210" s="8"/>
      <c r="G210" s="8"/>
      <c r="H210" s="8"/>
      <c r="I210" s="8"/>
      <c r="J210" s="8"/>
      <c r="K210" s="8"/>
    </row>
    <row r="211" spans="1:11" s="9" customFormat="1" ht="21.9" customHeight="1">
      <c r="A211" s="13"/>
      <c r="B211" s="13"/>
      <c r="C211" s="13"/>
      <c r="D211" s="13"/>
      <c r="E211" s="13"/>
      <c r="F211" s="11"/>
      <c r="G211" s="11"/>
      <c r="H211" s="11"/>
      <c r="I211" s="11"/>
      <c r="J211" s="11"/>
      <c r="K211" s="11"/>
    </row>
    <row r="212" spans="1:11" s="9" customFormat="1" ht="21.9" customHeight="1">
      <c r="A212" s="13"/>
      <c r="B212" s="13"/>
      <c r="C212" s="13"/>
      <c r="D212" s="13"/>
      <c r="E212" s="13"/>
      <c r="F212" s="11"/>
      <c r="G212" s="11"/>
      <c r="H212" s="11"/>
      <c r="I212" s="11"/>
      <c r="J212" s="11"/>
      <c r="K212" s="11"/>
    </row>
    <row r="213" spans="1:11" s="9" customFormat="1" ht="21.9" customHeight="1">
      <c r="A213" s="13"/>
      <c r="B213" s="13"/>
      <c r="C213" s="13"/>
      <c r="D213" s="13"/>
      <c r="E213" s="13"/>
      <c r="F213" s="11"/>
      <c r="G213" s="11"/>
      <c r="H213" s="11"/>
      <c r="I213" s="11"/>
      <c r="J213" s="11"/>
      <c r="K213" s="11"/>
    </row>
    <row r="214" spans="1:11" s="9" customFormat="1" ht="21.9" customHeight="1">
      <c r="A214" s="13"/>
      <c r="B214" s="13"/>
      <c r="C214" s="13"/>
      <c r="D214" s="13"/>
      <c r="E214" s="13"/>
      <c r="F214" s="11"/>
      <c r="G214" s="11"/>
      <c r="H214" s="11"/>
      <c r="I214" s="11"/>
      <c r="J214" s="11"/>
      <c r="K214" s="11"/>
    </row>
    <row r="215" spans="1:11" s="9" customFormat="1" ht="21.9" customHeight="1">
      <c r="A215" s="15"/>
      <c r="B215" s="15"/>
      <c r="C215" s="15"/>
      <c r="D215" s="15"/>
      <c r="E215" s="15"/>
      <c r="F215" s="12"/>
      <c r="G215" s="12"/>
      <c r="H215" s="12"/>
      <c r="I215" s="12"/>
      <c r="J215" s="12"/>
      <c r="K215" s="12"/>
    </row>
    <row r="216" spans="1:11" s="9" customFormat="1" ht="21.9" customHeight="1">
      <c r="A216" s="15"/>
      <c r="B216" s="15"/>
      <c r="C216" s="15"/>
      <c r="D216" s="15"/>
      <c r="E216" s="15"/>
      <c r="F216" s="11"/>
      <c r="G216" s="11"/>
      <c r="H216" s="11"/>
      <c r="I216" s="11"/>
      <c r="J216" s="11"/>
      <c r="K216" s="11"/>
    </row>
    <row r="217" spans="1:11" s="9" customFormat="1" ht="21.9" customHeight="1">
      <c r="A217" s="15"/>
      <c r="B217" s="15"/>
      <c r="C217" s="15"/>
      <c r="D217" s="15"/>
      <c r="E217" s="15"/>
      <c r="F217" s="12"/>
      <c r="G217" s="12"/>
      <c r="H217" s="12"/>
      <c r="I217" s="12"/>
      <c r="J217" s="12"/>
      <c r="K217" s="12"/>
    </row>
    <row r="218" spans="1:11" s="9" customFormat="1" ht="21.9" customHeight="1">
      <c r="A218" s="15"/>
      <c r="B218" s="15"/>
      <c r="C218" s="15"/>
      <c r="D218" s="15"/>
      <c r="E218" s="15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5"/>
      <c r="B219" s="15"/>
      <c r="C219" s="15"/>
      <c r="D219" s="15"/>
      <c r="E219" s="15"/>
      <c r="F219" s="12"/>
      <c r="G219" s="12"/>
      <c r="H219" s="12"/>
      <c r="I219" s="12"/>
      <c r="J219" s="12"/>
      <c r="K219" s="12"/>
    </row>
    <row r="220" spans="1:11" s="9" customFormat="1" ht="21.9" customHeight="1">
      <c r="A220" s="15"/>
      <c r="B220" s="15"/>
      <c r="C220" s="15"/>
      <c r="D220" s="15"/>
      <c r="E220" s="15"/>
      <c r="F220" s="12"/>
      <c r="G220" s="12"/>
      <c r="H220" s="12"/>
      <c r="I220" s="12"/>
      <c r="J220" s="12"/>
      <c r="K220" s="12"/>
    </row>
    <row r="221" spans="1:11" s="9" customFormat="1" ht="21.9" customHeight="1">
      <c r="A221" s="15"/>
      <c r="B221" s="15"/>
      <c r="C221" s="15"/>
      <c r="D221" s="15"/>
      <c r="E221" s="15"/>
      <c r="F221" s="12"/>
      <c r="G221" s="12"/>
      <c r="H221" s="12"/>
      <c r="I221" s="12"/>
      <c r="J221" s="12"/>
      <c r="K221" s="12"/>
    </row>
    <row r="222" spans="1:11" s="9" customFormat="1" ht="21.9" customHeight="1">
      <c r="A222" s="15"/>
      <c r="B222" s="15"/>
      <c r="C222" s="15"/>
      <c r="D222" s="15"/>
      <c r="E222" s="15"/>
      <c r="F222" s="12"/>
      <c r="G222" s="12"/>
      <c r="H222" s="12"/>
      <c r="I222" s="12"/>
      <c r="J222" s="12"/>
      <c r="K222" s="12"/>
    </row>
    <row r="223" spans="1:11" s="9" customFormat="1" ht="21.9" customHeight="1">
      <c r="A223" s="15"/>
      <c r="B223" s="15"/>
      <c r="C223" s="15"/>
      <c r="D223" s="15"/>
      <c r="E223" s="15"/>
      <c r="F223" s="8"/>
      <c r="G223" s="8"/>
      <c r="H223" s="8"/>
      <c r="I223" s="8"/>
      <c r="J223" s="8"/>
      <c r="K223" s="8"/>
    </row>
    <row r="224" spans="1:11" s="9" customFormat="1" ht="21.9" customHeight="1">
      <c r="A224" s="15"/>
      <c r="B224" s="15"/>
      <c r="C224" s="15"/>
      <c r="D224" s="15"/>
      <c r="E224" s="15"/>
      <c r="F224" s="12"/>
      <c r="G224" s="12"/>
      <c r="H224" s="12"/>
      <c r="I224" s="12"/>
      <c r="J224" s="12"/>
      <c r="K224" s="12"/>
    </row>
    <row r="225" spans="1:11" s="9" customFormat="1" ht="21.9" customHeight="1">
      <c r="A225" s="15"/>
      <c r="B225" s="15"/>
      <c r="C225" s="15"/>
      <c r="D225" s="15"/>
      <c r="E225" s="15"/>
      <c r="F225" s="12"/>
      <c r="G225" s="12"/>
      <c r="H225" s="12"/>
      <c r="I225" s="12"/>
      <c r="J225" s="12"/>
      <c r="K225" s="12"/>
    </row>
    <row r="226" spans="1:11" s="9" customFormat="1" ht="21.9" customHeight="1">
      <c r="A226" s="15"/>
      <c r="B226" s="15"/>
      <c r="C226" s="15"/>
      <c r="D226" s="15"/>
      <c r="E226" s="15"/>
      <c r="F226" s="12"/>
      <c r="G226" s="12"/>
      <c r="H226" s="12"/>
      <c r="I226" s="12"/>
      <c r="J226" s="12"/>
      <c r="K226" s="12"/>
    </row>
    <row r="227" spans="1:11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  <c r="K227" s="8"/>
    </row>
    <row r="228" spans="1:11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  <c r="K228" s="8"/>
    </row>
    <row r="229" spans="1:11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  <c r="K229" s="8"/>
    </row>
    <row r="230" spans="1:11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  <c r="K230" s="8"/>
    </row>
    <row r="231" spans="1:11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  <c r="K231" s="8"/>
    </row>
    <row r="232" spans="1:11" s="9" customFormat="1" ht="21.9" customHeight="1">
      <c r="A232" s="15"/>
      <c r="B232" s="15"/>
      <c r="C232" s="15"/>
      <c r="D232" s="15"/>
      <c r="E232" s="15"/>
      <c r="F232" s="8"/>
      <c r="G232" s="8"/>
      <c r="H232" s="8"/>
      <c r="I232" s="8"/>
      <c r="J232" s="8"/>
      <c r="K232" s="8"/>
    </row>
    <row r="233" spans="1:11" s="9" customFormat="1" ht="21.9" customHeight="1">
      <c r="A233" s="15"/>
      <c r="B233" s="15"/>
      <c r="C233" s="15"/>
      <c r="D233" s="15"/>
      <c r="E233" s="15"/>
      <c r="F233" s="11"/>
      <c r="G233" s="11"/>
      <c r="H233" s="11"/>
      <c r="I233" s="11"/>
      <c r="J233" s="11"/>
      <c r="K233" s="11"/>
    </row>
    <row r="234" spans="1:11" s="9" customFormat="1" ht="21.9" customHeight="1">
      <c r="A234" s="15"/>
      <c r="B234" s="15"/>
      <c r="C234" s="15"/>
      <c r="D234" s="15"/>
      <c r="E234" s="15"/>
      <c r="F234" s="11"/>
      <c r="G234" s="11"/>
      <c r="H234" s="11"/>
      <c r="I234" s="11"/>
      <c r="J234" s="11"/>
      <c r="K234" s="11"/>
    </row>
    <row r="235" spans="1:11" s="9" customFormat="1" ht="21.9" customHeight="1">
      <c r="A235" s="15"/>
      <c r="B235" s="15"/>
      <c r="C235" s="15"/>
      <c r="D235" s="15"/>
      <c r="E235" s="15"/>
      <c r="F235" s="11"/>
      <c r="G235" s="11"/>
      <c r="H235" s="11"/>
      <c r="I235" s="11"/>
      <c r="J235" s="11"/>
      <c r="K235" s="11"/>
    </row>
    <row r="236" spans="1:11" s="9" customFormat="1" ht="21.9" customHeight="1">
      <c r="A236" s="15"/>
      <c r="B236" s="15"/>
      <c r="C236" s="15"/>
      <c r="D236" s="15"/>
      <c r="E236" s="15"/>
      <c r="F236" s="11"/>
      <c r="G236" s="11"/>
      <c r="H236" s="11"/>
      <c r="I236" s="11"/>
      <c r="J236" s="11"/>
      <c r="K236" s="11"/>
    </row>
    <row r="237" spans="1:11" s="9" customFormat="1" ht="21.9" customHeight="1">
      <c r="A237" s="15"/>
      <c r="B237" s="15"/>
      <c r="C237" s="15"/>
      <c r="D237" s="15"/>
      <c r="E237" s="15"/>
      <c r="F237" s="11"/>
      <c r="G237" s="11"/>
      <c r="H237" s="11"/>
      <c r="I237" s="11"/>
      <c r="J237" s="11"/>
      <c r="K237" s="11"/>
    </row>
    <row r="238" spans="1:11" s="9" customFormat="1" ht="21.9" customHeight="1">
      <c r="A238" s="15"/>
      <c r="B238" s="15"/>
      <c r="C238" s="15"/>
      <c r="D238" s="15"/>
      <c r="E238" s="15"/>
      <c r="F238" s="11"/>
      <c r="G238" s="11"/>
      <c r="H238" s="11"/>
      <c r="I238" s="11"/>
      <c r="J238" s="11"/>
      <c r="K238" s="11"/>
    </row>
    <row r="239" spans="1:11" s="9" customFormat="1" ht="21.9" customHeight="1">
      <c r="A239" s="15"/>
      <c r="B239" s="15"/>
      <c r="C239" s="15"/>
      <c r="D239" s="15"/>
      <c r="E239" s="15"/>
      <c r="F239" s="8"/>
      <c r="G239" s="8"/>
      <c r="H239" s="8"/>
      <c r="I239" s="8"/>
      <c r="J239" s="8"/>
      <c r="K239" s="8"/>
    </row>
    <row r="240" spans="1:11" s="9" customFormat="1" ht="21.9" customHeight="1">
      <c r="A240" s="15"/>
      <c r="B240" s="15"/>
      <c r="C240" s="15"/>
      <c r="D240" s="15"/>
      <c r="E240" s="15"/>
      <c r="F240" s="8"/>
      <c r="G240" s="8"/>
      <c r="H240" s="8"/>
      <c r="I240" s="8"/>
      <c r="J240" s="8"/>
      <c r="K240" s="8"/>
    </row>
    <row r="241" spans="1:11" s="9" customFormat="1" ht="21.9" customHeight="1">
      <c r="A241" s="15"/>
      <c r="B241" s="15"/>
      <c r="C241" s="15"/>
      <c r="D241" s="15"/>
      <c r="E241" s="15"/>
      <c r="F241" s="8"/>
      <c r="G241" s="8"/>
      <c r="H241" s="8"/>
      <c r="I241" s="8"/>
      <c r="J241" s="8"/>
      <c r="K241" s="8"/>
    </row>
    <row r="242" spans="1:11" s="9" customFormat="1" ht="21.9" customHeight="1">
      <c r="A242" s="15"/>
      <c r="B242" s="15"/>
      <c r="C242" s="15"/>
      <c r="D242" s="15"/>
      <c r="E242" s="15"/>
      <c r="F242" s="8"/>
      <c r="G242" s="8"/>
      <c r="H242" s="8"/>
      <c r="I242" s="8"/>
      <c r="J242" s="8"/>
      <c r="K242" s="8"/>
    </row>
    <row r="243" spans="1:11" s="9" customFormat="1" ht="21.9" customHeight="1">
      <c r="A243" s="15"/>
      <c r="B243" s="15"/>
      <c r="C243" s="15"/>
      <c r="D243" s="15"/>
      <c r="E243" s="15"/>
      <c r="F243" s="8"/>
      <c r="G243" s="8"/>
      <c r="H243" s="8"/>
      <c r="I243" s="8"/>
      <c r="J243" s="8"/>
      <c r="K243" s="8"/>
    </row>
    <row r="244" spans="1:11" s="9" customFormat="1" ht="21.9" customHeight="1">
      <c r="A244" s="15"/>
      <c r="B244" s="15"/>
      <c r="C244" s="15"/>
      <c r="D244" s="15"/>
      <c r="E244" s="15"/>
      <c r="F244" s="8"/>
      <c r="G244" s="8"/>
      <c r="H244" s="8"/>
      <c r="I244" s="8"/>
      <c r="J244" s="8"/>
      <c r="K244" s="8"/>
    </row>
    <row r="245" spans="1:11" s="9" customFormat="1" ht="21.9" customHeight="1">
      <c r="A245" s="15"/>
      <c r="B245" s="15"/>
      <c r="C245" s="15"/>
      <c r="D245" s="15"/>
      <c r="E245" s="15"/>
      <c r="F245" s="8"/>
      <c r="G245" s="8"/>
      <c r="H245" s="8"/>
      <c r="I245" s="8"/>
      <c r="J245" s="8"/>
      <c r="K245" s="8"/>
    </row>
    <row r="246" spans="1:11" s="9" customFormat="1" ht="21.9" customHeight="1">
      <c r="A246" s="6"/>
      <c r="B246" s="6"/>
      <c r="C246" s="6"/>
      <c r="D246" s="6"/>
      <c r="E246" s="6"/>
      <c r="F246" s="12"/>
      <c r="G246" s="12"/>
      <c r="H246" s="12"/>
      <c r="I246" s="12"/>
      <c r="J246" s="12"/>
      <c r="K246" s="12"/>
    </row>
    <row r="247" spans="1:11" s="9" customFormat="1" ht="21.9" customHeight="1">
      <c r="A247" s="6"/>
      <c r="B247" s="6"/>
      <c r="C247" s="6"/>
      <c r="D247" s="6"/>
      <c r="E247" s="6"/>
      <c r="F247" s="12"/>
      <c r="G247" s="12"/>
      <c r="H247" s="12"/>
      <c r="I247" s="12"/>
      <c r="J247" s="12"/>
      <c r="K247" s="12"/>
    </row>
    <row r="248" spans="1:11" s="9" customFormat="1" ht="21.9" customHeight="1">
      <c r="A248" s="6"/>
      <c r="B248" s="6"/>
      <c r="C248" s="6"/>
      <c r="D248" s="6"/>
      <c r="E248" s="6"/>
      <c r="F248" s="11"/>
      <c r="G248" s="11"/>
      <c r="H248" s="11"/>
      <c r="I248" s="11"/>
      <c r="J248" s="11"/>
      <c r="K248" s="11"/>
    </row>
    <row r="249" spans="1:11" s="9" customFormat="1" ht="21.9" customHeight="1">
      <c r="A249" s="6"/>
      <c r="B249" s="6"/>
      <c r="C249" s="6"/>
      <c r="D249" s="6"/>
      <c r="E249" s="6"/>
      <c r="F249" s="12"/>
      <c r="G249" s="12"/>
      <c r="H249" s="12"/>
      <c r="I249" s="12"/>
      <c r="J249" s="12"/>
      <c r="K249" s="12"/>
    </row>
    <row r="250" spans="1:11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  <c r="K250" s="8"/>
    </row>
    <row r="251" spans="1:11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  <c r="K251" s="8"/>
    </row>
    <row r="252" spans="1:11" s="9" customFormat="1" ht="21.9" customHeight="1">
      <c r="A252" s="6"/>
      <c r="B252" s="6"/>
      <c r="C252" s="6"/>
      <c r="D252" s="6"/>
      <c r="E252" s="6"/>
      <c r="F252" s="11"/>
      <c r="G252" s="11"/>
      <c r="H252" s="11"/>
      <c r="I252" s="11"/>
      <c r="J252" s="11"/>
      <c r="K252" s="11"/>
    </row>
    <row r="253" spans="1:11" s="9" customFormat="1" ht="21.9" customHeight="1">
      <c r="A253" s="6"/>
      <c r="B253" s="6"/>
      <c r="C253" s="6"/>
      <c r="D253" s="6"/>
      <c r="E253" s="6"/>
      <c r="F253" s="12"/>
      <c r="G253" s="12"/>
      <c r="H253" s="12"/>
      <c r="I253" s="12"/>
      <c r="J253" s="12"/>
      <c r="K253" s="12"/>
    </row>
    <row r="254" spans="1:11" s="9" customFormat="1" ht="21.9" customHeight="1">
      <c r="A254" s="6"/>
      <c r="B254" s="6"/>
      <c r="C254" s="6"/>
      <c r="D254" s="6"/>
      <c r="E254" s="6"/>
      <c r="F254" s="11"/>
      <c r="G254" s="11"/>
      <c r="H254" s="11"/>
      <c r="I254" s="11"/>
      <c r="J254" s="11"/>
      <c r="K254" s="11"/>
    </row>
    <row r="255" spans="1:11" s="9" customFormat="1" ht="21.9" customHeight="1">
      <c r="A255" s="6"/>
      <c r="B255" s="6"/>
      <c r="C255" s="6"/>
      <c r="D255" s="6"/>
      <c r="E255" s="6"/>
      <c r="F255" s="11"/>
      <c r="G255" s="11"/>
      <c r="H255" s="11"/>
      <c r="I255" s="11"/>
      <c r="J255" s="11"/>
      <c r="K255" s="11"/>
    </row>
    <row r="256" spans="1:11" s="9" customFormat="1" ht="21.9" customHeight="1">
      <c r="A256" s="6"/>
      <c r="B256" s="6"/>
      <c r="C256" s="6"/>
      <c r="D256" s="6"/>
      <c r="E256" s="6"/>
      <c r="F256" s="11"/>
      <c r="G256" s="11"/>
      <c r="H256" s="11"/>
      <c r="I256" s="11"/>
      <c r="J256" s="11"/>
      <c r="K256" s="11"/>
    </row>
    <row r="257" spans="1:11" s="9" customFormat="1" ht="21.9" customHeight="1">
      <c r="A257" s="6"/>
      <c r="B257" s="6"/>
      <c r="C257" s="6"/>
      <c r="D257" s="6"/>
      <c r="E257" s="6"/>
      <c r="F257" s="11"/>
      <c r="G257" s="11"/>
      <c r="H257" s="11"/>
      <c r="I257" s="11"/>
      <c r="J257" s="11"/>
      <c r="K257" s="11"/>
    </row>
    <row r="258" spans="1:11" s="9" customFormat="1" ht="21.9" customHeight="1">
      <c r="A258" s="6"/>
      <c r="B258" s="6"/>
      <c r="C258" s="6"/>
      <c r="D258" s="6"/>
      <c r="E258" s="6"/>
      <c r="F258" s="11"/>
      <c r="G258" s="11"/>
      <c r="H258" s="11"/>
      <c r="I258" s="11"/>
      <c r="J258" s="11"/>
      <c r="K258" s="11"/>
    </row>
    <row r="259" spans="1:11" s="9" customFormat="1" ht="21.9" customHeight="1">
      <c r="A259" s="6"/>
      <c r="B259" s="6"/>
      <c r="C259" s="6"/>
      <c r="D259" s="6"/>
      <c r="E259" s="6"/>
      <c r="F259" s="11"/>
      <c r="G259" s="11"/>
      <c r="H259" s="11"/>
      <c r="I259" s="11"/>
      <c r="J259" s="11"/>
      <c r="K259" s="11"/>
    </row>
    <row r="260" spans="1:11" s="9" customFormat="1" ht="21.9" customHeight="1">
      <c r="A260" s="6"/>
      <c r="B260" s="6"/>
      <c r="C260" s="6"/>
      <c r="D260" s="6"/>
      <c r="E260" s="6"/>
      <c r="F260" s="11"/>
      <c r="G260" s="11"/>
      <c r="H260" s="11"/>
      <c r="I260" s="11"/>
      <c r="J260" s="11"/>
      <c r="K260" s="11"/>
    </row>
    <row r="261" spans="1:11" s="9" customFormat="1" ht="21.9" customHeight="1">
      <c r="A261" s="6"/>
      <c r="B261" s="6"/>
      <c r="C261" s="6"/>
      <c r="D261" s="6"/>
      <c r="E261" s="6"/>
      <c r="F261" s="11"/>
      <c r="G261" s="11"/>
      <c r="H261" s="11"/>
      <c r="I261" s="11"/>
      <c r="J261" s="11"/>
      <c r="K261" s="11"/>
    </row>
    <row r="262" spans="1:11" s="9" customFormat="1" ht="21.9" customHeight="1">
      <c r="A262" s="6"/>
      <c r="B262" s="6"/>
      <c r="C262" s="6"/>
      <c r="D262" s="6"/>
      <c r="E262" s="6"/>
      <c r="F262" s="8"/>
      <c r="G262" s="8"/>
      <c r="H262" s="8"/>
      <c r="I262" s="8"/>
      <c r="J262" s="8"/>
      <c r="K262" s="8"/>
    </row>
    <row r="263" spans="1:11" s="9" customFormat="1" ht="21.9" customHeight="1">
      <c r="A263" s="6"/>
      <c r="B263" s="6"/>
      <c r="C263" s="6"/>
      <c r="D263" s="6"/>
      <c r="E263" s="6"/>
      <c r="F263" s="8"/>
      <c r="G263" s="8"/>
      <c r="H263" s="8"/>
      <c r="I263" s="8"/>
      <c r="J263" s="8"/>
      <c r="K263" s="8"/>
    </row>
    <row r="264" spans="1:11" s="9" customFormat="1" ht="21.9" customHeight="1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21.9" customHeight="1">
      <c r="A265" s="6"/>
      <c r="B265" s="6"/>
      <c r="C265" s="6"/>
      <c r="D265" s="6"/>
      <c r="E265" s="6"/>
      <c r="F265" s="8"/>
      <c r="G265" s="8"/>
      <c r="H265" s="8"/>
      <c r="I265" s="8"/>
      <c r="J265" s="8"/>
      <c r="K265" s="8"/>
    </row>
    <row r="266" spans="1:11" s="9" customFormat="1" ht="21.9" customHeight="1">
      <c r="A266" s="6"/>
      <c r="B266" s="6"/>
      <c r="C266" s="6"/>
      <c r="D266" s="6"/>
      <c r="E266" s="6"/>
      <c r="F266" s="8"/>
      <c r="G266" s="8"/>
      <c r="H266" s="8"/>
      <c r="I266" s="8"/>
      <c r="J266" s="8"/>
      <c r="K266" s="8"/>
    </row>
    <row r="267" spans="1:11" s="9" customFormat="1" ht="21.9" customHeight="1">
      <c r="A267" s="6"/>
      <c r="B267" s="6"/>
      <c r="C267" s="6"/>
      <c r="D267" s="6"/>
      <c r="E267" s="6"/>
      <c r="F267" s="8"/>
      <c r="G267" s="8"/>
      <c r="H267" s="8"/>
      <c r="I267" s="8"/>
      <c r="J267" s="8"/>
      <c r="K267" s="8"/>
    </row>
    <row r="268" spans="1:11" s="9" customFormat="1" ht="13.2">
      <c r="A268" s="6"/>
      <c r="B268" s="6"/>
      <c r="C268" s="6"/>
      <c r="D268" s="6"/>
      <c r="E268" s="6"/>
      <c r="F268" s="12"/>
      <c r="G268" s="12"/>
      <c r="H268" s="12"/>
      <c r="I268" s="12"/>
      <c r="J268" s="12"/>
      <c r="K268" s="12"/>
    </row>
    <row r="269" spans="1:11" s="9" customFormat="1" ht="13.2">
      <c r="A269" s="6"/>
      <c r="B269" s="6"/>
      <c r="C269" s="6"/>
      <c r="D269" s="6"/>
      <c r="E269" s="6"/>
      <c r="F269" s="10"/>
      <c r="G269" s="10"/>
      <c r="H269" s="10"/>
      <c r="I269" s="10"/>
      <c r="J269" s="10"/>
      <c r="K269" s="10"/>
    </row>
    <row r="270" spans="1:11" s="9" customFormat="1" ht="13.2">
      <c r="A270" s="6"/>
      <c r="B270" s="6"/>
      <c r="C270" s="6"/>
      <c r="D270" s="6"/>
      <c r="E270" s="6"/>
      <c r="F270" s="12"/>
      <c r="G270" s="12"/>
      <c r="H270" s="12"/>
      <c r="I270" s="12"/>
      <c r="J270" s="12"/>
      <c r="K270" s="12"/>
    </row>
    <row r="271" spans="1:11" s="9" customFormat="1" ht="13.2">
      <c r="A271" s="6"/>
      <c r="B271" s="6"/>
      <c r="C271" s="6"/>
      <c r="D271" s="6"/>
      <c r="E271" s="6"/>
      <c r="F271" s="12"/>
      <c r="G271" s="12"/>
      <c r="H271" s="12"/>
      <c r="I271" s="12"/>
      <c r="J271" s="12"/>
      <c r="K271" s="12"/>
    </row>
    <row r="272" spans="1:11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  <c r="K272" s="8"/>
    </row>
    <row r="273" spans="1:11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  <c r="K273" s="8"/>
    </row>
    <row r="274" spans="1:11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  <c r="K274" s="8"/>
    </row>
    <row r="275" spans="1:11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  <c r="K275" s="8"/>
    </row>
    <row r="276" spans="1:11" s="9" customFormat="1" ht="13.2">
      <c r="A276" s="6"/>
      <c r="B276" s="6"/>
      <c r="C276" s="6"/>
      <c r="D276" s="6"/>
      <c r="E276" s="6"/>
      <c r="F276" s="11"/>
      <c r="G276" s="11"/>
      <c r="H276" s="11"/>
      <c r="I276" s="11"/>
      <c r="J276" s="11"/>
      <c r="K276" s="11"/>
    </row>
    <row r="277" spans="1:11" s="9" customFormat="1" ht="13.2">
      <c r="A277" s="6"/>
      <c r="B277" s="6"/>
      <c r="C277" s="6"/>
      <c r="D277" s="6"/>
      <c r="E277" s="6"/>
      <c r="F277" s="12"/>
      <c r="G277" s="12"/>
      <c r="H277" s="12"/>
      <c r="I277" s="12"/>
      <c r="J277" s="12"/>
      <c r="K277" s="12"/>
    </row>
    <row r="278" spans="1:11" s="9" customFormat="1" ht="13.2">
      <c r="A278" s="6"/>
      <c r="B278" s="6"/>
      <c r="C278" s="6"/>
      <c r="D278" s="6"/>
      <c r="E278" s="6"/>
      <c r="F278" s="10"/>
      <c r="G278" s="10"/>
      <c r="H278" s="10"/>
      <c r="I278" s="10"/>
      <c r="J278" s="10"/>
      <c r="K278" s="10"/>
    </row>
    <row r="279" spans="1:11" s="9" customFormat="1" ht="13.2">
      <c r="A279" s="6"/>
      <c r="B279" s="6"/>
      <c r="C279" s="6"/>
      <c r="D279" s="6"/>
      <c r="E279" s="6"/>
      <c r="F279" s="11"/>
      <c r="G279" s="11"/>
      <c r="H279" s="11"/>
      <c r="I279" s="11"/>
      <c r="J279" s="11"/>
      <c r="K279" s="11"/>
    </row>
    <row r="280" spans="1:11" s="9" customFormat="1" ht="13.2">
      <c r="A280" s="6"/>
      <c r="B280" s="6"/>
      <c r="C280" s="6"/>
      <c r="D280" s="6"/>
      <c r="E280" s="6"/>
      <c r="F280" s="8"/>
      <c r="G280" s="8"/>
      <c r="H280" s="8"/>
      <c r="I280" s="8"/>
      <c r="J280" s="8"/>
      <c r="K280" s="8"/>
    </row>
    <row r="281" spans="1:11" s="9" customFormat="1" ht="13.2">
      <c r="A281" s="6"/>
      <c r="B281" s="6"/>
      <c r="C281" s="6"/>
      <c r="D281" s="6"/>
      <c r="E281" s="6"/>
      <c r="F281" s="7"/>
      <c r="G281" s="7"/>
      <c r="H281" s="7"/>
      <c r="I281" s="7"/>
      <c r="J281" s="7"/>
      <c r="K281" s="7"/>
    </row>
    <row r="282" spans="1:11" s="9" customFormat="1" ht="13.2">
      <c r="A282" s="6"/>
      <c r="B282" s="6"/>
      <c r="C282" s="6"/>
      <c r="D282" s="6"/>
      <c r="E282" s="6"/>
      <c r="F282" s="7"/>
      <c r="G282" s="7"/>
      <c r="H282" s="7"/>
      <c r="I282" s="7"/>
      <c r="J282" s="7"/>
      <c r="K282" s="7"/>
    </row>
    <row r="283" spans="1:11" s="9" customFormat="1" ht="13.2">
      <c r="A283" s="6"/>
      <c r="B283" s="6"/>
      <c r="C283" s="6"/>
      <c r="D283" s="6"/>
      <c r="E283" s="6"/>
      <c r="F283" s="7"/>
      <c r="G283" s="7"/>
      <c r="H283" s="7"/>
      <c r="I283" s="7"/>
      <c r="J283" s="7"/>
      <c r="K283" s="7"/>
    </row>
    <row r="284" spans="1:11" s="9" customFormat="1" ht="13.2">
      <c r="A284" s="6"/>
      <c r="B284" s="6"/>
      <c r="C284" s="6"/>
      <c r="D284" s="6"/>
      <c r="E284" s="6"/>
      <c r="F284" s="7"/>
      <c r="G284" s="7"/>
      <c r="H284" s="7"/>
      <c r="I284" s="7"/>
      <c r="J284" s="7"/>
      <c r="K284" s="7"/>
    </row>
    <row r="285" spans="1:11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  <c r="K285" s="8"/>
    </row>
    <row r="286" spans="1:11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  <c r="K286" s="8"/>
    </row>
    <row r="287" spans="1:11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  <c r="K287" s="8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  <c r="K290" s="8"/>
    </row>
    <row r="291" spans="1:11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  <c r="K291" s="8"/>
    </row>
    <row r="292" spans="1:11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  <c r="K292" s="8"/>
    </row>
    <row r="293" spans="1:11" s="9" customFormat="1" ht="13.2">
      <c r="A293" s="6"/>
      <c r="B293" s="6"/>
      <c r="C293" s="6"/>
      <c r="D293" s="6"/>
      <c r="E293" s="6"/>
      <c r="F293" s="12"/>
      <c r="G293" s="12"/>
      <c r="H293" s="12"/>
      <c r="I293" s="12"/>
      <c r="J293" s="12"/>
      <c r="K293" s="12"/>
    </row>
    <row r="294" spans="1:11" s="9" customFormat="1" ht="13.2">
      <c r="A294" s="6"/>
      <c r="B294" s="6"/>
      <c r="C294" s="6"/>
      <c r="D294" s="6"/>
      <c r="E294" s="6"/>
      <c r="F294" s="11"/>
      <c r="G294" s="11"/>
      <c r="H294" s="11"/>
      <c r="I294" s="11"/>
      <c r="J294" s="11"/>
      <c r="K294" s="11"/>
    </row>
    <row r="295" spans="1:11" s="9" customFormat="1" ht="13.2">
      <c r="A295" s="6"/>
      <c r="B295" s="6"/>
      <c r="C295" s="6"/>
      <c r="D295" s="6"/>
      <c r="E295" s="6"/>
      <c r="F295" s="12"/>
      <c r="G295" s="12"/>
      <c r="H295" s="12"/>
      <c r="I295" s="12"/>
      <c r="J295" s="12"/>
      <c r="K295" s="12"/>
    </row>
    <row r="296" spans="1:11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  <c r="K296" s="8"/>
    </row>
    <row r="297" spans="1:11" s="9" customFormat="1" ht="13.2">
      <c r="A297" s="6"/>
      <c r="B297" s="6"/>
      <c r="C297" s="6"/>
      <c r="D297" s="6"/>
      <c r="E297" s="6"/>
      <c r="F297" s="12"/>
      <c r="G297" s="12"/>
      <c r="H297" s="12"/>
      <c r="I297" s="12"/>
      <c r="J297" s="12"/>
      <c r="K297" s="12"/>
    </row>
    <row r="298" spans="1:11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  <c r="K298" s="8"/>
    </row>
    <row r="299" spans="1:11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  <c r="K299" s="8"/>
    </row>
    <row r="300" spans="1:11" s="9" customFormat="1" ht="13.2">
      <c r="A300" s="6"/>
      <c r="B300" s="6"/>
      <c r="C300" s="6"/>
      <c r="D300" s="6"/>
      <c r="E300" s="6"/>
      <c r="F300" s="12"/>
      <c r="G300" s="12"/>
      <c r="H300" s="12"/>
      <c r="I300" s="12"/>
      <c r="J300" s="12"/>
      <c r="K300" s="12"/>
    </row>
    <row r="301" spans="1:11" s="9" customFormat="1" ht="13.2">
      <c r="A301" s="6"/>
      <c r="B301" s="6"/>
      <c r="C301" s="6"/>
      <c r="D301" s="6"/>
      <c r="E301" s="6"/>
      <c r="F301" s="8"/>
      <c r="G301" s="8"/>
      <c r="H301" s="8"/>
      <c r="I301" s="8"/>
      <c r="J301" s="8"/>
      <c r="K301" s="8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11"/>
      <c r="G303" s="11"/>
      <c r="H303" s="11"/>
      <c r="I303" s="11"/>
      <c r="J303" s="11"/>
      <c r="K303" s="11"/>
    </row>
    <row r="304" spans="1:11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  <c r="K304" s="8"/>
    </row>
    <row r="305" spans="1:11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  <c r="K305" s="8"/>
    </row>
    <row r="306" spans="1:11" s="9" customFormat="1" ht="13.2">
      <c r="A306" s="6"/>
      <c r="B306" s="6"/>
      <c r="C306" s="6"/>
      <c r="D306" s="6"/>
      <c r="E306" s="6"/>
      <c r="F306" s="8"/>
      <c r="G306" s="8"/>
      <c r="H306" s="8"/>
      <c r="I306" s="8"/>
      <c r="J306" s="8"/>
      <c r="K306" s="8"/>
    </row>
    <row r="307" spans="1:11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  <c r="K307" s="11"/>
    </row>
    <row r="308" spans="1:11" s="9" customFormat="1" ht="13.2">
      <c r="A308" s="6"/>
      <c r="B308" s="6"/>
      <c r="C308" s="6"/>
      <c r="D308" s="6"/>
      <c r="E308" s="6"/>
      <c r="F308" s="8"/>
      <c r="G308" s="8"/>
      <c r="H308" s="8"/>
      <c r="I308" s="8"/>
      <c r="J308" s="8"/>
      <c r="K308" s="8"/>
    </row>
    <row r="309" spans="1:11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  <c r="K309" s="8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  <c r="K311" s="8"/>
    </row>
    <row r="312" spans="1:11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  <c r="K312" s="8"/>
    </row>
    <row r="313" spans="1:11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  <c r="K313" s="8"/>
    </row>
    <row r="314" spans="1:11" s="9" customFormat="1" ht="13.2">
      <c r="A314" s="6"/>
      <c r="B314" s="6"/>
      <c r="C314" s="6"/>
      <c r="D314" s="6"/>
      <c r="E314" s="6"/>
      <c r="F314" s="10"/>
      <c r="G314" s="10"/>
      <c r="H314" s="10"/>
      <c r="I314" s="10"/>
      <c r="J314" s="10"/>
      <c r="K314" s="10"/>
    </row>
    <row r="315" spans="1:11" s="9" customFormat="1" ht="13.2">
      <c r="A315" s="6"/>
      <c r="B315" s="6"/>
      <c r="C315" s="6"/>
      <c r="D315" s="6"/>
      <c r="E315" s="6"/>
      <c r="F315" s="11"/>
      <c r="G315" s="11"/>
      <c r="H315" s="11"/>
      <c r="I315" s="11"/>
      <c r="J315" s="11"/>
      <c r="K315" s="11"/>
    </row>
    <row r="316" spans="1:11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</row>
    <row r="317" spans="1:11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  <c r="K317" s="11"/>
    </row>
    <row r="318" spans="1:11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  <c r="K318" s="8"/>
    </row>
    <row r="319" spans="1:11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  <c r="K319" s="8"/>
    </row>
    <row r="320" spans="1:11" s="9" customFormat="1" ht="13.2">
      <c r="A320" s="6"/>
      <c r="B320" s="6"/>
      <c r="C320" s="6"/>
      <c r="D320" s="6"/>
      <c r="E320" s="6"/>
      <c r="F320" s="11"/>
      <c r="G320" s="11"/>
      <c r="H320" s="11"/>
      <c r="I320" s="11"/>
      <c r="J320" s="11"/>
      <c r="K320" s="11"/>
    </row>
    <row r="321" spans="1:11" s="9" customFormat="1" ht="13.2">
      <c r="A321" s="6"/>
      <c r="B321" s="6"/>
      <c r="C321" s="6"/>
      <c r="D321" s="6"/>
      <c r="E321" s="6"/>
      <c r="F321" s="11"/>
      <c r="G321" s="11"/>
      <c r="H321" s="11"/>
      <c r="I321" s="11"/>
      <c r="J321" s="11"/>
      <c r="K321" s="11"/>
    </row>
    <row r="322" spans="1:11" s="9" customFormat="1" ht="13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 s="9" customFormat="1" ht="13.2">
      <c r="A323" s="6"/>
      <c r="B323" s="6"/>
      <c r="C323" s="6"/>
      <c r="D323" s="6"/>
      <c r="E323" s="6"/>
      <c r="F323" s="11"/>
      <c r="G323" s="11"/>
      <c r="H323" s="11"/>
      <c r="I323" s="11"/>
      <c r="J323" s="11"/>
      <c r="K323" s="11"/>
    </row>
    <row r="324" spans="1:11" s="9" customFormat="1" ht="13.2">
      <c r="A324" s="6"/>
      <c r="B324" s="6"/>
      <c r="C324" s="6"/>
      <c r="D324" s="6"/>
      <c r="E324" s="6"/>
      <c r="F324" s="11"/>
      <c r="G324" s="11"/>
      <c r="H324" s="11"/>
      <c r="I324" s="11"/>
      <c r="J324" s="11"/>
      <c r="K324" s="11"/>
    </row>
    <row r="325" spans="1:11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  <c r="K325" s="8"/>
    </row>
    <row r="326" spans="1:11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</row>
    <row r="327" spans="1:11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</row>
    <row r="328" spans="1:11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  <c r="K328" s="8"/>
    </row>
    <row r="329" spans="1:11" s="9" customFormat="1" ht="13.2">
      <c r="A329" s="6"/>
      <c r="B329" s="6"/>
      <c r="C329" s="6"/>
      <c r="D329" s="6"/>
      <c r="E329" s="6"/>
      <c r="F329" s="8"/>
      <c r="G329" s="8"/>
      <c r="H329" s="8"/>
      <c r="I329" s="8"/>
      <c r="J329" s="8"/>
      <c r="K329" s="8"/>
    </row>
    <row r="330" spans="1:11" s="9" customFormat="1" ht="13.2">
      <c r="A330" s="6"/>
      <c r="B330" s="6"/>
      <c r="C330" s="6"/>
      <c r="D330" s="6"/>
      <c r="E330" s="6"/>
      <c r="F330" s="7"/>
      <c r="G330" s="7"/>
      <c r="H330" s="7"/>
      <c r="I330" s="7"/>
      <c r="J330" s="7"/>
      <c r="K330" s="7"/>
    </row>
    <row r="331" spans="1:11" s="9" customFormat="1" ht="13.2">
      <c r="A331" s="6"/>
      <c r="B331" s="6"/>
      <c r="C331" s="6"/>
      <c r="D331" s="6"/>
      <c r="E331" s="6"/>
      <c r="F331" s="7"/>
      <c r="G331" s="7"/>
      <c r="H331" s="7"/>
      <c r="I331" s="7"/>
      <c r="J331" s="7"/>
      <c r="K331" s="7"/>
    </row>
    <row r="332" spans="1:11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  <c r="K332" s="8"/>
    </row>
    <row r="333" spans="1:11" s="9" customFormat="1" ht="13.2">
      <c r="A333" s="6"/>
      <c r="B333" s="6"/>
      <c r="C333" s="6"/>
      <c r="D333" s="6"/>
      <c r="E333" s="6"/>
      <c r="F333" s="11"/>
      <c r="G333" s="11"/>
      <c r="H333" s="11"/>
      <c r="I333" s="11"/>
      <c r="J333" s="11"/>
      <c r="K333" s="11"/>
    </row>
    <row r="334" spans="1:11" s="9" customFormat="1" ht="13.2">
      <c r="A334" s="6"/>
      <c r="B334" s="6"/>
      <c r="C334" s="6"/>
      <c r="D334" s="6"/>
      <c r="E334" s="6"/>
      <c r="F334" s="7"/>
      <c r="G334" s="7"/>
      <c r="H334" s="7"/>
      <c r="I334" s="7"/>
      <c r="J334" s="7"/>
      <c r="K334" s="7"/>
    </row>
    <row r="335" spans="1:11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  <c r="K335" s="8"/>
    </row>
    <row r="336" spans="1:11" s="9" customFormat="1" ht="13.2">
      <c r="A336" s="6"/>
      <c r="B336" s="6"/>
      <c r="C336" s="6"/>
      <c r="D336" s="6"/>
      <c r="E336" s="6"/>
      <c r="F336" s="7"/>
      <c r="G336" s="7"/>
      <c r="H336" s="7"/>
      <c r="I336" s="7"/>
      <c r="J336" s="7"/>
      <c r="K336" s="7"/>
    </row>
    <row r="337" spans="1:11" s="9" customFormat="1" ht="13.2">
      <c r="A337" s="6"/>
      <c r="B337" s="6"/>
      <c r="C337" s="6"/>
      <c r="D337" s="6"/>
      <c r="E337" s="6"/>
      <c r="F337" s="7"/>
      <c r="G337" s="7"/>
      <c r="H337" s="7"/>
      <c r="I337" s="7"/>
      <c r="J337" s="7"/>
      <c r="K337" s="7"/>
    </row>
    <row r="338" spans="1:11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  <c r="K338" s="8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  <c r="K343" s="8"/>
    </row>
    <row r="344" spans="1:11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  <c r="K344" s="8"/>
    </row>
    <row r="345" spans="1:11" s="9" customFormat="1" ht="13.2">
      <c r="A345" s="6"/>
      <c r="B345" s="6"/>
      <c r="C345" s="6"/>
      <c r="D345" s="6"/>
      <c r="E345" s="6"/>
      <c r="F345" s="7"/>
      <c r="G345" s="7"/>
      <c r="H345" s="7"/>
      <c r="I345" s="7"/>
      <c r="J345" s="7"/>
      <c r="K345" s="7"/>
    </row>
    <row r="346" spans="1:11" s="9" customFormat="1" ht="13.2">
      <c r="A346" s="6"/>
      <c r="B346" s="6"/>
      <c r="C346" s="6"/>
      <c r="D346" s="6"/>
      <c r="E346" s="6"/>
      <c r="F346" s="7"/>
      <c r="G346" s="7"/>
      <c r="H346" s="7"/>
      <c r="I346" s="7"/>
      <c r="J346" s="7"/>
      <c r="K346" s="7"/>
    </row>
    <row r="347" spans="1:11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</row>
    <row r="348" spans="1:11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</row>
    <row r="360" spans="1:11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8"/>
      <c r="G371" s="8"/>
      <c r="H371" s="8"/>
      <c r="I371" s="8"/>
      <c r="J371" s="8"/>
      <c r="K371" s="8"/>
    </row>
    <row r="372" spans="1:11" s="9" customFormat="1" ht="13.2">
      <c r="A372" s="6"/>
      <c r="B372" s="6"/>
      <c r="C372" s="6"/>
      <c r="D372" s="6"/>
      <c r="E372" s="6"/>
      <c r="F372" s="8"/>
      <c r="G372" s="8"/>
      <c r="H372" s="8"/>
      <c r="I372" s="8"/>
      <c r="J372" s="8"/>
      <c r="K372" s="8"/>
    </row>
    <row r="373" spans="1:11" s="9" customFormat="1" ht="13.2">
      <c r="A373" s="6"/>
      <c r="B373" s="6"/>
      <c r="C373" s="6"/>
      <c r="D373" s="6"/>
      <c r="E373" s="6"/>
      <c r="F373" s="8"/>
      <c r="G373" s="8"/>
      <c r="H373" s="8"/>
      <c r="I373" s="8"/>
      <c r="J373" s="8"/>
      <c r="K373" s="8"/>
    </row>
    <row r="374" spans="1:11" s="9" customFormat="1" ht="13.2">
      <c r="A374" s="6"/>
      <c r="B374" s="6"/>
      <c r="C374" s="6"/>
      <c r="D374" s="6"/>
      <c r="E374" s="6"/>
      <c r="F374" s="10"/>
      <c r="G374" s="10"/>
      <c r="H374" s="10"/>
      <c r="I374" s="10"/>
      <c r="J374" s="10"/>
      <c r="K374" s="10"/>
    </row>
    <row r="375" spans="1:11" s="9" customFormat="1" ht="13.2">
      <c r="A375" s="6"/>
      <c r="B375" s="6"/>
      <c r="C375" s="6"/>
      <c r="D375" s="6"/>
      <c r="E375" s="6"/>
      <c r="F375" s="10"/>
      <c r="G375" s="10"/>
      <c r="H375" s="10"/>
      <c r="I375" s="10"/>
      <c r="J375" s="10"/>
      <c r="K375" s="10"/>
    </row>
    <row r="376" spans="1:11" s="9" customFormat="1" ht="13.2">
      <c r="A376" s="6"/>
      <c r="B376" s="6"/>
      <c r="C376" s="6"/>
      <c r="D376" s="6"/>
      <c r="E376" s="6"/>
      <c r="F376" s="10"/>
      <c r="G376" s="10"/>
      <c r="H376" s="10"/>
      <c r="I376" s="10"/>
      <c r="J376" s="10"/>
      <c r="K376" s="10"/>
    </row>
    <row r="377" spans="1:11" s="9" customFormat="1" ht="13.2">
      <c r="A377" s="6"/>
      <c r="B377" s="6"/>
      <c r="C377" s="6"/>
      <c r="D377" s="6"/>
      <c r="E377" s="6"/>
      <c r="F377" s="8"/>
      <c r="G377" s="8"/>
      <c r="H377" s="8"/>
      <c r="I377" s="8"/>
      <c r="J377" s="8"/>
      <c r="K377" s="8"/>
    </row>
    <row r="378" spans="1:11" s="9" customFormat="1" ht="13.2">
      <c r="A378" s="6"/>
      <c r="B378" s="6"/>
      <c r="C378" s="6"/>
      <c r="D378" s="6"/>
      <c r="E378" s="6"/>
      <c r="F378" s="8"/>
      <c r="G378" s="8"/>
      <c r="H378" s="8"/>
      <c r="I378" s="8"/>
      <c r="J378" s="8"/>
      <c r="K378" s="8"/>
    </row>
    <row r="379" spans="1:11" s="9" customFormat="1" ht="13.2">
      <c r="A379" s="6"/>
      <c r="B379" s="6"/>
      <c r="C379" s="6"/>
      <c r="D379" s="6"/>
      <c r="E379" s="6"/>
      <c r="F379" s="10"/>
      <c r="G379" s="10"/>
      <c r="H379" s="10"/>
      <c r="I379" s="10"/>
      <c r="J379" s="10"/>
      <c r="K379" s="10"/>
    </row>
    <row r="380" spans="1:11" s="9" customFormat="1" ht="13.2">
      <c r="A380" s="6"/>
      <c r="B380" s="6"/>
      <c r="C380" s="6"/>
      <c r="D380" s="6"/>
      <c r="E380" s="6"/>
      <c r="F380" s="10"/>
      <c r="G380" s="10"/>
      <c r="H380" s="10"/>
      <c r="I380" s="10"/>
      <c r="J380" s="10"/>
      <c r="K380" s="10"/>
    </row>
    <row r="381" spans="1:11" s="9" customFormat="1" ht="13.2">
      <c r="A381" s="6"/>
      <c r="B381" s="6"/>
      <c r="C381" s="6"/>
      <c r="D381" s="6"/>
      <c r="E381" s="6"/>
      <c r="F381" s="10"/>
      <c r="G381" s="10"/>
      <c r="H381" s="10"/>
      <c r="I381" s="10"/>
      <c r="J381" s="10"/>
      <c r="K381" s="10"/>
    </row>
    <row r="382" spans="1:11" s="9" customFormat="1" ht="13.2">
      <c r="A382" s="6"/>
      <c r="B382" s="6"/>
      <c r="C382" s="6"/>
      <c r="D382" s="6"/>
      <c r="E382" s="6"/>
      <c r="F382" s="8"/>
      <c r="G382" s="8"/>
      <c r="H382" s="8"/>
      <c r="I382" s="8"/>
      <c r="J382" s="8"/>
      <c r="K382" s="8"/>
    </row>
    <row r="383" spans="1:11" s="9" customFormat="1" ht="13.2">
      <c r="A383" s="6"/>
      <c r="B383" s="6"/>
      <c r="C383" s="6"/>
      <c r="D383" s="6"/>
      <c r="E383" s="6"/>
      <c r="F383" s="8"/>
      <c r="G383" s="8"/>
      <c r="H383" s="8"/>
      <c r="I383" s="8"/>
      <c r="J383" s="8"/>
      <c r="K383" s="8"/>
    </row>
    <row r="384" spans="1:11" s="9" customFormat="1" ht="13.2">
      <c r="A384" s="6"/>
      <c r="B384" s="6"/>
      <c r="C384" s="6"/>
      <c r="D384" s="6"/>
      <c r="E384" s="6"/>
      <c r="F384" s="8"/>
      <c r="G384" s="8"/>
      <c r="H384" s="8"/>
      <c r="I384" s="8"/>
      <c r="J384" s="8"/>
      <c r="K384" s="8"/>
    </row>
    <row r="385" spans="1:11" s="9" customFormat="1" ht="13.2">
      <c r="A385" s="6"/>
      <c r="B385" s="6"/>
      <c r="C385" s="6"/>
      <c r="D385" s="6"/>
      <c r="E385" s="6"/>
      <c r="F385" s="12"/>
      <c r="G385" s="12"/>
      <c r="H385" s="12"/>
      <c r="I385" s="12"/>
      <c r="J385" s="12"/>
      <c r="K385" s="12"/>
    </row>
    <row r="386" spans="1:11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  <c r="K386" s="12"/>
    </row>
    <row r="387" spans="1:11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  <c r="K387" s="12"/>
    </row>
    <row r="388" spans="1:11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  <c r="K388" s="12"/>
    </row>
    <row r="389" spans="1:11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  <c r="K389" s="12"/>
    </row>
    <row r="390" spans="1:11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</row>
    <row r="391" spans="1:11" s="9" customFormat="1" ht="13.2">
      <c r="A391" s="13"/>
      <c r="B391" s="13"/>
      <c r="C391" s="13"/>
      <c r="D391" s="13"/>
      <c r="E391" s="13"/>
      <c r="F391" s="12"/>
      <c r="G391" s="12"/>
      <c r="H391" s="12"/>
      <c r="I391" s="12"/>
      <c r="J391" s="12"/>
      <c r="K391" s="12"/>
    </row>
    <row r="392" spans="1:11" s="9" customFormat="1" ht="13.2">
      <c r="A392" s="13"/>
      <c r="B392" s="13"/>
      <c r="C392" s="13"/>
      <c r="D392" s="13"/>
      <c r="E392" s="13"/>
      <c r="F392" s="12"/>
      <c r="G392" s="12"/>
      <c r="H392" s="12"/>
      <c r="I392" s="12"/>
      <c r="J392" s="12"/>
      <c r="K392" s="12"/>
    </row>
    <row r="393" spans="1:11" s="9" customFormat="1" ht="13.2">
      <c r="A393" s="13"/>
      <c r="B393" s="13"/>
      <c r="C393" s="13"/>
      <c r="D393" s="13"/>
      <c r="E393" s="13"/>
      <c r="F393" s="12"/>
      <c r="G393" s="12"/>
      <c r="H393" s="12"/>
      <c r="I393" s="12"/>
      <c r="J393" s="12"/>
      <c r="K393" s="12"/>
    </row>
    <row r="394" spans="1:11" s="9" customFormat="1" ht="13.2">
      <c r="A394" s="13"/>
      <c r="B394" s="13"/>
      <c r="C394" s="13"/>
      <c r="D394" s="13"/>
      <c r="E394" s="13"/>
      <c r="F394" s="11"/>
      <c r="G394" s="11"/>
      <c r="H394" s="11"/>
      <c r="I394" s="11"/>
      <c r="J394" s="11"/>
      <c r="K394" s="11"/>
    </row>
    <row r="395" spans="1:11" s="9" customFormat="1" ht="13.2">
      <c r="A395" s="13"/>
      <c r="B395" s="13"/>
      <c r="C395" s="13"/>
      <c r="D395" s="13"/>
      <c r="E395" s="13"/>
      <c r="F395" s="11"/>
      <c r="G395" s="11"/>
      <c r="H395" s="11"/>
      <c r="I395" s="11"/>
      <c r="J395" s="11"/>
      <c r="K395" s="11"/>
    </row>
    <row r="396" spans="1:11" s="9" customFormat="1" ht="13.2">
      <c r="A396" s="13"/>
      <c r="B396" s="13"/>
      <c r="C396" s="13"/>
      <c r="D396" s="13"/>
      <c r="E396" s="13"/>
      <c r="F396" s="11"/>
      <c r="G396" s="11"/>
      <c r="H396" s="11"/>
      <c r="I396" s="11"/>
      <c r="J396" s="11"/>
      <c r="K396" s="11"/>
    </row>
    <row r="397" spans="1:11" s="9" customFormat="1" ht="13.2">
      <c r="A397" s="13"/>
      <c r="B397" s="13"/>
      <c r="C397" s="13"/>
      <c r="D397" s="13"/>
      <c r="E397" s="13"/>
      <c r="F397" s="11"/>
      <c r="G397" s="11"/>
      <c r="H397" s="11"/>
      <c r="I397" s="11"/>
      <c r="J397" s="11"/>
      <c r="K397" s="11"/>
    </row>
    <row r="398" spans="1:11" s="9" customFormat="1" ht="13.2">
      <c r="A398" s="13"/>
      <c r="B398" s="13"/>
      <c r="C398" s="13"/>
      <c r="D398" s="13"/>
      <c r="E398" s="13"/>
      <c r="F398" s="12"/>
      <c r="G398" s="12"/>
      <c r="H398" s="12"/>
      <c r="I398" s="12"/>
      <c r="J398" s="12"/>
      <c r="K398" s="12"/>
    </row>
    <row r="399" spans="1:11" s="9" customFormat="1" ht="13.2">
      <c r="A399" s="13"/>
      <c r="B399" s="13"/>
      <c r="C399" s="13"/>
      <c r="D399" s="13"/>
      <c r="E399" s="13"/>
      <c r="F399" s="12"/>
      <c r="G399" s="12"/>
      <c r="H399" s="12"/>
      <c r="I399" s="12"/>
      <c r="J399" s="12"/>
      <c r="K399" s="12"/>
    </row>
    <row r="400" spans="1:11" s="9" customFormat="1" ht="13.2">
      <c r="A400" s="13"/>
      <c r="B400" s="13"/>
      <c r="C400" s="13"/>
      <c r="D400" s="13"/>
      <c r="E400" s="13"/>
      <c r="F400" s="12"/>
      <c r="G400" s="12"/>
      <c r="H400" s="12"/>
      <c r="I400" s="12"/>
      <c r="J400" s="12"/>
      <c r="K400" s="12"/>
    </row>
    <row r="401" spans="1:11" s="9" customFormat="1" ht="13.2">
      <c r="A401" s="13"/>
      <c r="B401" s="13"/>
      <c r="C401" s="13"/>
      <c r="D401" s="13"/>
      <c r="E401" s="13"/>
      <c r="F401" s="8"/>
      <c r="G401" s="8"/>
      <c r="H401" s="8"/>
      <c r="I401" s="8"/>
      <c r="J401" s="8"/>
      <c r="K401" s="8"/>
    </row>
    <row r="402" spans="1:11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  <c r="K402" s="12"/>
    </row>
    <row r="403" spans="1:11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  <c r="K403" s="12"/>
    </row>
    <row r="404" spans="1:11" s="9" customFormat="1" ht="13.2">
      <c r="A404" s="13"/>
      <c r="B404" s="13"/>
      <c r="C404" s="13"/>
      <c r="D404" s="13"/>
      <c r="E404" s="13"/>
      <c r="F404" s="14"/>
      <c r="G404" s="14"/>
      <c r="H404" s="14"/>
      <c r="I404" s="14"/>
      <c r="J404" s="14"/>
      <c r="K404" s="14"/>
    </row>
    <row r="405" spans="1:11" s="9" customFormat="1" ht="13.2">
      <c r="A405" s="13"/>
      <c r="B405" s="13"/>
      <c r="C405" s="13"/>
      <c r="D405" s="13"/>
      <c r="E405" s="13"/>
      <c r="F405" s="14"/>
      <c r="G405" s="14"/>
      <c r="H405" s="14"/>
      <c r="I405" s="14"/>
      <c r="J405" s="14"/>
      <c r="K405" s="14"/>
    </row>
    <row r="406" spans="1:11" s="9" customFormat="1" ht="13.2">
      <c r="A406" s="13"/>
      <c r="B406" s="13"/>
      <c r="C406" s="13"/>
      <c r="D406" s="13"/>
      <c r="E406" s="13"/>
      <c r="F406" s="14"/>
      <c r="G406" s="14"/>
      <c r="H406" s="14"/>
      <c r="I406" s="14"/>
      <c r="J406" s="14"/>
      <c r="K406" s="14"/>
    </row>
    <row r="407" spans="1:11" s="9" customFormat="1" ht="13.2">
      <c r="A407" s="13"/>
      <c r="B407" s="13"/>
      <c r="C407" s="13"/>
      <c r="D407" s="13"/>
      <c r="E407" s="13"/>
      <c r="F407" s="14"/>
      <c r="G407" s="14"/>
      <c r="H407" s="14"/>
      <c r="I407" s="14"/>
      <c r="J407" s="14"/>
      <c r="K407" s="14"/>
    </row>
    <row r="408" spans="1:11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</row>
    <row r="409" spans="1:11" s="9" customFormat="1" ht="13.2">
      <c r="A409" s="13"/>
      <c r="B409" s="13"/>
      <c r="C409" s="13"/>
      <c r="D409" s="13"/>
      <c r="E409" s="13"/>
      <c r="F409" s="14"/>
      <c r="G409" s="14"/>
      <c r="H409" s="14"/>
      <c r="I409" s="14"/>
      <c r="J409" s="14"/>
      <c r="K409" s="14"/>
    </row>
    <row r="410" spans="1:11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  <c r="K410" s="14"/>
    </row>
    <row r="411" spans="1:11" s="9" customFormat="1" ht="13.2">
      <c r="A411" s="13"/>
      <c r="B411" s="13"/>
      <c r="C411" s="13"/>
      <c r="D411" s="13"/>
      <c r="E411" s="13"/>
      <c r="F411" s="10"/>
      <c r="G411" s="10"/>
      <c r="H411" s="10"/>
      <c r="I411" s="10"/>
      <c r="J411" s="10"/>
      <c r="K411" s="10"/>
    </row>
    <row r="412" spans="1:11" s="9" customFormat="1" ht="13.2">
      <c r="A412" s="13"/>
      <c r="B412" s="13"/>
      <c r="C412" s="13"/>
      <c r="D412" s="13"/>
      <c r="E412" s="13"/>
      <c r="F412" s="14"/>
      <c r="G412" s="14"/>
      <c r="H412" s="14"/>
      <c r="I412" s="14"/>
      <c r="J412" s="14"/>
      <c r="K412" s="14"/>
    </row>
    <row r="413" spans="1:11" s="9" customFormat="1" ht="13.2">
      <c r="A413" s="13"/>
      <c r="B413" s="13"/>
      <c r="C413" s="13"/>
      <c r="D413" s="13"/>
      <c r="E413" s="13"/>
      <c r="F413" s="14"/>
      <c r="G413" s="14"/>
      <c r="H413" s="14"/>
      <c r="I413" s="14"/>
      <c r="J413" s="14"/>
      <c r="K413" s="14"/>
    </row>
    <row r="414" spans="1:11" s="9" customFormat="1" ht="13.2">
      <c r="A414" s="13"/>
      <c r="B414" s="13"/>
      <c r="C414" s="13"/>
      <c r="D414" s="13"/>
      <c r="E414" s="13"/>
      <c r="F414" s="14"/>
      <c r="G414" s="14"/>
      <c r="H414" s="14"/>
      <c r="I414" s="14"/>
      <c r="J414" s="14"/>
      <c r="K414" s="14"/>
    </row>
    <row r="415" spans="1:11" s="9" customFormat="1" ht="13.2">
      <c r="A415" s="13"/>
      <c r="B415" s="13"/>
      <c r="C415" s="13"/>
      <c r="D415" s="13"/>
      <c r="E415" s="13"/>
      <c r="F415" s="8"/>
      <c r="G415" s="8"/>
      <c r="H415" s="8"/>
      <c r="I415" s="8"/>
      <c r="J415" s="8"/>
      <c r="K415" s="8"/>
    </row>
    <row r="416" spans="1:11" s="9" customFormat="1" ht="13.2">
      <c r="A416" s="13"/>
      <c r="B416" s="13"/>
      <c r="C416" s="13"/>
      <c r="D416" s="13"/>
      <c r="E416" s="13"/>
      <c r="F416" s="14"/>
      <c r="G416" s="14"/>
      <c r="H416" s="14"/>
      <c r="I416" s="14"/>
      <c r="J416" s="14"/>
      <c r="K416" s="14"/>
    </row>
    <row r="417" spans="1:11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  <c r="K417" s="10"/>
    </row>
    <row r="418" spans="1:11" s="9" customFormat="1" ht="13.2">
      <c r="A418" s="13"/>
      <c r="B418" s="13"/>
      <c r="C418" s="13"/>
      <c r="D418" s="13"/>
      <c r="E418" s="13"/>
      <c r="F418" s="12"/>
      <c r="G418" s="12"/>
      <c r="H418" s="12"/>
      <c r="I418" s="12"/>
      <c r="J418" s="12"/>
      <c r="K418" s="12"/>
    </row>
    <row r="419" spans="1:11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  <c r="K419" s="12"/>
    </row>
    <row r="420" spans="1:11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  <c r="K420" s="12"/>
    </row>
    <row r="421" spans="1:11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  <c r="K421" s="12"/>
    </row>
    <row r="422" spans="1:11" s="9" customFormat="1" ht="13.2">
      <c r="A422" s="13"/>
      <c r="B422" s="13"/>
      <c r="C422" s="13"/>
      <c r="D422" s="13"/>
      <c r="E422" s="13"/>
      <c r="F422" s="12"/>
      <c r="G422" s="12"/>
      <c r="H422" s="12"/>
      <c r="I422" s="12"/>
      <c r="J422" s="12"/>
      <c r="K422" s="12"/>
    </row>
    <row r="423" spans="1:11" s="9" customFormat="1" ht="13.2">
      <c r="A423" s="13"/>
      <c r="B423" s="13"/>
      <c r="C423" s="13"/>
      <c r="D423" s="13"/>
      <c r="E423" s="13"/>
      <c r="F423" s="12"/>
      <c r="G423" s="12"/>
      <c r="H423" s="12"/>
      <c r="I423" s="12"/>
      <c r="J423" s="12"/>
      <c r="K423" s="12"/>
    </row>
    <row r="424" spans="1:11" s="9" customFormat="1" ht="13.2">
      <c r="A424" s="13"/>
      <c r="B424" s="13"/>
      <c r="C424" s="13"/>
      <c r="D424" s="13"/>
      <c r="E424" s="13"/>
      <c r="F424" s="14"/>
      <c r="G424" s="14"/>
      <c r="H424" s="14"/>
      <c r="I424" s="14"/>
      <c r="J424" s="14"/>
      <c r="K424" s="14"/>
    </row>
    <row r="425" spans="1:11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  <c r="K425" s="8"/>
    </row>
    <row r="426" spans="1:11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  <c r="K426" s="8"/>
    </row>
    <row r="427" spans="1:11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  <c r="K427" s="8"/>
    </row>
    <row r="428" spans="1:11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  <c r="K428" s="8"/>
    </row>
    <row r="429" spans="1:11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  <c r="K429" s="8"/>
    </row>
    <row r="430" spans="1:11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  <c r="K430" s="8"/>
    </row>
    <row r="431" spans="1:11" s="9" customFormat="1" ht="13.2">
      <c r="A431" s="13"/>
      <c r="B431" s="13"/>
      <c r="C431" s="13"/>
      <c r="D431" s="13"/>
      <c r="E431" s="13"/>
      <c r="F431" s="10"/>
      <c r="G431" s="10"/>
      <c r="H431" s="10"/>
      <c r="I431" s="10"/>
      <c r="J431" s="10"/>
      <c r="K431" s="10"/>
    </row>
    <row r="432" spans="1:11" s="9" customFormat="1" ht="13.2">
      <c r="A432" s="13"/>
      <c r="B432" s="13"/>
      <c r="C432" s="13"/>
      <c r="D432" s="13"/>
      <c r="E432" s="13"/>
      <c r="F432" s="10"/>
      <c r="G432" s="10"/>
      <c r="H432" s="10"/>
      <c r="I432" s="10"/>
      <c r="J432" s="10"/>
      <c r="K432" s="10"/>
    </row>
    <row r="433" spans="1:11" s="9" customFormat="1" ht="13.2">
      <c r="A433" s="13"/>
      <c r="B433" s="13"/>
      <c r="C433" s="13"/>
      <c r="D433" s="13"/>
      <c r="E433" s="13"/>
      <c r="F433" s="10"/>
      <c r="G433" s="10"/>
      <c r="H433" s="10"/>
      <c r="I433" s="10"/>
      <c r="J433" s="10"/>
      <c r="K433" s="10"/>
    </row>
    <row r="434" spans="1:11" s="9" customFormat="1" ht="13.2">
      <c r="A434" s="13"/>
      <c r="B434" s="13"/>
      <c r="C434" s="13"/>
      <c r="D434" s="13"/>
      <c r="E434" s="13"/>
      <c r="F434" s="10"/>
      <c r="G434" s="10"/>
      <c r="H434" s="10"/>
      <c r="I434" s="10"/>
      <c r="J434" s="10"/>
      <c r="K434" s="10"/>
    </row>
    <row r="435" spans="1:11" s="9" customFormat="1" ht="13.2">
      <c r="A435" s="13"/>
      <c r="B435" s="13"/>
      <c r="C435" s="13"/>
      <c r="D435" s="13"/>
      <c r="E435" s="13"/>
      <c r="F435" s="12"/>
      <c r="G435" s="12"/>
      <c r="H435" s="12"/>
      <c r="I435" s="12"/>
      <c r="J435" s="12"/>
      <c r="K435" s="12"/>
    </row>
    <row r="436" spans="1:11" s="9" customFormat="1" ht="13.2">
      <c r="A436" s="13"/>
      <c r="B436" s="13"/>
      <c r="C436" s="13"/>
      <c r="D436" s="13"/>
      <c r="E436" s="13"/>
      <c r="F436" s="12"/>
      <c r="G436" s="12"/>
      <c r="H436" s="12"/>
      <c r="I436" s="12"/>
      <c r="J436" s="12"/>
      <c r="K436" s="12"/>
    </row>
    <row r="437" spans="1:11" s="9" customFormat="1" ht="13.2">
      <c r="A437" s="13"/>
      <c r="B437" s="13"/>
      <c r="C437" s="13"/>
      <c r="D437" s="13"/>
      <c r="E437" s="13"/>
      <c r="F437" s="12"/>
      <c r="G437" s="12"/>
      <c r="H437" s="12"/>
      <c r="I437" s="12"/>
      <c r="J437" s="12"/>
      <c r="K437" s="12"/>
    </row>
    <row r="438" spans="1:11" s="9" customFormat="1" ht="13.2">
      <c r="A438" s="13"/>
      <c r="B438" s="13"/>
      <c r="C438" s="13"/>
      <c r="D438" s="13"/>
      <c r="E438" s="13"/>
      <c r="F438" s="8"/>
      <c r="G438" s="8"/>
      <c r="H438" s="8"/>
      <c r="I438" s="8"/>
      <c r="J438" s="8"/>
      <c r="K438" s="8"/>
    </row>
    <row r="439" spans="1:11" s="9" customFormat="1" ht="13.2">
      <c r="A439" s="13"/>
      <c r="B439" s="13"/>
      <c r="C439" s="13"/>
      <c r="D439" s="13"/>
      <c r="E439" s="13"/>
      <c r="F439" s="8"/>
      <c r="G439" s="8"/>
      <c r="H439" s="8"/>
      <c r="I439" s="8"/>
      <c r="J439" s="8"/>
      <c r="K439" s="8"/>
    </row>
    <row r="440" spans="1:11" s="9" customFormat="1" ht="13.2">
      <c r="A440" s="13"/>
      <c r="B440" s="13"/>
      <c r="C440" s="13"/>
      <c r="D440" s="13"/>
      <c r="E440" s="13"/>
      <c r="F440" s="12"/>
      <c r="G440" s="12"/>
      <c r="H440" s="12"/>
      <c r="I440" s="12"/>
      <c r="J440" s="12"/>
      <c r="K440" s="12"/>
    </row>
    <row r="441" spans="1:11" s="9" customFormat="1" ht="13.2">
      <c r="A441" s="13"/>
      <c r="B441" s="13"/>
      <c r="C441" s="13"/>
      <c r="D441" s="13"/>
      <c r="E441" s="13"/>
      <c r="F441" s="12"/>
      <c r="G441" s="12"/>
      <c r="H441" s="12"/>
      <c r="I441" s="12"/>
      <c r="J441" s="12"/>
      <c r="K441" s="12"/>
    </row>
    <row r="442" spans="1:11" s="9" customFormat="1" ht="13.2">
      <c r="A442" s="13"/>
      <c r="B442" s="13"/>
      <c r="C442" s="13"/>
      <c r="D442" s="13"/>
      <c r="E442" s="13"/>
      <c r="F442" s="8"/>
      <c r="G442" s="8"/>
      <c r="H442" s="8"/>
      <c r="I442" s="8"/>
      <c r="J442" s="8"/>
      <c r="K442" s="8"/>
    </row>
    <row r="443" spans="1:11" s="9" customFormat="1" ht="13.2">
      <c r="A443" s="13"/>
      <c r="B443" s="13"/>
      <c r="C443" s="13"/>
      <c r="D443" s="13"/>
      <c r="E443" s="13"/>
      <c r="F443" s="8"/>
      <c r="G443" s="8"/>
      <c r="H443" s="8"/>
      <c r="I443" s="8"/>
      <c r="J443" s="8"/>
      <c r="K443" s="8"/>
    </row>
    <row r="444" spans="1:11" s="9" customFormat="1" ht="13.2">
      <c r="A444" s="13"/>
      <c r="B444" s="13"/>
      <c r="C444" s="13"/>
      <c r="D444" s="13"/>
      <c r="E444" s="13"/>
      <c r="F444" s="8"/>
      <c r="G444" s="8"/>
      <c r="H444" s="8"/>
      <c r="I444" s="8"/>
      <c r="J444" s="8"/>
      <c r="K444" s="8"/>
    </row>
    <row r="445" spans="1:11" s="9" customFormat="1" ht="13.2">
      <c r="A445" s="13"/>
      <c r="B445" s="13"/>
      <c r="C445" s="13"/>
      <c r="D445" s="13"/>
      <c r="E445" s="13"/>
      <c r="F445" s="8"/>
      <c r="G445" s="8"/>
      <c r="H445" s="8"/>
      <c r="I445" s="8"/>
      <c r="J445" s="8"/>
      <c r="K445" s="8"/>
    </row>
    <row r="446" spans="1:11" s="9" customFormat="1" ht="13.2">
      <c r="A446" s="13"/>
      <c r="B446" s="13"/>
      <c r="C446" s="13"/>
      <c r="D446" s="13"/>
      <c r="E446" s="13"/>
      <c r="F446" s="8"/>
      <c r="G446" s="8"/>
      <c r="H446" s="8"/>
      <c r="I446" s="8"/>
      <c r="J446" s="8"/>
      <c r="K446" s="8"/>
    </row>
    <row r="447" spans="1:11" s="9" customFormat="1" ht="13.2">
      <c r="A447" s="13"/>
      <c r="B447" s="13"/>
      <c r="C447" s="13"/>
      <c r="D447" s="13"/>
      <c r="E447" s="13"/>
      <c r="F447" s="8"/>
      <c r="G447" s="8"/>
      <c r="H447" s="8"/>
      <c r="I447" s="8"/>
      <c r="J447" s="8"/>
      <c r="K447" s="8"/>
    </row>
    <row r="448" spans="1:11" s="9" customFormat="1" ht="13.2">
      <c r="A448" s="13"/>
      <c r="B448" s="13"/>
      <c r="C448" s="13"/>
      <c r="D448" s="13"/>
      <c r="E448" s="13"/>
      <c r="F448" s="11"/>
      <c r="G448" s="11"/>
      <c r="H448" s="11"/>
      <c r="I448" s="11"/>
      <c r="J448" s="11"/>
      <c r="K448" s="11"/>
    </row>
    <row r="449" spans="1:11" s="9" customFormat="1" ht="13.2">
      <c r="A449" s="13"/>
      <c r="B449" s="13"/>
      <c r="C449" s="13"/>
      <c r="D449" s="13"/>
      <c r="E449" s="13"/>
      <c r="F449" s="11"/>
      <c r="G449" s="11"/>
      <c r="H449" s="11"/>
      <c r="I449" s="11"/>
      <c r="J449" s="11"/>
      <c r="K449" s="11"/>
    </row>
    <row r="450" spans="1:11" s="9" customFormat="1" ht="13.2">
      <c r="A450" s="13"/>
      <c r="B450" s="13"/>
      <c r="C450" s="13"/>
      <c r="D450" s="13"/>
      <c r="E450" s="13"/>
      <c r="F450" s="11"/>
      <c r="G450" s="11"/>
      <c r="H450" s="11"/>
      <c r="I450" s="11"/>
      <c r="J450" s="11"/>
      <c r="K450" s="11"/>
    </row>
    <row r="451" spans="1:11" s="9" customFormat="1" ht="13.2">
      <c r="A451" s="13"/>
      <c r="B451" s="13"/>
      <c r="C451" s="13"/>
      <c r="D451" s="13"/>
      <c r="E451" s="13"/>
      <c r="F451" s="11"/>
      <c r="G451" s="11"/>
      <c r="H451" s="11"/>
      <c r="I451" s="11"/>
      <c r="J451" s="11"/>
      <c r="K451" s="11"/>
    </row>
    <row r="452" spans="1:11" s="9" customFormat="1" ht="13.2">
      <c r="A452" s="15"/>
      <c r="B452" s="15"/>
      <c r="C452" s="15"/>
      <c r="D452" s="15"/>
      <c r="E452" s="15"/>
      <c r="F452" s="12"/>
      <c r="G452" s="12"/>
      <c r="H452" s="12"/>
      <c r="I452" s="12"/>
      <c r="J452" s="12"/>
      <c r="K452" s="12"/>
    </row>
    <row r="453" spans="1:11" s="9" customFormat="1" ht="13.2">
      <c r="A453" s="15"/>
      <c r="B453" s="15"/>
      <c r="C453" s="15"/>
      <c r="D453" s="15"/>
      <c r="E453" s="15"/>
      <c r="F453" s="11"/>
      <c r="G453" s="11"/>
      <c r="H453" s="11"/>
      <c r="I453" s="11"/>
      <c r="J453" s="11"/>
      <c r="K453" s="11"/>
    </row>
    <row r="454" spans="1:11" s="9" customFormat="1" ht="13.2">
      <c r="A454" s="15"/>
      <c r="B454" s="15"/>
      <c r="C454" s="15"/>
      <c r="D454" s="15"/>
      <c r="E454" s="15"/>
      <c r="F454" s="12"/>
      <c r="G454" s="12"/>
      <c r="H454" s="12"/>
      <c r="I454" s="12"/>
      <c r="J454" s="12"/>
      <c r="K454" s="12"/>
    </row>
    <row r="455" spans="1:11" s="9" customFormat="1" ht="13.2">
      <c r="A455" s="15"/>
      <c r="B455" s="15"/>
      <c r="C455" s="15"/>
      <c r="D455" s="15"/>
      <c r="E455" s="15"/>
      <c r="F455" s="12"/>
      <c r="G455" s="12"/>
      <c r="H455" s="12"/>
      <c r="I455" s="12"/>
      <c r="J455" s="12"/>
      <c r="K455" s="12"/>
    </row>
    <row r="456" spans="1:11" s="9" customFormat="1" ht="13.2">
      <c r="A456" s="15"/>
      <c r="B456" s="15"/>
      <c r="C456" s="15"/>
      <c r="D456" s="15"/>
      <c r="E456" s="15"/>
      <c r="F456" s="12"/>
      <c r="G456" s="12"/>
      <c r="H456" s="12"/>
      <c r="I456" s="12"/>
      <c r="J456" s="12"/>
      <c r="K456" s="12"/>
    </row>
    <row r="457" spans="1:11" s="9" customFormat="1" ht="13.2">
      <c r="A457" s="15"/>
      <c r="B457" s="15"/>
      <c r="C457" s="15"/>
      <c r="D457" s="15"/>
      <c r="E457" s="15"/>
      <c r="F457" s="12"/>
      <c r="G457" s="12"/>
      <c r="H457" s="12"/>
      <c r="I457" s="12"/>
      <c r="J457" s="12"/>
      <c r="K457" s="12"/>
    </row>
    <row r="458" spans="1:11" s="9" customFormat="1" ht="13.2">
      <c r="A458" s="15"/>
      <c r="B458" s="15"/>
      <c r="C458" s="15"/>
      <c r="D458" s="15"/>
      <c r="E458" s="15"/>
      <c r="F458" s="12"/>
      <c r="G458" s="12"/>
      <c r="H458" s="12"/>
      <c r="I458" s="12"/>
      <c r="J458" s="12"/>
      <c r="K458" s="12"/>
    </row>
    <row r="459" spans="1:11" s="9" customFormat="1" ht="13.2">
      <c r="A459" s="15"/>
      <c r="B459" s="15"/>
      <c r="C459" s="15"/>
      <c r="D459" s="15"/>
      <c r="E459" s="15"/>
      <c r="F459" s="12"/>
      <c r="G459" s="12"/>
      <c r="H459" s="12"/>
      <c r="I459" s="12"/>
      <c r="J459" s="12"/>
      <c r="K459" s="12"/>
    </row>
    <row r="460" spans="1:11" s="9" customFormat="1" ht="13.2">
      <c r="A460" s="15"/>
      <c r="B460" s="15"/>
      <c r="C460" s="15"/>
      <c r="D460" s="15"/>
      <c r="E460" s="15"/>
      <c r="F460" s="8"/>
      <c r="G460" s="8"/>
      <c r="H460" s="8"/>
      <c r="I460" s="8"/>
      <c r="J460" s="8"/>
      <c r="K460" s="8"/>
    </row>
    <row r="461" spans="1:11" s="9" customFormat="1" ht="13.2">
      <c r="A461" s="15"/>
      <c r="B461" s="15"/>
      <c r="C461" s="15"/>
      <c r="D461" s="15"/>
      <c r="E461" s="15"/>
      <c r="F461" s="12"/>
      <c r="G461" s="12"/>
      <c r="H461" s="12"/>
      <c r="I461" s="12"/>
      <c r="J461" s="12"/>
      <c r="K461" s="12"/>
    </row>
    <row r="462" spans="1:11" s="9" customFormat="1" ht="13.2">
      <c r="A462" s="15"/>
      <c r="B462" s="15"/>
      <c r="C462" s="15"/>
      <c r="D462" s="15"/>
      <c r="E462" s="15"/>
      <c r="F462" s="12"/>
      <c r="G462" s="12"/>
      <c r="H462" s="12"/>
      <c r="I462" s="12"/>
      <c r="J462" s="12"/>
      <c r="K462" s="12"/>
    </row>
    <row r="463" spans="1:11" s="9" customFormat="1" ht="13.2">
      <c r="A463" s="15"/>
      <c r="B463" s="15"/>
      <c r="C463" s="15"/>
      <c r="D463" s="15"/>
      <c r="E463" s="15"/>
      <c r="F463" s="12"/>
      <c r="G463" s="12"/>
      <c r="H463" s="12"/>
      <c r="I463" s="12"/>
      <c r="J463" s="12"/>
      <c r="K463" s="12"/>
    </row>
    <row r="464" spans="1:11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  <c r="K464" s="8"/>
    </row>
    <row r="465" spans="1:11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  <c r="K465" s="8"/>
    </row>
    <row r="466" spans="1:11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  <c r="K466" s="8"/>
    </row>
    <row r="467" spans="1:11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  <c r="K467" s="8"/>
    </row>
    <row r="468" spans="1:11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  <c r="K468" s="8"/>
    </row>
    <row r="469" spans="1:11" s="9" customFormat="1" ht="13.2">
      <c r="A469" s="15"/>
      <c r="B469" s="15"/>
      <c r="C469" s="15"/>
      <c r="D469" s="15"/>
      <c r="E469" s="15"/>
      <c r="F469" s="8"/>
      <c r="G469" s="8"/>
      <c r="H469" s="8"/>
      <c r="I469" s="8"/>
      <c r="J469" s="8"/>
      <c r="K469" s="8"/>
    </row>
    <row r="470" spans="1:11" s="9" customFormat="1" ht="13.2">
      <c r="A470" s="15"/>
      <c r="B470" s="15"/>
      <c r="C470" s="15"/>
      <c r="D470" s="15"/>
      <c r="E470" s="15"/>
      <c r="F470" s="11"/>
      <c r="G470" s="11"/>
      <c r="H470" s="11"/>
      <c r="I470" s="11"/>
      <c r="J470" s="11"/>
      <c r="K470" s="11"/>
    </row>
    <row r="471" spans="1:11" s="9" customFormat="1" ht="13.2">
      <c r="A471" s="15"/>
      <c r="B471" s="15"/>
      <c r="C471" s="15"/>
      <c r="D471" s="15"/>
      <c r="E471" s="15"/>
      <c r="F471" s="11"/>
      <c r="G471" s="11"/>
      <c r="H471" s="11"/>
      <c r="I471" s="11"/>
      <c r="J471" s="11"/>
      <c r="K471" s="11"/>
    </row>
    <row r="472" spans="1:11" s="9" customFormat="1" ht="13.2">
      <c r="A472" s="15"/>
      <c r="B472" s="15"/>
      <c r="C472" s="15"/>
      <c r="D472" s="15"/>
      <c r="E472" s="15"/>
      <c r="F472" s="11"/>
      <c r="G472" s="11"/>
      <c r="H472" s="11"/>
      <c r="I472" s="11"/>
      <c r="J472" s="11"/>
      <c r="K472" s="11"/>
    </row>
    <row r="473" spans="1:11" s="9" customFormat="1" ht="13.2">
      <c r="A473" s="15"/>
      <c r="B473" s="15"/>
      <c r="C473" s="15"/>
      <c r="D473" s="15"/>
      <c r="E473" s="15"/>
      <c r="F473" s="11"/>
      <c r="G473" s="11"/>
      <c r="H473" s="11"/>
      <c r="I473" s="11"/>
      <c r="J473" s="11"/>
      <c r="K473" s="11"/>
    </row>
    <row r="474" spans="1:11" s="9" customFormat="1" ht="13.2">
      <c r="A474" s="15"/>
      <c r="B474" s="15"/>
      <c r="C474" s="15"/>
      <c r="D474" s="15"/>
      <c r="E474" s="15"/>
      <c r="F474" s="11"/>
      <c r="G474" s="11"/>
      <c r="H474" s="11"/>
      <c r="I474" s="11"/>
      <c r="J474" s="11"/>
      <c r="K474" s="11"/>
    </row>
    <row r="475" spans="1:11" s="9" customFormat="1" ht="13.2">
      <c r="A475" s="15"/>
      <c r="B475" s="15"/>
      <c r="C475" s="15"/>
      <c r="D475" s="15"/>
      <c r="E475" s="15"/>
      <c r="F475" s="11"/>
      <c r="G475" s="11"/>
      <c r="H475" s="11"/>
      <c r="I475" s="11"/>
      <c r="J475" s="11"/>
      <c r="K475" s="11"/>
    </row>
    <row r="476" spans="1:11" s="9" customFormat="1" ht="13.2">
      <c r="A476" s="15"/>
      <c r="B476" s="15"/>
      <c r="C476" s="15"/>
      <c r="D476" s="15"/>
      <c r="E476" s="15"/>
      <c r="F476" s="8"/>
      <c r="G476" s="8"/>
      <c r="H476" s="8"/>
      <c r="I476" s="8"/>
      <c r="J476" s="8"/>
      <c r="K476" s="8"/>
    </row>
    <row r="477" spans="1:11" s="9" customFormat="1" ht="13.2">
      <c r="A477" s="15"/>
      <c r="B477" s="15"/>
      <c r="C477" s="15"/>
      <c r="D477" s="15"/>
      <c r="E477" s="15"/>
      <c r="F477" s="8"/>
      <c r="G477" s="8"/>
      <c r="H477" s="8"/>
      <c r="I477" s="8"/>
      <c r="J477" s="8"/>
      <c r="K477" s="8"/>
    </row>
    <row r="478" spans="1:11" s="9" customFormat="1" ht="13.2">
      <c r="A478" s="15"/>
      <c r="B478" s="15"/>
      <c r="C478" s="15"/>
      <c r="D478" s="15"/>
      <c r="E478" s="15"/>
      <c r="F478" s="8"/>
      <c r="G478" s="8"/>
      <c r="H478" s="8"/>
      <c r="I478" s="8"/>
      <c r="J478" s="8"/>
      <c r="K478" s="8"/>
    </row>
    <row r="479" spans="1:11" s="9" customFormat="1" ht="13.2">
      <c r="A479" s="15"/>
      <c r="B479" s="15"/>
      <c r="C479" s="15"/>
      <c r="D479" s="15"/>
      <c r="E479" s="15"/>
      <c r="F479" s="8"/>
      <c r="G479" s="8"/>
      <c r="H479" s="8"/>
      <c r="I479" s="8"/>
      <c r="J479" s="8"/>
      <c r="K479" s="8"/>
    </row>
    <row r="480" spans="1:11" s="9" customFormat="1" ht="13.2">
      <c r="A480" s="15"/>
      <c r="B480" s="15"/>
      <c r="C480" s="15"/>
      <c r="D480" s="15"/>
      <c r="E480" s="15"/>
      <c r="F480" s="8"/>
      <c r="G480" s="8"/>
      <c r="H480" s="8"/>
      <c r="I480" s="8"/>
      <c r="J480" s="8"/>
      <c r="K480" s="8"/>
    </row>
    <row r="481" spans="1:11" s="9" customFormat="1" ht="13.2">
      <c r="A481" s="15"/>
      <c r="B481" s="15"/>
      <c r="C481" s="15"/>
      <c r="D481" s="15"/>
      <c r="E481" s="15"/>
      <c r="F481" s="8"/>
      <c r="G481" s="8"/>
      <c r="H481" s="8"/>
      <c r="I481" s="8"/>
      <c r="J481" s="8"/>
      <c r="K481" s="8"/>
    </row>
    <row r="482" spans="1:11" s="9" customFormat="1" ht="13.2">
      <c r="A482" s="15"/>
      <c r="B482" s="15"/>
      <c r="C482" s="15"/>
      <c r="D482" s="15"/>
      <c r="E482" s="15"/>
      <c r="F482" s="8"/>
      <c r="G482" s="8"/>
      <c r="H482" s="8"/>
      <c r="I482" s="8"/>
      <c r="J482" s="8"/>
      <c r="K482" s="8"/>
    </row>
    <row r="483" spans="1:11" s="9" customFormat="1" ht="13.2">
      <c r="A483" s="6"/>
      <c r="B483" s="6"/>
      <c r="C483" s="6"/>
      <c r="D483" s="6"/>
      <c r="E483" s="6"/>
      <c r="F483" s="12"/>
      <c r="G483" s="12"/>
      <c r="H483" s="12"/>
      <c r="I483" s="12"/>
      <c r="J483" s="12"/>
      <c r="K483" s="12"/>
    </row>
    <row r="484" spans="1:11" s="9" customFormat="1" ht="13.2">
      <c r="A484" s="6"/>
      <c r="B484" s="6"/>
      <c r="C484" s="6"/>
      <c r="D484" s="6"/>
      <c r="E484" s="6"/>
      <c r="F484" s="12"/>
      <c r="G484" s="12"/>
      <c r="H484" s="12"/>
      <c r="I484" s="12"/>
      <c r="J484" s="12"/>
      <c r="K484" s="12"/>
    </row>
    <row r="485" spans="1:11" s="9" customFormat="1" ht="13.2">
      <c r="A485" s="6"/>
      <c r="B485" s="6"/>
      <c r="C485" s="6"/>
      <c r="D485" s="6"/>
      <c r="E485" s="6"/>
      <c r="F485" s="11"/>
      <c r="G485" s="11"/>
      <c r="H485" s="11"/>
      <c r="I485" s="11"/>
      <c r="J485" s="11"/>
      <c r="K485" s="11"/>
    </row>
    <row r="486" spans="1:11" s="9" customFormat="1" ht="13.2">
      <c r="A486" s="6"/>
      <c r="B486" s="6"/>
      <c r="C486" s="6"/>
      <c r="D486" s="6"/>
      <c r="E486" s="6"/>
      <c r="F486" s="12"/>
      <c r="G486" s="12"/>
      <c r="H486" s="12"/>
      <c r="I486" s="12"/>
      <c r="J486" s="12"/>
      <c r="K486" s="12"/>
    </row>
    <row r="487" spans="1:11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  <c r="K487" s="8"/>
    </row>
    <row r="488" spans="1:11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  <c r="K488" s="8"/>
    </row>
    <row r="489" spans="1:11" s="9" customFormat="1" ht="13.2">
      <c r="A489" s="6"/>
      <c r="B489" s="6"/>
      <c r="C489" s="6"/>
      <c r="D489" s="6"/>
      <c r="E489" s="6"/>
      <c r="F489" s="11"/>
      <c r="G489" s="11"/>
      <c r="H489" s="11"/>
      <c r="I489" s="11"/>
      <c r="J489" s="11"/>
      <c r="K489" s="11"/>
    </row>
    <row r="490" spans="1:11" s="9" customFormat="1" ht="13.2">
      <c r="A490" s="6"/>
      <c r="B490" s="6"/>
      <c r="C490" s="6"/>
      <c r="D490" s="6"/>
      <c r="E490" s="6"/>
      <c r="F490" s="12"/>
      <c r="G490" s="12"/>
      <c r="H490" s="12"/>
      <c r="I490" s="12"/>
      <c r="J490" s="12"/>
      <c r="K490" s="12"/>
    </row>
    <row r="491" spans="1:11" s="9" customFormat="1" ht="13.2">
      <c r="A491" s="6"/>
      <c r="B491" s="6"/>
      <c r="C491" s="6"/>
      <c r="D491" s="6"/>
      <c r="E491" s="6"/>
      <c r="F491" s="11"/>
      <c r="G491" s="11"/>
      <c r="H491" s="11"/>
      <c r="I491" s="11"/>
      <c r="J491" s="11"/>
      <c r="K491" s="11"/>
    </row>
    <row r="492" spans="1:11" s="9" customFormat="1" ht="13.2">
      <c r="A492" s="6"/>
      <c r="B492" s="6"/>
      <c r="C492" s="6"/>
      <c r="D492" s="6"/>
      <c r="E492" s="6"/>
      <c r="F492" s="11"/>
      <c r="G492" s="11"/>
      <c r="H492" s="11"/>
      <c r="I492" s="11"/>
      <c r="J492" s="11"/>
      <c r="K492" s="11"/>
    </row>
    <row r="493" spans="1:11" s="9" customFormat="1" ht="13.2">
      <c r="A493" s="6"/>
      <c r="B493" s="6"/>
      <c r="C493" s="6"/>
      <c r="D493" s="6"/>
      <c r="E493" s="6"/>
      <c r="F493" s="11"/>
      <c r="G493" s="11"/>
      <c r="H493" s="11"/>
      <c r="I493" s="11"/>
      <c r="J493" s="11"/>
      <c r="K493" s="11"/>
    </row>
    <row r="494" spans="1:11" s="9" customFormat="1" ht="13.2">
      <c r="A494" s="6"/>
      <c r="B494" s="6"/>
      <c r="C494" s="6"/>
      <c r="D494" s="6"/>
      <c r="E494" s="6"/>
      <c r="F494" s="11"/>
      <c r="G494" s="11"/>
      <c r="H494" s="11"/>
      <c r="I494" s="11"/>
      <c r="J494" s="11"/>
      <c r="K494" s="11"/>
    </row>
    <row r="495" spans="1:11" s="9" customFormat="1" ht="13.2">
      <c r="A495" s="6"/>
      <c r="B495" s="6"/>
      <c r="C495" s="6"/>
      <c r="D495" s="6"/>
      <c r="E495" s="6"/>
      <c r="F495" s="11"/>
      <c r="G495" s="11"/>
      <c r="H495" s="11"/>
      <c r="I495" s="11"/>
      <c r="J495" s="11"/>
      <c r="K495" s="11"/>
    </row>
    <row r="496" spans="1:11" s="9" customFormat="1" ht="13.2">
      <c r="A496" s="6"/>
      <c r="B496" s="6"/>
      <c r="C496" s="6"/>
      <c r="D496" s="6"/>
      <c r="E496" s="6"/>
      <c r="F496" s="11"/>
      <c r="G496" s="11"/>
      <c r="H496" s="11"/>
      <c r="I496" s="11"/>
      <c r="J496" s="11"/>
      <c r="K496" s="11"/>
    </row>
    <row r="497" spans="1:11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  <c r="K497" s="11"/>
    </row>
    <row r="498" spans="1:11" s="9" customFormat="1" ht="13.2">
      <c r="A498" s="6"/>
      <c r="B498" s="6"/>
      <c r="C498" s="6"/>
      <c r="D498" s="6"/>
      <c r="E498" s="6"/>
      <c r="F498" s="11"/>
      <c r="G498" s="11"/>
      <c r="H498" s="11"/>
      <c r="I498" s="11"/>
      <c r="J498" s="11"/>
      <c r="K498" s="11"/>
    </row>
    <row r="499" spans="1:11" s="9" customFormat="1" ht="13.2">
      <c r="A499" s="6"/>
      <c r="B499" s="6"/>
      <c r="C499" s="6"/>
      <c r="D499" s="6"/>
      <c r="E499" s="6"/>
      <c r="F499" s="8"/>
      <c r="G499" s="8"/>
      <c r="H499" s="8"/>
      <c r="I499" s="8"/>
      <c r="J499" s="8"/>
      <c r="K499" s="8"/>
    </row>
    <row r="500" spans="1:11" s="9" customFormat="1" ht="13.2">
      <c r="A500" s="6"/>
      <c r="B500" s="6"/>
      <c r="C500" s="6"/>
      <c r="D500" s="6"/>
      <c r="E500" s="6"/>
      <c r="F500" s="8"/>
      <c r="G500" s="8"/>
      <c r="H500" s="8"/>
      <c r="I500" s="8"/>
      <c r="J500" s="8"/>
      <c r="K500" s="8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8"/>
      <c r="G502" s="8"/>
      <c r="H502" s="8"/>
      <c r="I502" s="8"/>
      <c r="J502" s="8"/>
      <c r="K502" s="8"/>
    </row>
    <row r="503" spans="1:11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  <c r="K503" s="8"/>
    </row>
    <row r="504" spans="1:11" s="9" customFormat="1" ht="13.2">
      <c r="A504" s="6"/>
      <c r="B504" s="6"/>
      <c r="C504" s="6"/>
      <c r="D504" s="6"/>
      <c r="E504" s="6"/>
      <c r="F504" s="8"/>
      <c r="G504" s="8"/>
      <c r="H504" s="8"/>
      <c r="I504" s="8"/>
      <c r="J504" s="8"/>
      <c r="K504" s="8"/>
    </row>
    <row r="505" spans="1:11" s="9" customFormat="1" ht="13.2">
      <c r="A505" s="6"/>
      <c r="B505" s="6"/>
      <c r="C505" s="6"/>
      <c r="D505" s="6"/>
      <c r="E505" s="6"/>
      <c r="F505" s="12"/>
      <c r="G505" s="12"/>
      <c r="H505" s="12"/>
      <c r="I505" s="12"/>
      <c r="J505" s="12"/>
      <c r="K505" s="12"/>
    </row>
    <row r="506" spans="1:11" s="9" customFormat="1" ht="13.2">
      <c r="A506" s="6"/>
      <c r="B506" s="6"/>
      <c r="C506" s="6"/>
      <c r="D506" s="6"/>
      <c r="E506" s="6"/>
      <c r="F506" s="10"/>
      <c r="G506" s="10"/>
      <c r="H506" s="10"/>
      <c r="I506" s="10"/>
      <c r="J506" s="10"/>
      <c r="K506" s="10"/>
    </row>
    <row r="507" spans="1:11" s="9" customFormat="1" ht="13.2">
      <c r="A507" s="6"/>
      <c r="B507" s="6"/>
      <c r="C507" s="6"/>
      <c r="D507" s="6"/>
      <c r="E507" s="6"/>
      <c r="F507" s="12"/>
      <c r="G507" s="12"/>
      <c r="H507" s="12"/>
      <c r="I507" s="12"/>
      <c r="J507" s="12"/>
      <c r="K507" s="12"/>
    </row>
    <row r="508" spans="1:11" s="9" customFormat="1" ht="13.2">
      <c r="A508" s="6"/>
      <c r="B508" s="6"/>
      <c r="C508" s="6"/>
      <c r="D508" s="6"/>
      <c r="E508" s="6"/>
      <c r="F508" s="12"/>
      <c r="G508" s="12"/>
      <c r="H508" s="12"/>
      <c r="I508" s="12"/>
      <c r="J508" s="12"/>
      <c r="K508" s="12"/>
    </row>
    <row r="509" spans="1:11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  <c r="K509" s="8"/>
    </row>
    <row r="510" spans="1:11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  <c r="K510" s="8"/>
    </row>
    <row r="511" spans="1:11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  <c r="K511" s="8"/>
    </row>
    <row r="512" spans="1:11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  <c r="K512" s="8"/>
    </row>
    <row r="513" spans="1:11" s="9" customFormat="1" ht="13.2">
      <c r="A513" s="6"/>
      <c r="B513" s="6"/>
      <c r="C513" s="6"/>
      <c r="D513" s="6"/>
      <c r="E513" s="6"/>
      <c r="F513" s="11"/>
      <c r="G513" s="11"/>
      <c r="H513" s="11"/>
      <c r="I513" s="11"/>
      <c r="J513" s="11"/>
      <c r="K513" s="11"/>
    </row>
    <row r="514" spans="1:11" s="9" customFormat="1" ht="13.2">
      <c r="A514" s="6"/>
      <c r="B514" s="6"/>
      <c r="C514" s="6"/>
      <c r="D514" s="6"/>
      <c r="E514" s="6"/>
      <c r="F514" s="12"/>
      <c r="G514" s="12"/>
      <c r="H514" s="12"/>
      <c r="I514" s="12"/>
      <c r="J514" s="12"/>
      <c r="K514" s="12"/>
    </row>
    <row r="515" spans="1:11" s="9" customFormat="1" ht="13.2">
      <c r="A515" s="6"/>
      <c r="B515" s="6"/>
      <c r="C515" s="6"/>
      <c r="D515" s="6"/>
      <c r="E515" s="6"/>
      <c r="F515" s="10"/>
      <c r="G515" s="10"/>
      <c r="H515" s="10"/>
      <c r="I515" s="10"/>
      <c r="J515" s="10"/>
      <c r="K515" s="10"/>
    </row>
    <row r="516" spans="1:11" s="9" customFormat="1" ht="13.2">
      <c r="A516" s="6"/>
      <c r="B516" s="6"/>
      <c r="C516" s="6"/>
      <c r="D516" s="6"/>
      <c r="E516" s="6"/>
      <c r="F516" s="11"/>
      <c r="G516" s="11"/>
      <c r="H516" s="11"/>
      <c r="I516" s="11"/>
      <c r="J516" s="11"/>
      <c r="K516" s="11"/>
    </row>
    <row r="517" spans="1:11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  <c r="K517" s="8"/>
    </row>
    <row r="518" spans="1:11" s="9" customFormat="1" ht="13.2">
      <c r="A518" s="6"/>
      <c r="B518" s="6"/>
      <c r="C518" s="6"/>
      <c r="D518" s="6"/>
      <c r="E518" s="6"/>
      <c r="F518" s="7"/>
      <c r="G518" s="7"/>
      <c r="H518" s="7"/>
      <c r="I518" s="7"/>
      <c r="J518" s="7"/>
      <c r="K518" s="7"/>
    </row>
    <row r="519" spans="1:11" s="9" customFormat="1" ht="13.2">
      <c r="A519" s="6"/>
      <c r="B519" s="6"/>
      <c r="C519" s="6"/>
      <c r="D519" s="6"/>
      <c r="E519" s="6"/>
      <c r="F519" s="7"/>
      <c r="G519" s="7"/>
      <c r="H519" s="7"/>
      <c r="I519" s="7"/>
      <c r="J519" s="7"/>
      <c r="K519" s="7"/>
    </row>
    <row r="520" spans="1:11" s="9" customFormat="1" ht="13.2">
      <c r="A520" s="6"/>
      <c r="B520" s="6"/>
      <c r="C520" s="6"/>
      <c r="D520" s="6"/>
      <c r="E520" s="6"/>
      <c r="F520" s="7"/>
      <c r="G520" s="7"/>
      <c r="H520" s="7"/>
      <c r="I520" s="7"/>
      <c r="J520" s="7"/>
      <c r="K520" s="7"/>
    </row>
    <row r="521" spans="1:11" s="9" customFormat="1" ht="13.2">
      <c r="A521" s="6"/>
      <c r="B521" s="6"/>
      <c r="C521" s="6"/>
      <c r="D521" s="6"/>
      <c r="E521" s="6"/>
      <c r="F521" s="7"/>
      <c r="G521" s="7"/>
      <c r="H521" s="7"/>
      <c r="I521" s="7"/>
      <c r="J521" s="7"/>
      <c r="K521" s="7"/>
    </row>
    <row r="522" spans="1:11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  <c r="K522" s="8"/>
    </row>
    <row r="523" spans="1:11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  <c r="K523" s="8"/>
    </row>
    <row r="524" spans="1:11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  <c r="K524" s="8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  <c r="K527" s="8"/>
    </row>
    <row r="528" spans="1:11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  <c r="K528" s="8"/>
    </row>
    <row r="529" spans="1:11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  <c r="K529" s="8"/>
    </row>
    <row r="530" spans="1:11" s="9" customFormat="1" ht="13.2">
      <c r="A530" s="6"/>
      <c r="B530" s="6"/>
      <c r="C530" s="6"/>
      <c r="D530" s="6"/>
      <c r="E530" s="6"/>
      <c r="F530" s="12"/>
      <c r="G530" s="12"/>
      <c r="H530" s="12"/>
      <c r="I530" s="12"/>
      <c r="J530" s="12"/>
      <c r="K530" s="12"/>
    </row>
    <row r="531" spans="1:11" s="9" customFormat="1" ht="13.2">
      <c r="A531" s="6"/>
      <c r="B531" s="6"/>
      <c r="C531" s="6"/>
      <c r="D531" s="6"/>
      <c r="E531" s="6"/>
      <c r="F531" s="11"/>
      <c r="G531" s="11"/>
      <c r="H531" s="11"/>
      <c r="I531" s="11"/>
      <c r="J531" s="11"/>
      <c r="K531" s="11"/>
    </row>
    <row r="532" spans="1:11" s="9" customFormat="1" ht="13.2">
      <c r="A532" s="6"/>
      <c r="B532" s="6"/>
      <c r="C532" s="6"/>
      <c r="D532" s="6"/>
      <c r="E532" s="6"/>
      <c r="F532" s="12"/>
      <c r="G532" s="12"/>
      <c r="H532" s="12"/>
      <c r="I532" s="12"/>
      <c r="J532" s="12"/>
      <c r="K532" s="12"/>
    </row>
    <row r="533" spans="1:11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  <c r="K533" s="8"/>
    </row>
    <row r="534" spans="1:11" s="9" customFormat="1" ht="13.2">
      <c r="A534" s="6"/>
      <c r="B534" s="6"/>
      <c r="C534" s="6"/>
      <c r="D534" s="6"/>
      <c r="E534" s="6"/>
      <c r="F534" s="12"/>
      <c r="G534" s="12"/>
      <c r="H534" s="12"/>
      <c r="I534" s="12"/>
      <c r="J534" s="12"/>
      <c r="K534" s="12"/>
    </row>
    <row r="535" spans="1:11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  <c r="K535" s="8"/>
    </row>
    <row r="536" spans="1:11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  <c r="K536" s="8"/>
    </row>
    <row r="537" spans="1:11" s="9" customFormat="1" ht="13.2">
      <c r="A537" s="6"/>
      <c r="B537" s="6"/>
      <c r="C537" s="6"/>
      <c r="D537" s="6"/>
      <c r="E537" s="6"/>
      <c r="F537" s="12"/>
      <c r="G537" s="12"/>
      <c r="H537" s="12"/>
      <c r="I537" s="12"/>
      <c r="J537" s="12"/>
      <c r="K537" s="12"/>
    </row>
    <row r="538" spans="1:11" s="9" customFormat="1" ht="13.2">
      <c r="A538" s="6"/>
      <c r="B538" s="6"/>
      <c r="C538" s="6"/>
      <c r="D538" s="6"/>
      <c r="E538" s="6"/>
      <c r="F538" s="8"/>
      <c r="G538" s="8"/>
      <c r="H538" s="8"/>
      <c r="I538" s="8"/>
      <c r="J538" s="8"/>
      <c r="K538" s="8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11"/>
      <c r="G540" s="11"/>
      <c r="H540" s="11"/>
      <c r="I540" s="11"/>
      <c r="J540" s="11"/>
      <c r="K540" s="11"/>
    </row>
    <row r="541" spans="1:11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  <c r="K541" s="8"/>
    </row>
    <row r="542" spans="1:11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  <c r="K542" s="8"/>
    </row>
    <row r="543" spans="1:11" s="9" customFormat="1" ht="13.2">
      <c r="A543" s="6"/>
      <c r="B543" s="6"/>
      <c r="C543" s="6"/>
      <c r="D543" s="6"/>
      <c r="E543" s="6"/>
      <c r="F543" s="8"/>
      <c r="G543" s="8"/>
      <c r="H543" s="8"/>
      <c r="I543" s="8"/>
      <c r="J543" s="8"/>
      <c r="K543" s="8"/>
    </row>
    <row r="544" spans="1:11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  <c r="K544" s="11"/>
    </row>
    <row r="545" spans="1:11" s="9" customFormat="1" ht="13.2">
      <c r="A545" s="6"/>
      <c r="B545" s="6"/>
      <c r="C545" s="6"/>
      <c r="D545" s="6"/>
      <c r="E545" s="6"/>
      <c r="F545" s="8"/>
      <c r="G545" s="8"/>
      <c r="H545" s="8"/>
      <c r="I545" s="8"/>
      <c r="J545" s="8"/>
      <c r="K545" s="8"/>
    </row>
    <row r="546" spans="1:11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  <c r="K546" s="8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  <c r="K548" s="8"/>
    </row>
    <row r="549" spans="1:11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  <c r="K549" s="8"/>
    </row>
    <row r="550" spans="1:11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  <c r="K550" s="8"/>
    </row>
    <row r="551" spans="1:11" s="9" customFormat="1" ht="13.2">
      <c r="A551" s="6"/>
      <c r="B551" s="6"/>
      <c r="C551" s="6"/>
      <c r="D551" s="6"/>
      <c r="E551" s="6"/>
      <c r="F551" s="10"/>
      <c r="G551" s="10"/>
      <c r="H551" s="10"/>
      <c r="I551" s="10"/>
      <c r="J551" s="10"/>
      <c r="K551" s="10"/>
    </row>
    <row r="552" spans="1:11" s="9" customFormat="1" ht="13.2">
      <c r="A552" s="6"/>
      <c r="B552" s="6"/>
      <c r="C552" s="6"/>
      <c r="D552" s="6"/>
      <c r="E552" s="6"/>
      <c r="F552" s="11"/>
      <c r="G552" s="11"/>
      <c r="H552" s="11"/>
      <c r="I552" s="11"/>
      <c r="J552" s="11"/>
      <c r="K552" s="11"/>
    </row>
    <row r="553" spans="1:11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  <c r="K553" s="8"/>
    </row>
    <row r="554" spans="1:11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  <c r="K554" s="11"/>
    </row>
    <row r="555" spans="1:11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  <c r="K555" s="8"/>
    </row>
    <row r="556" spans="1:11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  <c r="K556" s="8"/>
    </row>
    <row r="557" spans="1:11" s="9" customFormat="1" ht="13.2">
      <c r="A557" s="6"/>
      <c r="B557" s="6"/>
      <c r="C557" s="6"/>
      <c r="D557" s="6"/>
      <c r="E557" s="6"/>
      <c r="F557" s="11"/>
      <c r="G557" s="11"/>
      <c r="H557" s="11"/>
      <c r="I557" s="11"/>
      <c r="J557" s="11"/>
      <c r="K557" s="11"/>
    </row>
    <row r="558" spans="1:11" s="9" customFormat="1" ht="13.2">
      <c r="A558" s="6"/>
      <c r="B558" s="6"/>
      <c r="C558" s="6"/>
      <c r="D558" s="6"/>
      <c r="E558" s="6"/>
      <c r="F558" s="11"/>
      <c r="G558" s="11"/>
      <c r="H558" s="11"/>
      <c r="I558" s="11"/>
      <c r="J558" s="11"/>
      <c r="K558" s="11"/>
    </row>
    <row r="559" spans="1:11" s="9" customFormat="1" ht="13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spans="1:11" s="9" customFormat="1" ht="13.2">
      <c r="A560" s="6"/>
      <c r="B560" s="6"/>
      <c r="C560" s="6"/>
      <c r="D560" s="6"/>
      <c r="E560" s="6"/>
      <c r="F560" s="11"/>
      <c r="G560" s="11"/>
      <c r="H560" s="11"/>
      <c r="I560" s="11"/>
      <c r="J560" s="11"/>
      <c r="K560" s="11"/>
    </row>
    <row r="561" spans="1:11" s="9" customFormat="1" ht="13.2">
      <c r="A561" s="6"/>
      <c r="B561" s="6"/>
      <c r="C561" s="6"/>
      <c r="D561" s="6"/>
      <c r="E561" s="6"/>
      <c r="F561" s="11"/>
      <c r="G561" s="11"/>
      <c r="H561" s="11"/>
      <c r="I561" s="11"/>
      <c r="J561" s="11"/>
      <c r="K561" s="11"/>
    </row>
    <row r="562" spans="1:11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  <c r="K562" s="8"/>
    </row>
    <row r="563" spans="1:11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  <c r="K563" s="8"/>
    </row>
    <row r="564" spans="1:11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  <c r="K564" s="8"/>
    </row>
    <row r="565" spans="1:11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  <c r="K565" s="8"/>
    </row>
    <row r="566" spans="1:11" s="9" customFormat="1" ht="13.2">
      <c r="A566" s="6"/>
      <c r="B566" s="6"/>
      <c r="C566" s="6"/>
      <c r="D566" s="6"/>
      <c r="E566" s="6"/>
      <c r="F566" s="8"/>
      <c r="G566" s="8"/>
      <c r="H566" s="8"/>
      <c r="I566" s="8"/>
      <c r="J566" s="8"/>
      <c r="K566" s="8"/>
    </row>
    <row r="567" spans="1:11" s="9" customFormat="1" ht="13.2">
      <c r="A567" s="6"/>
      <c r="B567" s="6"/>
      <c r="C567" s="6"/>
      <c r="D567" s="6"/>
      <c r="E567" s="6"/>
      <c r="F567" s="7"/>
      <c r="G567" s="7"/>
      <c r="H567" s="7"/>
      <c r="I567" s="7"/>
      <c r="J567" s="7"/>
      <c r="K567" s="7"/>
    </row>
    <row r="568" spans="1:11" s="9" customFormat="1" ht="13.2">
      <c r="A568" s="6"/>
      <c r="B568" s="6"/>
      <c r="C568" s="6"/>
      <c r="D568" s="6"/>
      <c r="E568" s="6"/>
      <c r="F568" s="7"/>
      <c r="G568" s="7"/>
      <c r="H568" s="7"/>
      <c r="I568" s="7"/>
      <c r="J568" s="7"/>
      <c r="K568" s="7"/>
    </row>
    <row r="569" spans="1:11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  <c r="K569" s="8"/>
    </row>
    <row r="570" spans="1:11" s="9" customFormat="1" ht="13.2">
      <c r="A570" s="6"/>
      <c r="B570" s="6"/>
      <c r="C570" s="6"/>
      <c r="D570" s="6"/>
      <c r="E570" s="6"/>
      <c r="F570" s="11"/>
      <c r="G570" s="11"/>
      <c r="H570" s="11"/>
      <c r="I570" s="11"/>
      <c r="J570" s="11"/>
      <c r="K570" s="11"/>
    </row>
    <row r="571" spans="1:11" s="9" customFormat="1" ht="13.2">
      <c r="A571" s="6"/>
      <c r="B571" s="6"/>
      <c r="C571" s="6"/>
      <c r="D571" s="6"/>
      <c r="E571" s="6"/>
      <c r="F571" s="7"/>
      <c r="G571" s="7"/>
      <c r="H571" s="7"/>
      <c r="I571" s="7"/>
      <c r="J571" s="7"/>
      <c r="K571" s="7"/>
    </row>
    <row r="572" spans="1:11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  <c r="K572" s="8"/>
    </row>
    <row r="573" spans="1:11" s="9" customFormat="1" ht="13.2">
      <c r="A573" s="6"/>
      <c r="B573" s="6"/>
      <c r="C573" s="6"/>
      <c r="D573" s="6"/>
      <c r="E573" s="6"/>
      <c r="F573" s="7"/>
      <c r="G573" s="7"/>
      <c r="H573" s="7"/>
      <c r="I573" s="7"/>
      <c r="J573" s="7"/>
      <c r="K573" s="7"/>
    </row>
    <row r="574" spans="1:11" s="9" customFormat="1" ht="13.2">
      <c r="A574" s="6"/>
      <c r="B574" s="6"/>
      <c r="C574" s="6"/>
      <c r="D574" s="6"/>
      <c r="E574" s="6"/>
      <c r="F574" s="7"/>
      <c r="G574" s="7"/>
      <c r="H574" s="7"/>
      <c r="I574" s="7"/>
      <c r="J574" s="7"/>
      <c r="K574" s="7"/>
    </row>
    <row r="575" spans="1:11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  <c r="K575" s="8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  <c r="K580" s="8"/>
    </row>
    <row r="581" spans="1:11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  <c r="K581" s="8"/>
    </row>
    <row r="582" spans="1:11" s="9" customFormat="1" ht="13.2">
      <c r="A582" s="6"/>
      <c r="B582" s="6"/>
      <c r="C582" s="6"/>
      <c r="D582" s="6"/>
      <c r="E582" s="6"/>
      <c r="F582" s="7"/>
      <c r="G582" s="7"/>
      <c r="H582" s="7"/>
      <c r="I582" s="7"/>
      <c r="J582" s="7"/>
      <c r="K582" s="7"/>
    </row>
    <row r="583" spans="1:11" s="9" customFormat="1" ht="13.2">
      <c r="A583" s="6"/>
      <c r="B583" s="6"/>
      <c r="C583" s="6"/>
      <c r="D583" s="6"/>
      <c r="E583" s="6"/>
      <c r="F583" s="7"/>
      <c r="G583" s="7"/>
      <c r="H583" s="7"/>
      <c r="I583" s="7"/>
      <c r="J583" s="7"/>
      <c r="K583" s="7"/>
    </row>
    <row r="584" spans="1:11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  <c r="K584" s="8"/>
    </row>
    <row r="585" spans="1:11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  <c r="K585" s="8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  <c r="K596" s="8"/>
    </row>
    <row r="597" spans="1:11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  <c r="K597" s="8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8"/>
      <c r="G608" s="8"/>
      <c r="H608" s="8"/>
      <c r="I608" s="8"/>
      <c r="J608" s="8"/>
      <c r="K608" s="8"/>
    </row>
    <row r="609" spans="1:11" s="9" customFormat="1" ht="13.2">
      <c r="A609" s="6"/>
      <c r="B609" s="6"/>
      <c r="C609" s="6"/>
      <c r="D609" s="6"/>
      <c r="E609" s="6"/>
      <c r="F609" s="8"/>
      <c r="G609" s="8"/>
      <c r="H609" s="8"/>
      <c r="I609" s="8"/>
      <c r="J609" s="8"/>
      <c r="K609" s="8"/>
    </row>
    <row r="610" spans="1:11" s="9" customFormat="1" ht="13.2">
      <c r="A610" s="6"/>
      <c r="B610" s="6"/>
      <c r="C610" s="6"/>
      <c r="D610" s="6"/>
      <c r="E610" s="6"/>
      <c r="F610" s="8"/>
      <c r="G610" s="8"/>
      <c r="H610" s="8"/>
      <c r="I610" s="8"/>
      <c r="J610" s="8"/>
      <c r="K610" s="8"/>
    </row>
    <row r="611" spans="1:11" s="9" customFormat="1" ht="13.2">
      <c r="A611" s="6"/>
      <c r="B611" s="6"/>
      <c r="C611" s="6"/>
      <c r="D611" s="6"/>
      <c r="E611" s="6"/>
      <c r="F611" s="10"/>
      <c r="G611" s="10"/>
      <c r="H611" s="10"/>
      <c r="I611" s="10"/>
      <c r="J611" s="10"/>
      <c r="K611" s="10"/>
    </row>
    <row r="612" spans="1:11" s="9" customFormat="1" ht="13.2">
      <c r="A612" s="6"/>
      <c r="B612" s="6"/>
      <c r="C612" s="6"/>
      <c r="D612" s="6"/>
      <c r="E612" s="6"/>
      <c r="F612" s="10"/>
      <c r="G612" s="10"/>
      <c r="H612" s="10"/>
      <c r="I612" s="10"/>
      <c r="J612" s="10"/>
      <c r="K612" s="10"/>
    </row>
    <row r="613" spans="1:11" s="9" customFormat="1" ht="13.2">
      <c r="A613" s="6"/>
      <c r="B613" s="6"/>
      <c r="C613" s="6"/>
      <c r="D613" s="6"/>
      <c r="E613" s="6"/>
      <c r="F613" s="10"/>
      <c r="G613" s="10"/>
      <c r="H613" s="10"/>
      <c r="I613" s="10"/>
      <c r="J613" s="10"/>
      <c r="K613" s="10"/>
    </row>
    <row r="614" spans="1:11" s="9" customFormat="1" ht="13.2">
      <c r="A614" s="6"/>
      <c r="B614" s="6"/>
      <c r="C614" s="6"/>
      <c r="D614" s="6"/>
      <c r="E614" s="6"/>
      <c r="F614" s="8"/>
      <c r="G614" s="8"/>
      <c r="H614" s="8"/>
      <c r="I614" s="8"/>
      <c r="J614" s="8"/>
      <c r="K614" s="8"/>
    </row>
    <row r="615" spans="1:11" s="9" customFormat="1" ht="13.2">
      <c r="A615" s="6"/>
      <c r="B615" s="6"/>
      <c r="C615" s="6"/>
      <c r="D615" s="6"/>
      <c r="E615" s="6"/>
      <c r="F615" s="8"/>
      <c r="G615" s="8"/>
      <c r="H615" s="8"/>
      <c r="I615" s="8"/>
      <c r="J615" s="8"/>
      <c r="K615" s="8"/>
    </row>
    <row r="616" spans="1:11" s="9" customFormat="1" ht="13.2">
      <c r="A616" s="6"/>
      <c r="B616" s="6"/>
      <c r="C616" s="6"/>
      <c r="D616" s="6"/>
      <c r="E616" s="6"/>
      <c r="F616" s="10"/>
      <c r="G616" s="10"/>
      <c r="H616" s="10"/>
      <c r="I616" s="10"/>
      <c r="J616" s="10"/>
      <c r="K616" s="10"/>
    </row>
    <row r="617" spans="1:11" s="9" customFormat="1" ht="13.2">
      <c r="A617" s="6"/>
      <c r="B617" s="6"/>
      <c r="C617" s="6"/>
      <c r="D617" s="6"/>
      <c r="E617" s="6"/>
      <c r="F617" s="10"/>
      <c r="G617" s="10"/>
      <c r="H617" s="10"/>
      <c r="I617" s="10"/>
      <c r="J617" s="10"/>
      <c r="K617" s="10"/>
    </row>
    <row r="618" spans="1:11" s="9" customFormat="1" ht="13.2">
      <c r="A618" s="6"/>
      <c r="B618" s="6"/>
      <c r="C618" s="6"/>
      <c r="D618" s="6"/>
      <c r="E618" s="6"/>
      <c r="F618" s="10"/>
      <c r="G618" s="10"/>
      <c r="H618" s="10"/>
      <c r="I618" s="10"/>
      <c r="J618" s="10"/>
      <c r="K618" s="10"/>
    </row>
    <row r="619" spans="1:11" s="9" customFormat="1" ht="13.2">
      <c r="A619" s="6"/>
      <c r="B619" s="6"/>
      <c r="C619" s="6"/>
      <c r="D619" s="6"/>
      <c r="E619" s="6"/>
      <c r="F619" s="8"/>
      <c r="G619" s="8"/>
      <c r="H619" s="8"/>
      <c r="I619" s="8"/>
      <c r="J619" s="8"/>
      <c r="K619" s="8"/>
    </row>
    <row r="620" spans="1:11" s="9" customFormat="1" ht="13.2">
      <c r="A620" s="6"/>
      <c r="B620" s="6"/>
      <c r="C620" s="6"/>
      <c r="D620" s="6"/>
      <c r="E620" s="6"/>
      <c r="F620" s="8"/>
      <c r="G620" s="8"/>
      <c r="H620" s="8"/>
      <c r="I620" s="8"/>
      <c r="J620" s="8"/>
      <c r="K620" s="8"/>
    </row>
    <row r="621" spans="1:11" s="9" customFormat="1" ht="13.2">
      <c r="A621" s="6"/>
      <c r="B621" s="6"/>
      <c r="C621" s="6"/>
      <c r="D621" s="6"/>
      <c r="E621" s="6"/>
      <c r="F621" s="8"/>
      <c r="G621" s="8"/>
      <c r="H621" s="8"/>
      <c r="I621" s="8"/>
      <c r="J621" s="8"/>
      <c r="K621" s="8"/>
    </row>
    <row r="622" spans="1:11" s="9" customFormat="1" ht="13.2">
      <c r="A622" s="6"/>
      <c r="B622" s="6"/>
      <c r="C622" s="6"/>
      <c r="D622" s="6"/>
      <c r="E622" s="6"/>
      <c r="F622" s="12"/>
      <c r="G622" s="12"/>
      <c r="H622" s="12"/>
      <c r="I622" s="12"/>
      <c r="J622" s="12"/>
      <c r="K622" s="12"/>
    </row>
    <row r="623" spans="1:11" s="9" customFormat="1" ht="13.2">
      <c r="A623" s="6"/>
      <c r="B623" s="6"/>
      <c r="C623" s="6"/>
      <c r="D623" s="6"/>
      <c r="E623" s="6"/>
      <c r="F623" s="12"/>
      <c r="G623" s="12"/>
      <c r="H623" s="12"/>
      <c r="I623" s="12"/>
      <c r="J623" s="12"/>
      <c r="K623" s="12"/>
    </row>
    <row r="624" spans="1:11" s="9" customFormat="1" ht="13.2">
      <c r="A624" s="6"/>
      <c r="B624" s="6"/>
      <c r="C624" s="6"/>
      <c r="D624" s="6"/>
      <c r="E624" s="6"/>
      <c r="F624" s="12"/>
      <c r="G624" s="12"/>
      <c r="H624" s="12"/>
      <c r="I624" s="12"/>
      <c r="J624" s="12"/>
      <c r="K624" s="12"/>
    </row>
    <row r="625" spans="1:13" s="9" customFormat="1" ht="13.2">
      <c r="A625" s="6"/>
      <c r="B625" s="6"/>
      <c r="C625" s="6"/>
      <c r="D625" s="6"/>
      <c r="E625" s="6"/>
      <c r="F625" s="12"/>
      <c r="G625" s="12"/>
      <c r="H625" s="12"/>
      <c r="I625" s="12"/>
      <c r="J625" s="12"/>
      <c r="K625" s="12"/>
    </row>
    <row r="626" spans="1:13" s="9" customFormat="1" ht="13.2">
      <c r="A626" s="6"/>
      <c r="B626" s="6"/>
      <c r="C626" s="6"/>
      <c r="D626" s="6"/>
      <c r="E626" s="6"/>
      <c r="F626" s="12"/>
      <c r="G626" s="12"/>
      <c r="H626" s="12"/>
      <c r="I626" s="12"/>
      <c r="J626" s="12"/>
      <c r="K626" s="12"/>
    </row>
    <row r="627" spans="1:13" s="9" customFormat="1" ht="13.2">
      <c r="A627" s="6"/>
      <c r="B627" s="6"/>
      <c r="C627" s="6"/>
      <c r="D627" s="6"/>
      <c r="E627" s="6"/>
      <c r="F627" s="12"/>
      <c r="G627" s="12"/>
      <c r="H627" s="12"/>
      <c r="I627" s="12"/>
      <c r="J627" s="12"/>
      <c r="K627" s="12"/>
    </row>
    <row r="628" spans="1:13" s="9" customFormat="1" ht="13.2">
      <c r="A628" s="6"/>
      <c r="B628" s="6"/>
      <c r="C628" s="6"/>
      <c r="D628" s="6"/>
      <c r="E628" s="6"/>
      <c r="F628" s="12"/>
      <c r="G628" s="12"/>
      <c r="H628" s="12"/>
      <c r="I628" s="12"/>
      <c r="J628" s="12"/>
      <c r="K628" s="12"/>
    </row>
    <row r="629" spans="1:13" s="9" customForma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s="9" customForma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s="9" customForma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s="9" customForma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s="9" customForma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s="9" customForma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</sheetData>
  <mergeCells count="300">
    <mergeCell ref="B17:F17"/>
    <mergeCell ref="B18:F18"/>
    <mergeCell ref="B22:F22"/>
    <mergeCell ref="B24:F24"/>
    <mergeCell ref="B37:F37"/>
    <mergeCell ref="B38:F38"/>
    <mergeCell ref="B39:F39"/>
    <mergeCell ref="B44:F44"/>
    <mergeCell ref="B45:F45"/>
    <mergeCell ref="B30:F30"/>
    <mergeCell ref="B3:H3"/>
    <mergeCell ref="L3:M3"/>
    <mergeCell ref="B4:H4"/>
    <mergeCell ref="L4:M4"/>
    <mergeCell ref="B5:H5"/>
    <mergeCell ref="L5:M5"/>
    <mergeCell ref="B31:E31"/>
    <mergeCell ref="B32:F32"/>
    <mergeCell ref="G11:I11"/>
    <mergeCell ref="J11:K11"/>
    <mergeCell ref="B12:F12"/>
    <mergeCell ref="G12:I12"/>
    <mergeCell ref="J12:K12"/>
    <mergeCell ref="B6:H6"/>
    <mergeCell ref="L6:M6"/>
    <mergeCell ref="L8:M8"/>
    <mergeCell ref="G16:I16"/>
    <mergeCell ref="J16:K16"/>
    <mergeCell ref="G17:I17"/>
    <mergeCell ref="J17:K17"/>
    <mergeCell ref="G21:I21"/>
    <mergeCell ref="J21:K21"/>
    <mergeCell ref="G22:I22"/>
    <mergeCell ref="J22:K22"/>
    <mergeCell ref="A9:A10"/>
    <mergeCell ref="B9:F10"/>
    <mergeCell ref="G9:I10"/>
    <mergeCell ref="J9:L9"/>
    <mergeCell ref="M9:M10"/>
    <mergeCell ref="J10:K10"/>
    <mergeCell ref="B15:F15"/>
    <mergeCell ref="G15:I15"/>
    <mergeCell ref="J15:K15"/>
    <mergeCell ref="G13:I13"/>
    <mergeCell ref="J13:K13"/>
    <mergeCell ref="B14:E14"/>
    <mergeCell ref="G14:I14"/>
    <mergeCell ref="J14:K14"/>
    <mergeCell ref="G23:I23"/>
    <mergeCell ref="J23:K23"/>
    <mergeCell ref="G18:I18"/>
    <mergeCell ref="J18:K18"/>
    <mergeCell ref="G19:I19"/>
    <mergeCell ref="J19:K19"/>
    <mergeCell ref="G20:I20"/>
    <mergeCell ref="J20:K20"/>
    <mergeCell ref="B29:F29"/>
    <mergeCell ref="G29:I29"/>
    <mergeCell ref="J29:K29"/>
    <mergeCell ref="G27:I27"/>
    <mergeCell ref="J27:K27"/>
    <mergeCell ref="G28:I28"/>
    <mergeCell ref="J28:K28"/>
    <mergeCell ref="G24:I24"/>
    <mergeCell ref="J24:K24"/>
    <mergeCell ref="G25:I25"/>
    <mergeCell ref="J25:K25"/>
    <mergeCell ref="B26:F26"/>
    <mergeCell ref="G26:I26"/>
    <mergeCell ref="J26:K26"/>
    <mergeCell ref="G37:I37"/>
    <mergeCell ref="J37:K37"/>
    <mergeCell ref="G39:I39"/>
    <mergeCell ref="J39:K39"/>
    <mergeCell ref="G45:I45"/>
    <mergeCell ref="J45:K45"/>
    <mergeCell ref="G30:I30"/>
    <mergeCell ref="J30:K30"/>
    <mergeCell ref="G32:I32"/>
    <mergeCell ref="B50:F50"/>
    <mergeCell ref="G50:H50"/>
    <mergeCell ref="J50:K50"/>
    <mergeCell ref="B51:F51"/>
    <mergeCell ref="G51:H51"/>
    <mergeCell ref="J51:K51"/>
    <mergeCell ref="B46:F46"/>
    <mergeCell ref="B48:F48"/>
    <mergeCell ref="G48:H48"/>
    <mergeCell ref="J48:K48"/>
    <mergeCell ref="B49:F49"/>
    <mergeCell ref="G49:H49"/>
    <mergeCell ref="J49:K49"/>
    <mergeCell ref="A56:F56"/>
    <mergeCell ref="H56:M56"/>
    <mergeCell ref="A57:F57"/>
    <mergeCell ref="H57:M57"/>
    <mergeCell ref="A58:F58"/>
    <mergeCell ref="H58:M58"/>
    <mergeCell ref="B52:F52"/>
    <mergeCell ref="G52:H52"/>
    <mergeCell ref="J52:K52"/>
    <mergeCell ref="B53:F53"/>
    <mergeCell ref="G53:I53"/>
    <mergeCell ref="A55:F55"/>
    <mergeCell ref="H55:M55"/>
    <mergeCell ref="A62:F62"/>
    <mergeCell ref="H62:M62"/>
    <mergeCell ref="A63:F63"/>
    <mergeCell ref="H63:M63"/>
    <mergeCell ref="A64:F64"/>
    <mergeCell ref="H64:M64"/>
    <mergeCell ref="A59:F59"/>
    <mergeCell ref="H59:M59"/>
    <mergeCell ref="A60:F60"/>
    <mergeCell ref="H60:M60"/>
    <mergeCell ref="A61:F61"/>
    <mergeCell ref="H61:M61"/>
    <mergeCell ref="A68:F68"/>
    <mergeCell ref="H68:I68"/>
    <mergeCell ref="J68:K68"/>
    <mergeCell ref="H69:I69"/>
    <mergeCell ref="J69:K69"/>
    <mergeCell ref="A70:F70"/>
    <mergeCell ref="H70:I70"/>
    <mergeCell ref="J70:K70"/>
    <mergeCell ref="A65:F65"/>
    <mergeCell ref="H65:M65"/>
    <mergeCell ref="H66:K66"/>
    <mergeCell ref="L66:M66"/>
    <mergeCell ref="A67:F67"/>
    <mergeCell ref="H67:I67"/>
    <mergeCell ref="J67:K67"/>
    <mergeCell ref="A73:F73"/>
    <mergeCell ref="H73:I73"/>
    <mergeCell ref="J73:K73"/>
    <mergeCell ref="A74:F74"/>
    <mergeCell ref="H74:I74"/>
    <mergeCell ref="J74:K74"/>
    <mergeCell ref="A71:F71"/>
    <mergeCell ref="H71:I71"/>
    <mergeCell ref="J71:K71"/>
    <mergeCell ref="A72:F72"/>
    <mergeCell ref="H72:I72"/>
    <mergeCell ref="J72:K72"/>
    <mergeCell ref="A77:F77"/>
    <mergeCell ref="H77:I77"/>
    <mergeCell ref="J77:K77"/>
    <mergeCell ref="B81:C81"/>
    <mergeCell ref="D81:E81"/>
    <mergeCell ref="F81:G81"/>
    <mergeCell ref="H81:I81"/>
    <mergeCell ref="J81:L81"/>
    <mergeCell ref="A75:F75"/>
    <mergeCell ref="H75:I75"/>
    <mergeCell ref="J75:K75"/>
    <mergeCell ref="A76:F76"/>
    <mergeCell ref="H76:I76"/>
    <mergeCell ref="J76:K76"/>
    <mergeCell ref="B82:C83"/>
    <mergeCell ref="D82:E83"/>
    <mergeCell ref="F82:G83"/>
    <mergeCell ref="H82:I83"/>
    <mergeCell ref="J82:L83"/>
    <mergeCell ref="A87:B87"/>
    <mergeCell ref="D87:F87"/>
    <mergeCell ref="H87:J87"/>
    <mergeCell ref="L87:M87"/>
    <mergeCell ref="A100:A101"/>
    <mergeCell ref="B100:F101"/>
    <mergeCell ref="G100:I101"/>
    <mergeCell ref="J100:L100"/>
    <mergeCell ref="M100:M101"/>
    <mergeCell ref="A88:B88"/>
    <mergeCell ref="D88:F88"/>
    <mergeCell ref="H88:J88"/>
    <mergeCell ref="B94:H94"/>
    <mergeCell ref="L94:M94"/>
    <mergeCell ref="B95:H95"/>
    <mergeCell ref="L95:M95"/>
    <mergeCell ref="B102:F102"/>
    <mergeCell ref="G102:I102"/>
    <mergeCell ref="B103:F103"/>
    <mergeCell ref="G103:I103"/>
    <mergeCell ref="B104:F104"/>
    <mergeCell ref="G104:I104"/>
    <mergeCell ref="B96:H96"/>
    <mergeCell ref="L96:M96"/>
    <mergeCell ref="B97:H97"/>
    <mergeCell ref="L97:M97"/>
    <mergeCell ref="L99:M99"/>
    <mergeCell ref="B108:F108"/>
    <mergeCell ref="G108:I108"/>
    <mergeCell ref="B109:F109"/>
    <mergeCell ref="G109:I109"/>
    <mergeCell ref="B110:F110"/>
    <mergeCell ref="G110:I110"/>
    <mergeCell ref="B105:F105"/>
    <mergeCell ref="G105:I105"/>
    <mergeCell ref="B106:F106"/>
    <mergeCell ref="G106:I106"/>
    <mergeCell ref="B107:F107"/>
    <mergeCell ref="G107:I107"/>
    <mergeCell ref="B114:F114"/>
    <mergeCell ref="G114:I114"/>
    <mergeCell ref="B115:F115"/>
    <mergeCell ref="G115:I115"/>
    <mergeCell ref="B116:F116"/>
    <mergeCell ref="G116:I116"/>
    <mergeCell ref="B111:F111"/>
    <mergeCell ref="G111:I111"/>
    <mergeCell ref="B112:F112"/>
    <mergeCell ref="G112:I112"/>
    <mergeCell ref="B113:F113"/>
    <mergeCell ref="G113:I113"/>
    <mergeCell ref="B120:F120"/>
    <mergeCell ref="G120:I120"/>
    <mergeCell ref="B121:F121"/>
    <mergeCell ref="G121:I121"/>
    <mergeCell ref="B122:F122"/>
    <mergeCell ref="B124:F124"/>
    <mergeCell ref="G124:H124"/>
    <mergeCell ref="B117:F117"/>
    <mergeCell ref="G117:I117"/>
    <mergeCell ref="B118:F118"/>
    <mergeCell ref="G118:I118"/>
    <mergeCell ref="B119:F119"/>
    <mergeCell ref="G119:I119"/>
    <mergeCell ref="B128:F128"/>
    <mergeCell ref="G128:H128"/>
    <mergeCell ref="B129:F129"/>
    <mergeCell ref="G129:I129"/>
    <mergeCell ref="A131:F131"/>
    <mergeCell ref="H131:M131"/>
    <mergeCell ref="B125:F125"/>
    <mergeCell ref="G125:H125"/>
    <mergeCell ref="B126:F126"/>
    <mergeCell ref="G126:H126"/>
    <mergeCell ref="B127:F127"/>
    <mergeCell ref="G127:H127"/>
    <mergeCell ref="A135:F135"/>
    <mergeCell ref="H135:M135"/>
    <mergeCell ref="A136:F136"/>
    <mergeCell ref="H136:M136"/>
    <mergeCell ref="A137:F137"/>
    <mergeCell ref="H137:M137"/>
    <mergeCell ref="A132:F132"/>
    <mergeCell ref="H132:M132"/>
    <mergeCell ref="A133:F133"/>
    <mergeCell ref="H133:M133"/>
    <mergeCell ref="A134:F134"/>
    <mergeCell ref="H134:M134"/>
    <mergeCell ref="A141:F141"/>
    <mergeCell ref="H141:M141"/>
    <mergeCell ref="H142:J142"/>
    <mergeCell ref="L142:M142"/>
    <mergeCell ref="A143:F143"/>
    <mergeCell ref="H143:I143"/>
    <mergeCell ref="A138:F138"/>
    <mergeCell ref="H138:M138"/>
    <mergeCell ref="A139:F139"/>
    <mergeCell ref="H139:M139"/>
    <mergeCell ref="A140:F140"/>
    <mergeCell ref="H140:M140"/>
    <mergeCell ref="A147:F147"/>
    <mergeCell ref="H147:I147"/>
    <mergeCell ref="A148:F148"/>
    <mergeCell ref="H148:I148"/>
    <mergeCell ref="A149:F149"/>
    <mergeCell ref="H149:I149"/>
    <mergeCell ref="A144:F144"/>
    <mergeCell ref="H144:I144"/>
    <mergeCell ref="A145:F145"/>
    <mergeCell ref="H145:I145"/>
    <mergeCell ref="A146:F146"/>
    <mergeCell ref="H146:I146"/>
    <mergeCell ref="A163:B163"/>
    <mergeCell ref="D163:F163"/>
    <mergeCell ref="H163:J163"/>
    <mergeCell ref="L163:M163"/>
    <mergeCell ref="A164:B164"/>
    <mergeCell ref="D164:F164"/>
    <mergeCell ref="H164:J164"/>
    <mergeCell ref="J157:L157"/>
    <mergeCell ref="B158:C159"/>
    <mergeCell ref="D158:E159"/>
    <mergeCell ref="F158:G159"/>
    <mergeCell ref="H158:I159"/>
    <mergeCell ref="J158:L159"/>
    <mergeCell ref="A153:F153"/>
    <mergeCell ref="H153:I153"/>
    <mergeCell ref="B157:C157"/>
    <mergeCell ref="D157:E157"/>
    <mergeCell ref="F157:G157"/>
    <mergeCell ref="H157:I157"/>
    <mergeCell ref="A150:F150"/>
    <mergeCell ref="H150:I150"/>
    <mergeCell ref="A151:F151"/>
    <mergeCell ref="H151:I151"/>
    <mergeCell ref="A152:F152"/>
    <mergeCell ref="H152:I152"/>
  </mergeCells>
  <printOptions horizontalCentered="1"/>
  <pageMargins left="0.31496062992126" right="0.31496062992126" top="0.35433070866141703" bottom="0.35433070866141703" header="0.31496062992126" footer="0.31496062992126"/>
  <pageSetup paperSize="14" scale="57" orientation="portrait" r:id="rId1"/>
  <rowBreaks count="1" manualBreakCount="1">
    <brk id="88" max="11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754D-FAE8-40A6-8FDA-41903F73184C}">
  <sheetPr>
    <tabColor rgb="FFFFC000"/>
    <pageSetUpPr fitToPage="1"/>
  </sheetPr>
  <dimension ref="A1:O618"/>
  <sheetViews>
    <sheetView view="pageBreakPreview" zoomScale="99" zoomScaleNormal="55" zoomScaleSheetLayoutView="99" zoomScalePageLayoutView="25" workbookViewId="0">
      <selection activeCell="M72" sqref="A1:M72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5.4414062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554" t="s">
        <v>499</v>
      </c>
      <c r="C4" s="554"/>
      <c r="D4" s="554"/>
      <c r="E4" s="554"/>
      <c r="F4" s="554"/>
      <c r="G4" s="554"/>
      <c r="H4" s="554"/>
      <c r="J4" s="22"/>
      <c r="K4" s="22"/>
      <c r="L4" s="555"/>
      <c r="M4" s="555"/>
    </row>
    <row r="5" spans="1:13" s="16" customFormat="1" ht="16.5" customHeight="1">
      <c r="A5" s="69"/>
      <c r="B5" s="554"/>
      <c r="C5" s="554"/>
      <c r="D5" s="554"/>
      <c r="E5" s="554"/>
      <c r="F5" s="554"/>
      <c r="G5" s="554"/>
      <c r="H5" s="554"/>
      <c r="I5" s="21" t="s">
        <v>5</v>
      </c>
      <c r="J5" s="22"/>
      <c r="K5" s="22"/>
      <c r="L5" s="557" t="s">
        <v>504</v>
      </c>
      <c r="M5" s="557"/>
    </row>
    <row r="6" spans="1:13" s="16" customFormat="1" ht="16.5" customHeight="1">
      <c r="A6" s="22" t="s">
        <v>10</v>
      </c>
      <c r="B6" s="556" t="s">
        <v>500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451"/>
      <c r="M7" s="451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5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84"/>
    </row>
    <row r="11" spans="1:13" s="326" customFormat="1" ht="16.5" customHeight="1">
      <c r="A11" s="396" t="s">
        <v>274</v>
      </c>
      <c r="B11" s="424" t="s">
        <v>103</v>
      </c>
      <c r="C11" s="427"/>
      <c r="D11" s="427"/>
      <c r="E11" s="427"/>
      <c r="F11" s="428"/>
      <c r="G11" s="735"/>
      <c r="H11" s="735"/>
      <c r="I11" s="735"/>
      <c r="J11" s="738"/>
      <c r="K11" s="739"/>
      <c r="L11" s="358"/>
      <c r="M11" s="435"/>
    </row>
    <row r="12" spans="1:13" s="18" customFormat="1" ht="16.5" customHeight="1">
      <c r="A12" s="707" t="s">
        <v>104</v>
      </c>
      <c r="B12" s="795" t="s">
        <v>262</v>
      </c>
      <c r="C12" s="796"/>
      <c r="D12" s="796"/>
      <c r="E12" s="796"/>
      <c r="F12" s="797"/>
      <c r="G12" s="709"/>
      <c r="H12" s="710"/>
      <c r="I12" s="711"/>
      <c r="J12" s="798"/>
      <c r="K12" s="799"/>
      <c r="L12" s="719"/>
      <c r="M12" s="821" t="s">
        <v>305</v>
      </c>
    </row>
    <row r="13" spans="1:13" s="18" customFormat="1" ht="16.5" customHeight="1">
      <c r="A13" s="708"/>
      <c r="B13" s="809"/>
      <c r="C13" s="810"/>
      <c r="D13" s="810"/>
      <c r="E13" s="810"/>
      <c r="F13" s="811"/>
      <c r="G13" s="712"/>
      <c r="H13" s="713"/>
      <c r="I13" s="714"/>
      <c r="J13" s="807"/>
      <c r="K13" s="808"/>
      <c r="L13" s="720"/>
      <c r="M13" s="822"/>
    </row>
    <row r="14" spans="1:13" s="326" customFormat="1" ht="16.5" customHeight="1">
      <c r="A14" s="396" t="s">
        <v>107</v>
      </c>
      <c r="B14" s="424" t="s">
        <v>310</v>
      </c>
      <c r="C14" s="430"/>
      <c r="D14" s="430"/>
      <c r="E14" s="430"/>
      <c r="F14" s="394"/>
      <c r="G14" s="735"/>
      <c r="H14" s="735"/>
      <c r="I14" s="735"/>
      <c r="J14" s="736"/>
      <c r="K14" s="737"/>
      <c r="L14" s="468"/>
      <c r="M14" s="436" t="s">
        <v>381</v>
      </c>
    </row>
    <row r="15" spans="1:13" s="18" customFormat="1" ht="16.2" customHeight="1">
      <c r="A15" s="395" t="s">
        <v>111</v>
      </c>
      <c r="B15" s="744" t="s">
        <v>112</v>
      </c>
      <c r="C15" s="745"/>
      <c r="D15" s="745"/>
      <c r="E15" s="745"/>
      <c r="F15" s="394"/>
      <c r="G15" s="735"/>
      <c r="H15" s="735"/>
      <c r="I15" s="735"/>
      <c r="J15" s="736"/>
      <c r="K15" s="737"/>
      <c r="L15" s="468"/>
      <c r="M15" s="436" t="s">
        <v>381</v>
      </c>
    </row>
    <row r="16" spans="1:13" s="326" customFormat="1" ht="16.5" customHeight="1">
      <c r="A16" s="395" t="s">
        <v>276</v>
      </c>
      <c r="B16" s="744" t="s">
        <v>352</v>
      </c>
      <c r="C16" s="745"/>
      <c r="D16" s="745"/>
      <c r="E16" s="745"/>
      <c r="F16" s="746"/>
      <c r="G16" s="735"/>
      <c r="H16" s="735"/>
      <c r="I16" s="735"/>
      <c r="J16" s="738"/>
      <c r="K16" s="739"/>
      <c r="L16" s="357"/>
      <c r="M16" s="437"/>
    </row>
    <row r="17" spans="1:13" s="18" customFormat="1" ht="16.5" customHeight="1">
      <c r="A17" s="431" t="s">
        <v>403</v>
      </c>
      <c r="B17" s="432" t="s">
        <v>412</v>
      </c>
      <c r="C17" s="433"/>
      <c r="D17" s="434"/>
      <c r="E17" s="434"/>
      <c r="F17" s="433"/>
      <c r="G17" s="735"/>
      <c r="H17" s="735"/>
      <c r="I17" s="735"/>
      <c r="J17" s="747"/>
      <c r="K17" s="748"/>
      <c r="L17" s="468"/>
      <c r="M17" s="438" t="s">
        <v>331</v>
      </c>
    </row>
    <row r="18" spans="1:13" s="326" customFormat="1" ht="16.5" customHeight="1">
      <c r="A18" s="443" t="s">
        <v>149</v>
      </c>
      <c r="B18" s="393" t="s">
        <v>501</v>
      </c>
      <c r="C18" s="433"/>
      <c r="D18" s="434"/>
      <c r="E18" s="434"/>
      <c r="F18" s="433"/>
      <c r="G18" s="735"/>
      <c r="H18" s="735"/>
      <c r="I18" s="735"/>
      <c r="J18" s="747"/>
      <c r="K18" s="748"/>
      <c r="L18" s="468"/>
      <c r="M18" s="438" t="s">
        <v>265</v>
      </c>
    </row>
    <row r="19" spans="1:13" s="326" customFormat="1" ht="16.5" customHeight="1">
      <c r="A19" s="395">
        <v>1032</v>
      </c>
      <c r="B19" s="775" t="s">
        <v>322</v>
      </c>
      <c r="C19" s="776"/>
      <c r="D19" s="776"/>
      <c r="E19" s="776"/>
      <c r="F19" s="777"/>
      <c r="G19" s="735"/>
      <c r="H19" s="735"/>
      <c r="I19" s="735"/>
      <c r="J19" s="747"/>
      <c r="K19" s="748"/>
      <c r="L19" s="468"/>
      <c r="M19" s="436" t="s">
        <v>331</v>
      </c>
    </row>
    <row r="20" spans="1:13" s="18" customFormat="1" ht="16.5" customHeight="1">
      <c r="A20" s="395">
        <v>1047</v>
      </c>
      <c r="B20" s="775" t="s">
        <v>492</v>
      </c>
      <c r="C20" s="776"/>
      <c r="D20" s="776"/>
      <c r="E20" s="776"/>
      <c r="F20" s="777"/>
      <c r="G20" s="735"/>
      <c r="H20" s="735"/>
      <c r="I20" s="735"/>
      <c r="J20" s="747"/>
      <c r="K20" s="748"/>
      <c r="L20" s="468"/>
      <c r="M20" s="436" t="s">
        <v>330</v>
      </c>
    </row>
    <row r="21" spans="1:13" s="326" customFormat="1" ht="16.5" customHeight="1">
      <c r="A21" s="395">
        <v>1014</v>
      </c>
      <c r="B21" s="432" t="s">
        <v>324</v>
      </c>
      <c r="C21" s="394"/>
      <c r="D21" s="434"/>
      <c r="E21" s="434"/>
      <c r="F21" s="433"/>
      <c r="G21" s="735"/>
      <c r="H21" s="735"/>
      <c r="I21" s="735"/>
      <c r="J21" s="747"/>
      <c r="K21" s="748"/>
      <c r="L21" s="468"/>
      <c r="M21" s="436" t="s">
        <v>331</v>
      </c>
    </row>
    <row r="22" spans="1:13" s="18" customFormat="1" ht="16.5" customHeight="1">
      <c r="A22" s="395">
        <v>1103</v>
      </c>
      <c r="B22" s="775" t="s">
        <v>502</v>
      </c>
      <c r="C22" s="776"/>
      <c r="D22" s="776"/>
      <c r="E22" s="776"/>
      <c r="F22" s="777"/>
      <c r="G22" s="735"/>
      <c r="H22" s="735"/>
      <c r="I22" s="735"/>
      <c r="J22" s="747"/>
      <c r="K22" s="748"/>
      <c r="L22" s="468"/>
      <c r="M22" s="436" t="s">
        <v>503</v>
      </c>
    </row>
    <row r="23" spans="1:13" s="326" customFormat="1" ht="16.5" customHeight="1">
      <c r="A23" s="395"/>
      <c r="B23" s="778"/>
      <c r="C23" s="779"/>
      <c r="D23" s="779"/>
      <c r="E23" s="779"/>
      <c r="F23" s="780"/>
      <c r="G23" s="735"/>
      <c r="H23" s="735"/>
      <c r="I23" s="735"/>
      <c r="J23" s="747"/>
      <c r="K23" s="748"/>
      <c r="L23" s="333"/>
      <c r="M23" s="436"/>
    </row>
    <row r="24" spans="1:13" s="18" customFormat="1" ht="16.5" customHeight="1">
      <c r="A24" s="395"/>
      <c r="B24" s="778"/>
      <c r="C24" s="779"/>
      <c r="D24" s="779"/>
      <c r="E24" s="779"/>
      <c r="F24" s="780"/>
      <c r="G24" s="735"/>
      <c r="H24" s="735"/>
      <c r="I24" s="735"/>
      <c r="J24" s="747"/>
      <c r="K24" s="748"/>
      <c r="L24" s="333"/>
      <c r="M24" s="436"/>
    </row>
    <row r="25" spans="1:13" s="326" customFormat="1" ht="16.5" customHeight="1">
      <c r="A25" s="454"/>
      <c r="B25" s="778"/>
      <c r="C25" s="779"/>
      <c r="D25" s="779"/>
      <c r="E25" s="779"/>
      <c r="F25" s="780"/>
      <c r="G25" s="470"/>
      <c r="H25" s="471"/>
      <c r="I25" s="472"/>
      <c r="J25" s="468"/>
      <c r="K25" s="469"/>
      <c r="L25" s="333"/>
      <c r="M25" s="435"/>
    </row>
    <row r="26" spans="1:13" s="326" customFormat="1" ht="16.5" customHeight="1">
      <c r="A26" s="442"/>
      <c r="B26" s="778"/>
      <c r="C26" s="779"/>
      <c r="D26" s="779"/>
      <c r="E26" s="779"/>
      <c r="F26" s="780"/>
      <c r="G26" s="470"/>
      <c r="H26" s="471"/>
      <c r="I26" s="472"/>
      <c r="J26" s="468"/>
      <c r="K26" s="469"/>
      <c r="L26" s="333"/>
      <c r="M26" s="435"/>
    </row>
    <row r="27" spans="1:13" s="326" customFormat="1" ht="16.5" customHeight="1">
      <c r="A27" s="442"/>
      <c r="B27" s="778"/>
      <c r="C27" s="779"/>
      <c r="D27" s="779"/>
      <c r="E27" s="779"/>
      <c r="F27" s="780"/>
      <c r="G27" s="470"/>
      <c r="H27" s="471"/>
      <c r="I27" s="472"/>
      <c r="J27" s="468"/>
      <c r="K27" s="469"/>
      <c r="L27" s="333"/>
      <c r="M27" s="435"/>
    </row>
    <row r="28" spans="1:13" s="326" customFormat="1" ht="16.5" customHeight="1">
      <c r="A28" s="442"/>
      <c r="B28" s="778"/>
      <c r="C28" s="779"/>
      <c r="D28" s="779"/>
      <c r="E28" s="779"/>
      <c r="F28" s="780"/>
      <c r="G28" s="470"/>
      <c r="H28" s="471"/>
      <c r="I28" s="472"/>
      <c r="J28" s="468"/>
      <c r="K28" s="469"/>
      <c r="L28" s="333"/>
      <c r="M28" s="435"/>
    </row>
    <row r="29" spans="1:13" s="18" customFormat="1" ht="16.5" customHeight="1" thickBot="1">
      <c r="A29" s="346"/>
      <c r="B29" s="778"/>
      <c r="C29" s="779"/>
      <c r="D29" s="779"/>
      <c r="E29" s="779"/>
      <c r="F29" s="780"/>
      <c r="G29" s="757"/>
      <c r="H29" s="757"/>
      <c r="I29" s="757"/>
      <c r="J29" s="758"/>
      <c r="K29" s="759"/>
      <c r="L29" s="350"/>
      <c r="M29" s="399"/>
    </row>
    <row r="30" spans="1:13" s="18" customFormat="1" ht="16.5" customHeight="1">
      <c r="A30" s="454"/>
      <c r="B30" s="566"/>
      <c r="C30" s="566"/>
      <c r="D30" s="566"/>
      <c r="E30" s="566"/>
      <c r="F30" s="566"/>
      <c r="G30" s="454"/>
      <c r="H30" s="41"/>
      <c r="I30" s="41"/>
      <c r="J30" s="42"/>
      <c r="K30" s="42"/>
      <c r="L30" s="43"/>
      <c r="M30" s="3"/>
    </row>
    <row r="31" spans="1:13" s="18" customFormat="1" ht="16.5" customHeight="1">
      <c r="A31" s="26"/>
      <c r="B31" s="456"/>
      <c r="C31" s="456"/>
      <c r="D31" s="456"/>
      <c r="E31" s="456"/>
      <c r="F31" s="17"/>
      <c r="G31" s="17"/>
      <c r="H31" s="17"/>
      <c r="I31" s="17"/>
      <c r="J31" s="17"/>
      <c r="K31" s="17"/>
      <c r="L31" s="3"/>
      <c r="M31" s="3"/>
    </row>
    <row r="32" spans="1:13" s="25" customFormat="1" ht="16.5" customHeight="1">
      <c r="A32" s="19" t="s">
        <v>13</v>
      </c>
      <c r="B32" s="567" t="s">
        <v>14</v>
      </c>
      <c r="C32" s="567"/>
      <c r="D32" s="567"/>
      <c r="E32" s="567"/>
      <c r="F32" s="567"/>
      <c r="G32" s="568" t="s">
        <v>24</v>
      </c>
      <c r="H32" s="568"/>
      <c r="I32" s="455" t="s">
        <v>17</v>
      </c>
      <c r="J32" s="733" t="s">
        <v>25</v>
      </c>
      <c r="K32" s="734"/>
      <c r="L32" s="450" t="s">
        <v>26</v>
      </c>
      <c r="M32" s="450" t="s">
        <v>27</v>
      </c>
    </row>
    <row r="33" spans="1:13" s="18" customFormat="1" ht="16.5" customHeight="1">
      <c r="A33" s="317"/>
      <c r="B33" s="563"/>
      <c r="C33" s="563"/>
      <c r="D33" s="563"/>
      <c r="E33" s="563"/>
      <c r="F33" s="563"/>
      <c r="G33" s="564"/>
      <c r="H33" s="564"/>
      <c r="I33" s="453"/>
      <c r="J33" s="755"/>
      <c r="K33" s="756"/>
      <c r="L33" s="460"/>
      <c r="M33" s="460"/>
    </row>
    <row r="34" spans="1:13" s="52" customFormat="1" ht="16.5" customHeight="1">
      <c r="A34" s="452"/>
      <c r="B34" s="563"/>
      <c r="C34" s="563"/>
      <c r="D34" s="563"/>
      <c r="E34" s="563"/>
      <c r="F34" s="563"/>
      <c r="G34" s="564"/>
      <c r="H34" s="564"/>
      <c r="I34" s="453"/>
      <c r="J34" s="755"/>
      <c r="K34" s="756"/>
      <c r="L34" s="460"/>
      <c r="M34" s="460"/>
    </row>
    <row r="35" spans="1:13" s="52" customFormat="1" ht="16.5" customHeight="1">
      <c r="A35" s="452"/>
      <c r="B35" s="563"/>
      <c r="C35" s="563"/>
      <c r="D35" s="563"/>
      <c r="E35" s="563"/>
      <c r="F35" s="563"/>
      <c r="G35" s="564"/>
      <c r="H35" s="564"/>
      <c r="I35" s="453"/>
      <c r="J35" s="755"/>
      <c r="K35" s="756"/>
      <c r="L35" s="460"/>
      <c r="M35" s="460"/>
    </row>
    <row r="36" spans="1:13" s="52" customFormat="1" ht="16.5" customHeight="1">
      <c r="A36" s="452"/>
      <c r="B36" s="563"/>
      <c r="C36" s="563"/>
      <c r="D36" s="563"/>
      <c r="E36" s="563"/>
      <c r="F36" s="563"/>
      <c r="G36" s="564"/>
      <c r="H36" s="564"/>
      <c r="I36" s="453"/>
      <c r="J36" s="755"/>
      <c r="K36" s="756"/>
      <c r="L36" s="460"/>
      <c r="M36" s="460"/>
    </row>
    <row r="37" spans="1:13" s="52" customFormat="1" ht="16.5" customHeight="1">
      <c r="A37" s="32"/>
      <c r="B37" s="565"/>
      <c r="C37" s="565"/>
      <c r="D37" s="565"/>
      <c r="E37" s="565"/>
      <c r="F37" s="565"/>
      <c r="G37" s="565"/>
      <c r="H37" s="565"/>
      <c r="I37" s="565"/>
      <c r="J37" s="17"/>
      <c r="K37" s="17"/>
      <c r="L37" s="3"/>
      <c r="M37" s="3"/>
    </row>
    <row r="38" spans="1:13" s="51" customFormat="1" ht="16.5" customHeight="1">
      <c r="A38" s="34" t="s">
        <v>28</v>
      </c>
      <c r="B38" s="34"/>
      <c r="C38" s="34"/>
      <c r="D38" s="34"/>
      <c r="E38" s="34"/>
      <c r="F38" s="17"/>
      <c r="G38" s="38"/>
      <c r="H38" s="36" t="s">
        <v>29</v>
      </c>
      <c r="I38" s="34"/>
      <c r="J38" s="34"/>
      <c r="K38" s="34"/>
      <c r="L38" s="34"/>
      <c r="M38" s="34"/>
    </row>
    <row r="39" spans="1:13" s="51" customFormat="1" ht="16.5" customHeight="1">
      <c r="A39" s="569"/>
      <c r="B39" s="569"/>
      <c r="C39" s="569"/>
      <c r="D39" s="569"/>
      <c r="E39" s="569"/>
      <c r="F39" s="569"/>
      <c r="G39" s="457"/>
      <c r="H39" s="569"/>
      <c r="I39" s="569"/>
      <c r="J39" s="569"/>
      <c r="K39" s="569"/>
      <c r="L39" s="569"/>
      <c r="M39" s="569"/>
    </row>
    <row r="40" spans="1:13" s="51" customFormat="1" ht="16.5" customHeight="1">
      <c r="A40" s="571"/>
      <c r="B40" s="571"/>
      <c r="C40" s="571"/>
      <c r="D40" s="571"/>
      <c r="E40" s="571"/>
      <c r="F40" s="571"/>
      <c r="G40" s="457"/>
      <c r="H40" s="571"/>
      <c r="I40" s="571"/>
      <c r="J40" s="571"/>
      <c r="K40" s="571"/>
      <c r="L40" s="571"/>
      <c r="M40" s="571"/>
    </row>
    <row r="41" spans="1:13" s="51" customFormat="1" ht="16.5" customHeight="1">
      <c r="A41" s="571"/>
      <c r="B41" s="571"/>
      <c r="C41" s="571"/>
      <c r="D41" s="571"/>
      <c r="E41" s="571"/>
      <c r="F41" s="571"/>
      <c r="G41" s="57"/>
      <c r="H41" s="569"/>
      <c r="I41" s="569"/>
      <c r="J41" s="569"/>
      <c r="K41" s="569"/>
      <c r="L41" s="569"/>
      <c r="M41" s="569"/>
    </row>
    <row r="42" spans="1:13" s="51" customFormat="1" ht="16.5" customHeight="1">
      <c r="A42" s="569"/>
      <c r="B42" s="569"/>
      <c r="C42" s="569"/>
      <c r="D42" s="569"/>
      <c r="E42" s="569"/>
      <c r="F42" s="569"/>
      <c r="G42" s="57"/>
      <c r="H42" s="569"/>
      <c r="I42" s="569"/>
      <c r="J42" s="569"/>
      <c r="K42" s="569"/>
      <c r="L42" s="569"/>
      <c r="M42" s="569"/>
    </row>
    <row r="43" spans="1:13" s="51" customFormat="1" ht="16.5" customHeight="1">
      <c r="A43" s="570"/>
      <c r="B43" s="570"/>
      <c r="C43" s="570"/>
      <c r="D43" s="570"/>
      <c r="E43" s="570"/>
      <c r="F43" s="570"/>
      <c r="G43" s="39"/>
      <c r="H43" s="569"/>
      <c r="I43" s="569"/>
      <c r="J43" s="569"/>
      <c r="K43" s="569"/>
      <c r="L43" s="569"/>
      <c r="M43" s="569"/>
    </row>
    <row r="44" spans="1:13" s="3" customFormat="1" ht="16.5" customHeight="1">
      <c r="A44" s="571"/>
      <c r="B44" s="571"/>
      <c r="C44" s="571"/>
      <c r="D44" s="571"/>
      <c r="E44" s="571"/>
      <c r="F44" s="571"/>
      <c r="G44" s="457"/>
      <c r="H44" s="569"/>
      <c r="I44" s="569"/>
      <c r="J44" s="569"/>
      <c r="K44" s="569"/>
      <c r="L44" s="569"/>
      <c r="M44" s="569"/>
    </row>
    <row r="45" spans="1:13" s="3" customFormat="1" ht="16.5" customHeight="1">
      <c r="A45" s="571"/>
      <c r="B45" s="571"/>
      <c r="C45" s="571"/>
      <c r="D45" s="571"/>
      <c r="E45" s="571"/>
      <c r="F45" s="571"/>
      <c r="G45" s="57"/>
      <c r="H45" s="569"/>
      <c r="I45" s="569"/>
      <c r="J45" s="569"/>
      <c r="K45" s="569"/>
      <c r="L45" s="569"/>
      <c r="M45" s="569"/>
    </row>
    <row r="46" spans="1:13" s="3" customFormat="1" ht="16.5" customHeight="1">
      <c r="A46" s="571"/>
      <c r="B46" s="571"/>
      <c r="C46" s="571"/>
      <c r="D46" s="571"/>
      <c r="E46" s="571"/>
      <c r="F46" s="571"/>
      <c r="G46" s="457"/>
      <c r="H46" s="569"/>
      <c r="I46" s="569"/>
      <c r="J46" s="569"/>
      <c r="K46" s="569"/>
      <c r="L46" s="569"/>
      <c r="M46" s="569"/>
    </row>
    <row r="47" spans="1:13" s="3" customFormat="1" ht="16.5" customHeight="1">
      <c r="A47" s="571"/>
      <c r="B47" s="571"/>
      <c r="C47" s="571"/>
      <c r="D47" s="571"/>
      <c r="E47" s="571"/>
      <c r="F47" s="571"/>
      <c r="G47" s="457"/>
      <c r="H47" s="569"/>
      <c r="I47" s="569"/>
      <c r="J47" s="569"/>
      <c r="K47" s="569"/>
      <c r="L47" s="569"/>
      <c r="M47" s="569"/>
    </row>
    <row r="48" spans="1:13" s="3" customFormat="1" ht="16.5" customHeight="1">
      <c r="A48" s="571"/>
      <c r="B48" s="571"/>
      <c r="C48" s="571"/>
      <c r="D48" s="571"/>
      <c r="E48" s="571"/>
      <c r="F48" s="571"/>
      <c r="G48" s="57"/>
      <c r="H48" s="569"/>
      <c r="I48" s="569"/>
      <c r="J48" s="569"/>
      <c r="K48" s="569"/>
      <c r="L48" s="569"/>
      <c r="M48" s="569"/>
    </row>
    <row r="49" spans="1:13" s="3" customFormat="1" ht="16.5" customHeight="1">
      <c r="A49" s="572"/>
      <c r="B49" s="572"/>
      <c r="C49" s="572"/>
      <c r="D49" s="572"/>
      <c r="E49" s="572"/>
      <c r="F49" s="572"/>
      <c r="G49" s="57"/>
      <c r="H49" s="572"/>
      <c r="I49" s="572"/>
      <c r="J49" s="572"/>
      <c r="K49" s="572"/>
      <c r="L49" s="572"/>
      <c r="M49" s="572"/>
    </row>
    <row r="50" spans="1:13" s="3" customFormat="1" ht="16.5" customHeight="1">
      <c r="A50" s="70" t="s">
        <v>34</v>
      </c>
      <c r="B50" s="5"/>
      <c r="C50" s="4"/>
      <c r="H50" s="760" t="s">
        <v>35</v>
      </c>
      <c r="I50" s="761"/>
      <c r="J50" s="761"/>
      <c r="K50" s="762"/>
      <c r="L50" s="573" t="s">
        <v>36</v>
      </c>
      <c r="M50" s="573"/>
    </row>
    <row r="51" spans="1:13" s="3" customFormat="1" ht="16.5" customHeight="1">
      <c r="A51" s="576"/>
      <c r="B51" s="576"/>
      <c r="C51" s="576"/>
      <c r="D51" s="576"/>
      <c r="E51" s="576"/>
      <c r="F51" s="576"/>
      <c r="G51" s="71"/>
      <c r="H51" s="577" t="s">
        <v>14</v>
      </c>
      <c r="I51" s="577"/>
      <c r="J51" s="763" t="s">
        <v>24</v>
      </c>
      <c r="K51" s="764"/>
      <c r="L51" s="461" t="s">
        <v>14</v>
      </c>
      <c r="M51" s="461" t="s">
        <v>24</v>
      </c>
    </row>
    <row r="52" spans="1:13" s="3" customFormat="1" ht="16.5" customHeight="1">
      <c r="A52" s="576"/>
      <c r="B52" s="576"/>
      <c r="C52" s="576"/>
      <c r="D52" s="576"/>
      <c r="E52" s="576"/>
      <c r="F52" s="576"/>
      <c r="G52" s="72"/>
      <c r="H52" s="575"/>
      <c r="I52" s="575"/>
      <c r="J52" s="765"/>
      <c r="K52" s="766"/>
      <c r="L52" s="76"/>
      <c r="M52" s="460"/>
    </row>
    <row r="53" spans="1:13" s="3" customFormat="1" ht="16.5" customHeight="1">
      <c r="A53" s="459"/>
      <c r="B53" s="459"/>
      <c r="C53" s="459"/>
      <c r="D53" s="459"/>
      <c r="E53" s="459"/>
      <c r="F53" s="459"/>
      <c r="G53" s="72"/>
      <c r="H53" s="575"/>
      <c r="I53" s="575"/>
      <c r="J53" s="765"/>
      <c r="K53" s="766"/>
      <c r="L53" s="76"/>
      <c r="M53" s="460"/>
    </row>
    <row r="54" spans="1:13" s="3" customFormat="1" ht="16.5" customHeight="1">
      <c r="A54" s="574"/>
      <c r="B54" s="574"/>
      <c r="C54" s="574"/>
      <c r="D54" s="574"/>
      <c r="E54" s="574"/>
      <c r="F54" s="574"/>
      <c r="G54" s="72"/>
      <c r="H54" s="575"/>
      <c r="I54" s="575"/>
      <c r="J54" s="765"/>
      <c r="K54" s="766"/>
      <c r="L54" s="76"/>
      <c r="M54" s="460"/>
    </row>
    <row r="55" spans="1:13" s="3" customFormat="1" ht="16.5" customHeight="1">
      <c r="A55" s="767"/>
      <c r="B55" s="767"/>
      <c r="C55" s="767"/>
      <c r="D55" s="767"/>
      <c r="E55" s="767"/>
      <c r="F55" s="767"/>
      <c r="G55" s="72"/>
      <c r="H55" s="765"/>
      <c r="I55" s="766"/>
      <c r="J55" s="765"/>
      <c r="K55" s="766"/>
      <c r="L55" s="76"/>
      <c r="M55" s="460"/>
    </row>
    <row r="56" spans="1:13" s="3" customFormat="1" ht="16.5" customHeight="1">
      <c r="A56" s="767"/>
      <c r="B56" s="767"/>
      <c r="C56" s="767"/>
      <c r="D56" s="767"/>
      <c r="E56" s="767"/>
      <c r="F56" s="767"/>
      <c r="G56" s="72"/>
      <c r="H56" s="765"/>
      <c r="I56" s="766"/>
      <c r="J56" s="765"/>
      <c r="K56" s="766"/>
      <c r="L56" s="77"/>
      <c r="M56" s="460"/>
    </row>
    <row r="57" spans="1:13" s="3" customFormat="1" ht="70.8" customHeight="1">
      <c r="A57" s="767"/>
      <c r="B57" s="767"/>
      <c r="C57" s="767"/>
      <c r="D57" s="767"/>
      <c r="E57" s="767"/>
      <c r="F57" s="767"/>
      <c r="G57" s="72"/>
      <c r="H57" s="765"/>
      <c r="I57" s="766"/>
      <c r="J57" s="765"/>
      <c r="K57" s="766"/>
      <c r="M57" s="73"/>
    </row>
    <row r="58" spans="1:13" s="3" customFormat="1" ht="16.5" customHeight="1">
      <c r="A58" s="574"/>
      <c r="B58" s="574"/>
      <c r="C58" s="574"/>
      <c r="D58" s="574"/>
      <c r="E58" s="574"/>
      <c r="F58" s="574"/>
      <c r="G58" s="72"/>
      <c r="H58" s="575"/>
      <c r="I58" s="575"/>
      <c r="J58" s="765"/>
      <c r="K58" s="766"/>
      <c r="L58" s="77"/>
      <c r="M58" s="73"/>
    </row>
    <row r="59" spans="1:13" s="3" customFormat="1" ht="16.5" customHeight="1">
      <c r="A59" s="574"/>
      <c r="B59" s="574"/>
      <c r="C59" s="574"/>
      <c r="D59" s="574"/>
      <c r="E59" s="574"/>
      <c r="F59" s="574"/>
      <c r="G59" s="72"/>
      <c r="H59" s="575"/>
      <c r="I59" s="575"/>
      <c r="J59" s="765"/>
      <c r="K59" s="766"/>
      <c r="L59" s="77"/>
      <c r="M59" s="73"/>
    </row>
    <row r="60" spans="1:13" s="3" customFormat="1" ht="16.5" customHeight="1">
      <c r="A60" s="574"/>
      <c r="B60" s="574"/>
      <c r="C60" s="574"/>
      <c r="D60" s="574"/>
      <c r="E60" s="574"/>
      <c r="F60" s="574"/>
      <c r="G60" s="72"/>
      <c r="H60" s="575"/>
      <c r="I60" s="575"/>
      <c r="J60" s="765"/>
      <c r="K60" s="766"/>
      <c r="L60" s="77"/>
      <c r="M60" s="73"/>
    </row>
    <row r="61" spans="1:13" s="3" customFormat="1" ht="16.5" customHeight="1">
      <c r="A61" s="574"/>
      <c r="B61" s="574"/>
      <c r="C61" s="574"/>
      <c r="D61" s="574"/>
      <c r="E61" s="574"/>
      <c r="F61" s="574"/>
      <c r="G61" s="72"/>
      <c r="H61" s="575"/>
      <c r="I61" s="575"/>
      <c r="J61" s="765"/>
      <c r="K61" s="766"/>
      <c r="L61" s="77"/>
      <c r="M61" s="73"/>
    </row>
    <row r="62" spans="1:13" s="3" customFormat="1" ht="16.5" customHeight="1">
      <c r="A62" s="45"/>
      <c r="B62" s="46"/>
      <c r="C62" s="46"/>
      <c r="D62" s="46"/>
      <c r="E62" s="44"/>
      <c r="F62" s="46"/>
      <c r="G62" s="46"/>
      <c r="H62" s="46"/>
      <c r="I62" s="46"/>
      <c r="J62" s="46"/>
      <c r="K62" s="46"/>
      <c r="L62" s="47"/>
      <c r="M62" s="46"/>
    </row>
    <row r="63" spans="1:13" s="3" customFormat="1" ht="16.5" customHeight="1">
      <c r="A63" s="45" t="s">
        <v>45</v>
      </c>
      <c r="B63" s="46"/>
      <c r="C63" s="46"/>
      <c r="D63" s="46"/>
      <c r="E63" s="44"/>
      <c r="F63" s="46"/>
      <c r="G63" s="46"/>
      <c r="H63" s="46"/>
      <c r="I63" s="46"/>
      <c r="J63" s="46"/>
      <c r="K63" s="46"/>
      <c r="L63" s="47"/>
      <c r="M63" s="46"/>
    </row>
    <row r="64" spans="1:13" s="3" customFormat="1" ht="16.5" customHeight="1">
      <c r="A64" s="45"/>
      <c r="B64" s="46"/>
      <c r="C64" s="46"/>
      <c r="D64" s="46"/>
      <c r="E64" s="44"/>
      <c r="F64" s="46"/>
      <c r="G64" s="46"/>
      <c r="H64" s="46"/>
      <c r="I64" s="48"/>
      <c r="J64" s="48"/>
      <c r="K64" s="48"/>
      <c r="L64" s="47"/>
      <c r="M64" s="46"/>
    </row>
    <row r="65" spans="1:15" s="3" customFormat="1" ht="31.5" customHeight="1">
      <c r="A65" s="46" t="s">
        <v>46</v>
      </c>
      <c r="B65" s="578" t="s">
        <v>47</v>
      </c>
      <c r="C65" s="579"/>
      <c r="D65" s="578" t="s">
        <v>48</v>
      </c>
      <c r="E65" s="579"/>
      <c r="F65" s="578" t="s">
        <v>49</v>
      </c>
      <c r="G65" s="579"/>
      <c r="H65" s="578" t="s">
        <v>50</v>
      </c>
      <c r="I65" s="579"/>
      <c r="J65" s="578" t="s">
        <v>51</v>
      </c>
      <c r="K65" s="769"/>
      <c r="L65" s="579"/>
      <c r="M65" s="49"/>
    </row>
    <row r="66" spans="1:15" s="3" customFormat="1" ht="16.5" customHeight="1">
      <c r="A66" s="50"/>
      <c r="B66" s="583"/>
      <c r="C66" s="584"/>
      <c r="D66" s="587"/>
      <c r="E66" s="588"/>
      <c r="F66" s="665"/>
      <c r="G66" s="666"/>
      <c r="H66" s="665"/>
      <c r="I66" s="666"/>
      <c r="J66" s="587"/>
      <c r="K66" s="770"/>
      <c r="L66" s="588"/>
      <c r="M66" s="49"/>
    </row>
    <row r="67" spans="1:15" s="22" customFormat="1" ht="16.5" customHeight="1">
      <c r="A67" s="50"/>
      <c r="B67" s="585"/>
      <c r="C67" s="586"/>
      <c r="D67" s="589"/>
      <c r="E67" s="590"/>
      <c r="F67" s="667"/>
      <c r="G67" s="668"/>
      <c r="H67" s="667"/>
      <c r="I67" s="668"/>
      <c r="J67" s="589"/>
      <c r="K67" s="771"/>
      <c r="L67" s="590"/>
      <c r="M67" s="49"/>
    </row>
    <row r="68" spans="1:15" s="22" customFormat="1" ht="16.5" customHeight="1">
      <c r="A68" s="35"/>
      <c r="B68" s="27"/>
      <c r="C68" s="27"/>
      <c r="D68" s="27"/>
      <c r="E68" s="35"/>
      <c r="F68" s="58"/>
      <c r="G68" s="58"/>
      <c r="H68" s="58"/>
      <c r="I68" s="58"/>
      <c r="J68" s="68"/>
      <c r="K68" s="68"/>
      <c r="L68" s="68"/>
      <c r="M68" s="3"/>
    </row>
    <row r="69" spans="1:15" s="22" customFormat="1" ht="16.5" customHeight="1">
      <c r="A69" s="35" t="s">
        <v>53</v>
      </c>
      <c r="B69" s="27"/>
      <c r="C69" s="27"/>
      <c r="D69" s="35" t="s">
        <v>54</v>
      </c>
      <c r="F69" s="58"/>
      <c r="H69" s="35" t="s">
        <v>250</v>
      </c>
      <c r="I69" s="58"/>
      <c r="L69" s="68" t="s">
        <v>266</v>
      </c>
      <c r="M69" s="3"/>
    </row>
    <row r="70" spans="1:15" s="22" customFormat="1" ht="16.5" customHeight="1">
      <c r="A70" s="29"/>
      <c r="B70" s="29"/>
      <c r="C70" s="29"/>
      <c r="D70" s="29"/>
      <c r="E70" s="29"/>
      <c r="F70" s="29"/>
      <c r="H70" s="29"/>
      <c r="I70" s="29"/>
      <c r="J70" s="3"/>
      <c r="K70" s="3"/>
      <c r="L70" s="3"/>
      <c r="M70" s="3"/>
    </row>
    <row r="71" spans="1:15" s="22" customFormat="1" ht="16.5" customHeight="1">
      <c r="A71" s="673" t="s">
        <v>371</v>
      </c>
      <c r="B71" s="673"/>
      <c r="C71" s="318"/>
      <c r="D71" s="674" t="s">
        <v>296</v>
      </c>
      <c r="E71" s="674"/>
      <c r="F71" s="674"/>
      <c r="H71" s="675" t="s">
        <v>247</v>
      </c>
      <c r="I71" s="675"/>
      <c r="J71" s="675"/>
      <c r="K71" s="463"/>
      <c r="L71" s="768"/>
      <c r="M71" s="768"/>
      <c r="O71" s="218"/>
    </row>
    <row r="72" spans="1:15" s="3" customFormat="1" ht="16.5" customHeight="1">
      <c r="A72" s="663" t="s">
        <v>59</v>
      </c>
      <c r="B72" s="663"/>
      <c r="C72" s="319"/>
      <c r="D72" s="664" t="s">
        <v>60</v>
      </c>
      <c r="E72" s="664"/>
      <c r="F72" s="664"/>
      <c r="H72" s="663" t="s">
        <v>252</v>
      </c>
      <c r="I72" s="663"/>
      <c r="J72" s="663"/>
      <c r="K72" s="463"/>
      <c r="L72" s="320" t="s">
        <v>253</v>
      </c>
      <c r="M72" s="320"/>
    </row>
    <row r="73" spans="1:15" s="3" customFormat="1" ht="16.5" customHeight="1">
      <c r="A73" s="463"/>
      <c r="B73" s="463"/>
      <c r="C73" s="319"/>
      <c r="D73" s="464"/>
      <c r="E73" s="464"/>
      <c r="F73" s="464"/>
      <c r="H73" s="463"/>
      <c r="I73" s="463"/>
      <c r="J73" s="463"/>
      <c r="K73" s="463"/>
      <c r="L73" s="320"/>
      <c r="M73" s="320"/>
    </row>
    <row r="74" spans="1:15" s="3" customFormat="1" ht="16.5" customHeight="1">
      <c r="A74" s="37"/>
      <c r="B74" s="27"/>
      <c r="C74" s="27"/>
      <c r="D74" s="27"/>
      <c r="E74" s="27"/>
      <c r="F74" s="29"/>
      <c r="G74" s="29"/>
      <c r="H74" s="29"/>
      <c r="I74" s="29"/>
      <c r="J74" s="29"/>
      <c r="K74" s="29"/>
    </row>
    <row r="75" spans="1:15" s="3" customFormat="1" ht="16.5" customHeight="1">
      <c r="A75" s="37"/>
      <c r="B75" s="27"/>
      <c r="C75" s="27"/>
      <c r="D75" s="27"/>
      <c r="E75" s="27"/>
      <c r="F75" s="29"/>
      <c r="G75" s="29"/>
      <c r="H75" s="29"/>
      <c r="I75" s="29"/>
      <c r="J75" s="29"/>
      <c r="K75" s="29"/>
    </row>
    <row r="76" spans="1:15" s="3" customFormat="1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5" s="3" customFormat="1" ht="16.5" customHeight="1">
      <c r="A77" s="40"/>
      <c r="B77" s="40"/>
      <c r="C77" s="40"/>
      <c r="D77" s="40"/>
      <c r="E77" s="40"/>
      <c r="F77" s="1"/>
      <c r="G77" s="1"/>
      <c r="H77" s="1"/>
      <c r="I77" s="1"/>
      <c r="J77" s="1"/>
      <c r="K77" s="1"/>
      <c r="L77" s="1"/>
      <c r="M77" s="1"/>
    </row>
    <row r="78" spans="1:15" s="3" customFormat="1" ht="16.5" customHeight="1">
      <c r="A78" s="21" t="s">
        <v>0</v>
      </c>
      <c r="B78" s="554"/>
      <c r="C78" s="554"/>
      <c r="D78" s="554"/>
      <c r="E78" s="554"/>
      <c r="F78" s="554"/>
      <c r="G78" s="554"/>
      <c r="H78" s="554"/>
      <c r="I78" s="16"/>
      <c r="J78" s="22"/>
      <c r="K78" s="22"/>
      <c r="L78" s="555"/>
      <c r="M78" s="555"/>
    </row>
    <row r="79" spans="1:15" s="3" customFormat="1" ht="15" customHeight="1">
      <c r="A79" s="21" t="s">
        <v>2</v>
      </c>
      <c r="B79" s="556" t="s">
        <v>269</v>
      </c>
      <c r="C79" s="556"/>
      <c r="D79" s="556"/>
      <c r="E79" s="556"/>
      <c r="F79" s="556"/>
      <c r="G79" s="556"/>
      <c r="H79" s="556"/>
      <c r="I79" s="16"/>
      <c r="J79" s="22"/>
      <c r="K79" s="22"/>
      <c r="L79" s="555"/>
      <c r="M79" s="555"/>
    </row>
    <row r="80" spans="1:15" s="3" customFormat="1" ht="15" customHeight="1">
      <c r="A80" s="69"/>
      <c r="B80" s="554" t="s">
        <v>270</v>
      </c>
      <c r="C80" s="554"/>
      <c r="D80" s="554"/>
      <c r="E80" s="554"/>
      <c r="F80" s="554"/>
      <c r="G80" s="554"/>
      <c r="H80" s="554"/>
      <c r="I80" s="21" t="s">
        <v>5</v>
      </c>
      <c r="J80" s="22"/>
      <c r="K80" s="22"/>
      <c r="L80" s="557" t="s">
        <v>271</v>
      </c>
      <c r="M80" s="557"/>
    </row>
    <row r="81" spans="1:13" s="3" customFormat="1" ht="15" customHeight="1">
      <c r="A81" s="22" t="s">
        <v>10</v>
      </c>
      <c r="B81" s="556" t="s">
        <v>272</v>
      </c>
      <c r="C81" s="556"/>
      <c r="D81" s="556"/>
      <c r="E81" s="556"/>
      <c r="F81" s="556"/>
      <c r="G81" s="556"/>
      <c r="H81" s="556"/>
      <c r="I81" s="21" t="s">
        <v>8</v>
      </c>
      <c r="J81" s="21"/>
      <c r="K81" s="21"/>
      <c r="L81" s="669" t="s">
        <v>273</v>
      </c>
      <c r="M81" s="669"/>
    </row>
    <row r="82" spans="1:13" s="3" customFormat="1" ht="15" customHeight="1">
      <c r="A82" s="22"/>
      <c r="B82" s="16"/>
      <c r="C82" s="16"/>
      <c r="D82" s="16"/>
      <c r="E82" s="16"/>
      <c r="F82" s="16"/>
      <c r="G82" s="16"/>
      <c r="H82" s="16"/>
      <c r="I82" s="16"/>
      <c r="J82" s="59"/>
      <c r="K82" s="59"/>
      <c r="L82" s="451"/>
      <c r="M82" s="451"/>
    </row>
    <row r="83" spans="1:13" s="3" customFormat="1" ht="15" customHeight="1">
      <c r="A83" s="24" t="s">
        <v>12</v>
      </c>
      <c r="L83" s="555"/>
      <c r="M83" s="555"/>
    </row>
    <row r="84" spans="1:13" s="3" customFormat="1" ht="17.399999999999999">
      <c r="A84" s="552" t="s">
        <v>13</v>
      </c>
      <c r="B84" s="552" t="s">
        <v>14</v>
      </c>
      <c r="C84" s="552"/>
      <c r="D84" s="552"/>
      <c r="E84" s="552"/>
      <c r="F84" s="552"/>
      <c r="G84" s="552" t="s">
        <v>15</v>
      </c>
      <c r="H84" s="552"/>
      <c r="I84" s="552"/>
      <c r="J84" s="553" t="s">
        <v>16</v>
      </c>
      <c r="K84" s="553"/>
      <c r="L84" s="553"/>
      <c r="M84" s="552" t="s">
        <v>17</v>
      </c>
    </row>
    <row r="85" spans="1:13" s="3" customFormat="1" ht="21.9" customHeight="1">
      <c r="A85" s="552"/>
      <c r="B85" s="552"/>
      <c r="C85" s="552"/>
      <c r="D85" s="552"/>
      <c r="E85" s="552"/>
      <c r="F85" s="552"/>
      <c r="G85" s="552"/>
      <c r="H85" s="552"/>
      <c r="I85" s="552"/>
      <c r="J85" s="450" t="s">
        <v>18</v>
      </c>
      <c r="K85" s="450"/>
      <c r="L85" s="20" t="s">
        <v>19</v>
      </c>
      <c r="M85" s="552"/>
    </row>
    <row r="86" spans="1:13" s="3" customFormat="1" ht="21.9" customHeight="1">
      <c r="A86" s="452"/>
      <c r="B86" s="558"/>
      <c r="C86" s="558"/>
      <c r="D86" s="558"/>
      <c r="E86" s="558"/>
      <c r="F86" s="558"/>
      <c r="G86" s="559"/>
      <c r="H86" s="559"/>
      <c r="I86" s="559"/>
      <c r="J86" s="216"/>
      <c r="K86" s="216"/>
      <c r="L86" s="53"/>
      <c r="M86" s="460"/>
    </row>
    <row r="87" spans="1:13" s="3" customFormat="1" ht="21.9" customHeight="1">
      <c r="A87" s="215"/>
      <c r="B87" s="558"/>
      <c r="C87" s="558"/>
      <c r="D87" s="558"/>
      <c r="E87" s="558"/>
      <c r="F87" s="558"/>
      <c r="G87" s="559"/>
      <c r="H87" s="559"/>
      <c r="I87" s="559"/>
      <c r="J87" s="216"/>
      <c r="K87" s="216"/>
      <c r="L87" s="53"/>
      <c r="M87" s="460"/>
    </row>
    <row r="88" spans="1:13" s="3" customFormat="1" ht="21.9" customHeight="1">
      <c r="A88" s="215"/>
      <c r="B88" s="558"/>
      <c r="C88" s="558"/>
      <c r="D88" s="558"/>
      <c r="E88" s="558"/>
      <c r="F88" s="558"/>
      <c r="G88" s="559"/>
      <c r="H88" s="559"/>
      <c r="I88" s="559"/>
      <c r="J88" s="216"/>
      <c r="K88" s="216"/>
      <c r="L88" s="53"/>
      <c r="M88" s="460"/>
    </row>
    <row r="89" spans="1:13" s="3" customFormat="1" ht="21.9" customHeight="1">
      <c r="A89" s="215"/>
      <c r="B89" s="558"/>
      <c r="C89" s="558"/>
      <c r="D89" s="558"/>
      <c r="E89" s="558"/>
      <c r="F89" s="558"/>
      <c r="G89" s="559"/>
      <c r="H89" s="559"/>
      <c r="I89" s="559"/>
      <c r="J89" s="216"/>
      <c r="K89" s="216"/>
      <c r="L89" s="53"/>
      <c r="M89" s="460"/>
    </row>
    <row r="90" spans="1:13" s="3" customFormat="1" ht="21.9" customHeight="1">
      <c r="A90" s="215"/>
      <c r="B90" s="558"/>
      <c r="C90" s="558"/>
      <c r="D90" s="558"/>
      <c r="E90" s="558"/>
      <c r="F90" s="558"/>
      <c r="G90" s="559"/>
      <c r="H90" s="559"/>
      <c r="I90" s="559"/>
      <c r="J90" s="53"/>
      <c r="K90" s="53"/>
      <c r="L90" s="53"/>
      <c r="M90" s="460"/>
    </row>
    <row r="91" spans="1:13" s="3" customFormat="1" ht="21.9" customHeight="1">
      <c r="A91" s="54"/>
      <c r="B91" s="558"/>
      <c r="C91" s="558"/>
      <c r="D91" s="558"/>
      <c r="E91" s="558"/>
      <c r="F91" s="558"/>
      <c r="G91" s="559"/>
      <c r="H91" s="559"/>
      <c r="I91" s="559"/>
      <c r="J91" s="53"/>
      <c r="K91" s="53"/>
      <c r="L91" s="53"/>
      <c r="M91" s="460"/>
    </row>
    <row r="92" spans="1:13" s="3" customFormat="1" ht="21.9" customHeight="1">
      <c r="A92" s="54"/>
      <c r="B92" s="562"/>
      <c r="C92" s="562"/>
      <c r="D92" s="562"/>
      <c r="E92" s="562"/>
      <c r="F92" s="562"/>
      <c r="G92" s="559"/>
      <c r="H92" s="559"/>
      <c r="I92" s="559"/>
      <c r="J92" s="53"/>
      <c r="K92" s="53"/>
      <c r="L92" s="53"/>
      <c r="M92" s="460"/>
    </row>
    <row r="93" spans="1:13" s="3" customFormat="1" ht="21.9" customHeight="1">
      <c r="A93" s="54"/>
      <c r="B93" s="562"/>
      <c r="C93" s="562"/>
      <c r="D93" s="562"/>
      <c r="E93" s="562"/>
      <c r="F93" s="562"/>
      <c r="G93" s="559"/>
      <c r="H93" s="559"/>
      <c r="I93" s="559"/>
      <c r="J93" s="53"/>
      <c r="K93" s="53"/>
      <c r="L93" s="53"/>
      <c r="M93" s="460"/>
    </row>
    <row r="94" spans="1:13" s="3" customFormat="1" ht="21.9" customHeight="1">
      <c r="A94" s="61"/>
      <c r="B94" s="562"/>
      <c r="C94" s="562"/>
      <c r="D94" s="562"/>
      <c r="E94" s="562"/>
      <c r="F94" s="562"/>
      <c r="G94" s="559"/>
      <c r="H94" s="559"/>
      <c r="I94" s="559"/>
      <c r="J94" s="53"/>
      <c r="K94" s="53"/>
      <c r="L94" s="53"/>
      <c r="M94" s="460"/>
    </row>
    <row r="95" spans="1:13" s="3" customFormat="1" ht="21.9" customHeight="1">
      <c r="A95" s="61"/>
      <c r="B95" s="562"/>
      <c r="C95" s="562"/>
      <c r="D95" s="562"/>
      <c r="E95" s="562"/>
      <c r="F95" s="562"/>
      <c r="G95" s="559"/>
      <c r="H95" s="559"/>
      <c r="I95" s="559"/>
      <c r="J95" s="53"/>
      <c r="K95" s="53"/>
      <c r="L95" s="53"/>
      <c r="M95" s="460"/>
    </row>
    <row r="96" spans="1:13" s="3" customFormat="1" ht="21.9" customHeight="1">
      <c r="A96" s="61"/>
      <c r="B96" s="562"/>
      <c r="C96" s="562"/>
      <c r="D96" s="562"/>
      <c r="E96" s="562"/>
      <c r="F96" s="562"/>
      <c r="G96" s="559"/>
      <c r="H96" s="559"/>
      <c r="I96" s="559"/>
      <c r="J96" s="53"/>
      <c r="K96" s="53"/>
      <c r="L96" s="53"/>
      <c r="M96" s="460"/>
    </row>
    <row r="97" spans="1:13" s="3" customFormat="1" ht="21.9" customHeight="1">
      <c r="A97" s="61"/>
      <c r="B97" s="562"/>
      <c r="C97" s="562"/>
      <c r="D97" s="562"/>
      <c r="E97" s="562"/>
      <c r="F97" s="562"/>
      <c r="G97" s="559"/>
      <c r="H97" s="559"/>
      <c r="I97" s="559"/>
      <c r="J97" s="53"/>
      <c r="K97" s="53"/>
      <c r="L97" s="53"/>
      <c r="M97" s="460"/>
    </row>
    <row r="98" spans="1:13" s="3" customFormat="1" ht="21.9" customHeight="1">
      <c r="A98" s="61"/>
      <c r="B98" s="562"/>
      <c r="C98" s="562"/>
      <c r="D98" s="562"/>
      <c r="E98" s="562"/>
      <c r="F98" s="562"/>
      <c r="G98" s="559"/>
      <c r="H98" s="559"/>
      <c r="I98" s="559"/>
      <c r="J98" s="53"/>
      <c r="K98" s="53"/>
      <c r="L98" s="53"/>
      <c r="M98" s="460"/>
    </row>
    <row r="99" spans="1:13" s="3" customFormat="1" ht="21.9" customHeight="1">
      <c r="A99" s="61"/>
      <c r="B99" s="562"/>
      <c r="C99" s="562"/>
      <c r="D99" s="562"/>
      <c r="E99" s="562"/>
      <c r="F99" s="562"/>
      <c r="G99" s="559"/>
      <c r="H99" s="559"/>
      <c r="I99" s="559"/>
      <c r="J99" s="53"/>
      <c r="K99" s="53"/>
      <c r="L99" s="53"/>
      <c r="M99" s="460"/>
    </row>
    <row r="100" spans="1:13" s="3" customFormat="1" ht="21.9" customHeight="1">
      <c r="A100" s="61"/>
      <c r="B100" s="562"/>
      <c r="C100" s="562"/>
      <c r="D100" s="562"/>
      <c r="E100" s="562"/>
      <c r="F100" s="562"/>
      <c r="G100" s="559"/>
      <c r="H100" s="559"/>
      <c r="I100" s="559"/>
      <c r="J100" s="53"/>
      <c r="K100" s="53"/>
      <c r="L100" s="53"/>
      <c r="M100" s="460"/>
    </row>
    <row r="101" spans="1:13" s="3" customFormat="1" ht="21.9" customHeight="1">
      <c r="A101" s="61"/>
      <c r="B101" s="562"/>
      <c r="C101" s="562"/>
      <c r="D101" s="562"/>
      <c r="E101" s="562"/>
      <c r="F101" s="562"/>
      <c r="G101" s="559"/>
      <c r="H101" s="559"/>
      <c r="I101" s="559"/>
      <c r="J101" s="53"/>
      <c r="K101" s="53"/>
      <c r="L101" s="53"/>
      <c r="M101" s="460"/>
    </row>
    <row r="102" spans="1:13" s="3" customFormat="1" ht="21.9" customHeight="1">
      <c r="A102" s="61"/>
      <c r="B102" s="562"/>
      <c r="C102" s="562"/>
      <c r="D102" s="562"/>
      <c r="E102" s="562"/>
      <c r="F102" s="562"/>
      <c r="G102" s="559"/>
      <c r="H102" s="559"/>
      <c r="I102" s="559"/>
      <c r="J102" s="53"/>
      <c r="K102" s="53"/>
      <c r="L102" s="53"/>
      <c r="M102" s="460"/>
    </row>
    <row r="103" spans="1:13" s="3" customFormat="1" ht="21.9" customHeight="1">
      <c r="A103" s="61"/>
      <c r="B103" s="562"/>
      <c r="C103" s="562"/>
      <c r="D103" s="562"/>
      <c r="E103" s="562"/>
      <c r="F103" s="562"/>
      <c r="G103" s="559"/>
      <c r="H103" s="559"/>
      <c r="I103" s="559"/>
      <c r="J103" s="53"/>
      <c r="K103" s="53"/>
      <c r="L103" s="53"/>
      <c r="M103" s="460"/>
    </row>
    <row r="104" spans="1:13" s="3" customFormat="1" ht="21.9" customHeight="1">
      <c r="A104" s="61"/>
      <c r="B104" s="562"/>
      <c r="C104" s="562"/>
      <c r="D104" s="562"/>
      <c r="E104" s="562"/>
      <c r="F104" s="562"/>
      <c r="G104" s="559"/>
      <c r="H104" s="559"/>
      <c r="I104" s="559"/>
      <c r="J104" s="53"/>
      <c r="K104" s="53"/>
      <c r="L104" s="53"/>
      <c r="M104" s="460"/>
    </row>
    <row r="105" spans="1:13" s="3" customFormat="1" ht="21.9" customHeight="1">
      <c r="A105" s="61"/>
      <c r="B105" s="562"/>
      <c r="C105" s="562"/>
      <c r="D105" s="562"/>
      <c r="E105" s="562"/>
      <c r="F105" s="562"/>
      <c r="G105" s="559"/>
      <c r="H105" s="559"/>
      <c r="I105" s="559"/>
      <c r="J105" s="53"/>
      <c r="K105" s="53"/>
      <c r="L105" s="53"/>
      <c r="M105" s="460"/>
    </row>
    <row r="106" spans="1:13" s="3" customFormat="1" ht="21.9" customHeight="1">
      <c r="A106" s="454"/>
      <c r="B106" s="566"/>
      <c r="C106" s="566"/>
      <c r="D106" s="566"/>
      <c r="E106" s="566"/>
      <c r="F106" s="566"/>
      <c r="G106" s="454"/>
      <c r="H106" s="41"/>
      <c r="I106" s="41"/>
      <c r="J106" s="42"/>
      <c r="K106" s="42"/>
      <c r="L106" s="43"/>
    </row>
    <row r="107" spans="1:13" s="3" customFormat="1" ht="21.9" customHeight="1">
      <c r="A107" s="26" t="s">
        <v>23</v>
      </c>
      <c r="B107" s="456"/>
      <c r="C107" s="456"/>
      <c r="D107" s="456"/>
      <c r="E107" s="456"/>
      <c r="F107" s="17"/>
      <c r="G107" s="17"/>
      <c r="H107" s="17"/>
      <c r="I107" s="17"/>
      <c r="J107" s="17"/>
      <c r="K107" s="17"/>
    </row>
    <row r="108" spans="1:13" s="3" customFormat="1" ht="21.9" customHeight="1">
      <c r="A108" s="19" t="s">
        <v>13</v>
      </c>
      <c r="B108" s="567" t="s">
        <v>14</v>
      </c>
      <c r="C108" s="567"/>
      <c r="D108" s="567"/>
      <c r="E108" s="567"/>
      <c r="F108" s="567"/>
      <c r="G108" s="568" t="s">
        <v>24</v>
      </c>
      <c r="H108" s="568"/>
      <c r="I108" s="455" t="s">
        <v>17</v>
      </c>
      <c r="J108" s="450" t="s">
        <v>25</v>
      </c>
      <c r="K108" s="450"/>
      <c r="L108" s="450" t="s">
        <v>26</v>
      </c>
      <c r="M108" s="450" t="s">
        <v>27</v>
      </c>
    </row>
    <row r="109" spans="1:13" s="3" customFormat="1" ht="21.9" customHeight="1">
      <c r="A109" s="317"/>
      <c r="B109" s="563"/>
      <c r="C109" s="563"/>
      <c r="D109" s="563"/>
      <c r="E109" s="563"/>
      <c r="F109" s="563"/>
      <c r="G109" s="564"/>
      <c r="H109" s="564"/>
      <c r="I109" s="453"/>
      <c r="J109" s="453"/>
      <c r="K109" s="453"/>
      <c r="L109" s="460"/>
      <c r="M109" s="460"/>
    </row>
    <row r="110" spans="1:13" s="3" customFormat="1" ht="21.9" customHeight="1">
      <c r="A110" s="452"/>
      <c r="B110" s="563"/>
      <c r="C110" s="563"/>
      <c r="D110" s="563"/>
      <c r="E110" s="563"/>
      <c r="F110" s="563"/>
      <c r="G110" s="564"/>
      <c r="H110" s="564"/>
      <c r="I110" s="453"/>
      <c r="J110" s="453"/>
      <c r="K110" s="453"/>
      <c r="L110" s="460"/>
      <c r="M110" s="460"/>
    </row>
    <row r="111" spans="1:13" s="3" customFormat="1" ht="21.9" customHeight="1">
      <c r="A111" s="452"/>
      <c r="B111" s="563"/>
      <c r="C111" s="563"/>
      <c r="D111" s="563"/>
      <c r="E111" s="563"/>
      <c r="F111" s="563"/>
      <c r="G111" s="564"/>
      <c r="H111" s="564"/>
      <c r="I111" s="453"/>
      <c r="J111" s="453"/>
      <c r="K111" s="453"/>
      <c r="L111" s="460"/>
      <c r="M111" s="460"/>
    </row>
    <row r="112" spans="1:13" s="3" customFormat="1" ht="21.9" customHeight="1">
      <c r="A112" s="452"/>
      <c r="B112" s="563"/>
      <c r="C112" s="563"/>
      <c r="D112" s="563"/>
      <c r="E112" s="563"/>
      <c r="F112" s="563"/>
      <c r="G112" s="564"/>
      <c r="H112" s="564"/>
      <c r="I112" s="453"/>
      <c r="J112" s="453"/>
      <c r="K112" s="453"/>
      <c r="L112" s="460"/>
      <c r="M112" s="460"/>
    </row>
    <row r="113" spans="1:13" s="3" customFormat="1" ht="21.9" customHeight="1">
      <c r="A113" s="32"/>
      <c r="B113" s="565"/>
      <c r="C113" s="565"/>
      <c r="D113" s="565"/>
      <c r="E113" s="565"/>
      <c r="F113" s="565"/>
      <c r="G113" s="565"/>
      <c r="H113" s="565"/>
      <c r="I113" s="565"/>
      <c r="J113" s="17"/>
      <c r="K113" s="17"/>
    </row>
    <row r="114" spans="1:13" s="3" customFormat="1" ht="21.9" customHeight="1">
      <c r="A114" s="34" t="s">
        <v>28</v>
      </c>
      <c r="B114" s="34"/>
      <c r="C114" s="34"/>
      <c r="D114" s="34"/>
      <c r="E114" s="34"/>
      <c r="F114" s="17"/>
      <c r="G114" s="38"/>
      <c r="H114" s="36" t="s">
        <v>29</v>
      </c>
      <c r="I114" s="34"/>
      <c r="J114" s="34"/>
      <c r="K114" s="34"/>
      <c r="L114" s="34"/>
      <c r="M114" s="34"/>
    </row>
    <row r="115" spans="1:13" s="3" customFormat="1" ht="21.9" customHeight="1">
      <c r="A115" s="569"/>
      <c r="B115" s="569"/>
      <c r="C115" s="569"/>
      <c r="D115" s="569"/>
      <c r="E115" s="569"/>
      <c r="F115" s="569"/>
      <c r="G115" s="457"/>
      <c r="H115" s="569"/>
      <c r="I115" s="569"/>
      <c r="J115" s="569"/>
      <c r="K115" s="569"/>
      <c r="L115" s="569"/>
      <c r="M115" s="569"/>
    </row>
    <row r="116" spans="1:13" s="3" customFormat="1" ht="21.9" customHeight="1">
      <c r="A116" s="571"/>
      <c r="B116" s="571"/>
      <c r="C116" s="571"/>
      <c r="D116" s="571"/>
      <c r="E116" s="571"/>
      <c r="F116" s="571"/>
      <c r="G116" s="457"/>
      <c r="H116" s="569"/>
      <c r="I116" s="569"/>
      <c r="J116" s="569"/>
      <c r="K116" s="569"/>
      <c r="L116" s="569"/>
      <c r="M116" s="569"/>
    </row>
    <row r="117" spans="1:13" s="3" customFormat="1" ht="21.9" customHeight="1">
      <c r="A117" s="571"/>
      <c r="B117" s="571"/>
      <c r="C117" s="571"/>
      <c r="D117" s="571"/>
      <c r="E117" s="571"/>
      <c r="F117" s="571"/>
      <c r="G117" s="57"/>
      <c r="H117" s="569"/>
      <c r="I117" s="569"/>
      <c r="J117" s="569"/>
      <c r="K117" s="569"/>
      <c r="L117" s="569"/>
      <c r="M117" s="569"/>
    </row>
    <row r="118" spans="1:13" s="3" customFormat="1" ht="21.9" customHeight="1">
      <c r="A118" s="569"/>
      <c r="B118" s="569"/>
      <c r="C118" s="569"/>
      <c r="D118" s="569"/>
      <c r="E118" s="569"/>
      <c r="F118" s="569"/>
      <c r="G118" s="57"/>
      <c r="H118" s="569"/>
      <c r="I118" s="569"/>
      <c r="J118" s="569"/>
      <c r="K118" s="569"/>
      <c r="L118" s="569"/>
      <c r="M118" s="569"/>
    </row>
    <row r="119" spans="1:13" s="3" customFormat="1" ht="21.9" customHeight="1">
      <c r="A119" s="570"/>
      <c r="B119" s="570"/>
      <c r="C119" s="570"/>
      <c r="D119" s="570"/>
      <c r="E119" s="570"/>
      <c r="F119" s="570"/>
      <c r="G119" s="39"/>
      <c r="H119" s="569"/>
      <c r="I119" s="569"/>
      <c r="J119" s="569"/>
      <c r="K119" s="569"/>
      <c r="L119" s="569"/>
      <c r="M119" s="569"/>
    </row>
    <row r="120" spans="1:13" s="3" customFormat="1" ht="21.9" customHeight="1">
      <c r="A120" s="571"/>
      <c r="B120" s="571"/>
      <c r="C120" s="571"/>
      <c r="D120" s="571"/>
      <c r="E120" s="571"/>
      <c r="F120" s="571"/>
      <c r="G120" s="457"/>
      <c r="H120" s="569"/>
      <c r="I120" s="569"/>
      <c r="J120" s="569"/>
      <c r="K120" s="569"/>
      <c r="L120" s="569"/>
      <c r="M120" s="569"/>
    </row>
    <row r="121" spans="1:13" s="3" customFormat="1" ht="21.9" customHeight="1">
      <c r="A121" s="571"/>
      <c r="B121" s="571"/>
      <c r="C121" s="571"/>
      <c r="D121" s="571"/>
      <c r="E121" s="571"/>
      <c r="F121" s="571"/>
      <c r="G121" s="57"/>
      <c r="H121" s="569"/>
      <c r="I121" s="569"/>
      <c r="J121" s="569"/>
      <c r="K121" s="569"/>
      <c r="L121" s="569"/>
      <c r="M121" s="569"/>
    </row>
    <row r="122" spans="1:13" s="3" customFormat="1" ht="21.9" customHeight="1">
      <c r="A122" s="571"/>
      <c r="B122" s="571"/>
      <c r="C122" s="571"/>
      <c r="D122" s="571"/>
      <c r="E122" s="571"/>
      <c r="F122" s="571"/>
      <c r="G122" s="457"/>
      <c r="H122" s="569"/>
      <c r="I122" s="569"/>
      <c r="J122" s="569"/>
      <c r="K122" s="569"/>
      <c r="L122" s="569"/>
      <c r="M122" s="569"/>
    </row>
    <row r="123" spans="1:13" s="3" customFormat="1" ht="21.9" customHeight="1">
      <c r="A123" s="571"/>
      <c r="B123" s="571"/>
      <c r="C123" s="571"/>
      <c r="D123" s="571"/>
      <c r="E123" s="571"/>
      <c r="F123" s="571"/>
      <c r="G123" s="457"/>
      <c r="H123" s="569"/>
      <c r="I123" s="569"/>
      <c r="J123" s="569"/>
      <c r="K123" s="569"/>
      <c r="L123" s="569"/>
      <c r="M123" s="569"/>
    </row>
    <row r="124" spans="1:13" s="3" customFormat="1" ht="21.9" customHeight="1">
      <c r="A124" s="571"/>
      <c r="B124" s="571"/>
      <c r="C124" s="571"/>
      <c r="D124" s="571"/>
      <c r="E124" s="571"/>
      <c r="F124" s="571"/>
      <c r="G124" s="57"/>
      <c r="H124" s="569"/>
      <c r="I124" s="569"/>
      <c r="J124" s="569"/>
      <c r="K124" s="569"/>
      <c r="L124" s="569"/>
      <c r="M124" s="569"/>
    </row>
    <row r="125" spans="1:13" s="3" customFormat="1" ht="21.9" customHeight="1">
      <c r="A125" s="572"/>
      <c r="B125" s="572"/>
      <c r="C125" s="572"/>
      <c r="D125" s="572"/>
      <c r="E125" s="572"/>
      <c r="F125" s="572"/>
      <c r="G125" s="57"/>
      <c r="H125" s="572"/>
      <c r="I125" s="572"/>
      <c r="J125" s="572"/>
      <c r="K125" s="572"/>
      <c r="L125" s="572"/>
      <c r="M125" s="572"/>
    </row>
    <row r="126" spans="1:13" s="3" customFormat="1" ht="21.9" customHeight="1">
      <c r="A126" s="70" t="s">
        <v>34</v>
      </c>
      <c r="B126" s="5"/>
      <c r="C126" s="4"/>
      <c r="H126" s="573" t="s">
        <v>35</v>
      </c>
      <c r="I126" s="573"/>
      <c r="J126" s="573"/>
      <c r="K126" s="458"/>
      <c r="L126" s="573" t="s">
        <v>36</v>
      </c>
      <c r="M126" s="573"/>
    </row>
    <row r="127" spans="1:13" s="3" customFormat="1" ht="21.9" customHeight="1">
      <c r="A127" s="576"/>
      <c r="B127" s="576"/>
      <c r="C127" s="576"/>
      <c r="D127" s="576"/>
      <c r="E127" s="576"/>
      <c r="F127" s="576"/>
      <c r="G127" s="71"/>
      <c r="H127" s="577" t="s">
        <v>14</v>
      </c>
      <c r="I127" s="577"/>
      <c r="J127" s="461" t="s">
        <v>24</v>
      </c>
      <c r="K127" s="461"/>
      <c r="L127" s="461" t="s">
        <v>14</v>
      </c>
      <c r="M127" s="461" t="s">
        <v>24</v>
      </c>
    </row>
    <row r="128" spans="1:13" s="3" customFormat="1" ht="21.9" customHeight="1">
      <c r="A128" s="574"/>
      <c r="B128" s="574"/>
      <c r="C128" s="574"/>
      <c r="D128" s="574"/>
      <c r="E128" s="574"/>
      <c r="F128" s="574"/>
      <c r="G128" s="72"/>
      <c r="H128" s="575"/>
      <c r="I128" s="575"/>
      <c r="J128" s="460"/>
      <c r="K128" s="460"/>
      <c r="L128" s="76"/>
      <c r="M128" s="460"/>
    </row>
    <row r="129" spans="1:13" s="3" customFormat="1" ht="21.9" customHeight="1">
      <c r="A129" s="574"/>
      <c r="B129" s="574"/>
      <c r="C129" s="574"/>
      <c r="D129" s="574"/>
      <c r="E129" s="574"/>
      <c r="F129" s="574"/>
      <c r="G129" s="72"/>
      <c r="H129" s="575"/>
      <c r="I129" s="575"/>
      <c r="J129" s="460"/>
      <c r="K129" s="460"/>
      <c r="L129" s="76"/>
      <c r="M129" s="460"/>
    </row>
    <row r="130" spans="1:13" s="3" customFormat="1" ht="21.9" customHeight="1">
      <c r="A130" s="574"/>
      <c r="B130" s="574"/>
      <c r="C130" s="574"/>
      <c r="D130" s="574"/>
      <c r="E130" s="574"/>
      <c r="F130" s="574"/>
      <c r="G130" s="72"/>
      <c r="H130" s="575"/>
      <c r="I130" s="575"/>
      <c r="J130" s="460"/>
      <c r="K130" s="460"/>
      <c r="L130" s="76"/>
      <c r="M130" s="460"/>
    </row>
    <row r="131" spans="1:13" s="3" customFormat="1" ht="21.9" customHeight="1">
      <c r="A131" s="574"/>
      <c r="B131" s="574"/>
      <c r="C131" s="574"/>
      <c r="D131" s="574"/>
      <c r="E131" s="574"/>
      <c r="F131" s="574"/>
      <c r="G131" s="72"/>
      <c r="H131" s="575"/>
      <c r="I131" s="575"/>
      <c r="J131" s="460"/>
      <c r="K131" s="460"/>
      <c r="L131" s="76"/>
      <c r="M131" s="460"/>
    </row>
    <row r="132" spans="1:13" s="3" customFormat="1" ht="21.9" customHeight="1">
      <c r="A132" s="574"/>
      <c r="B132" s="574"/>
      <c r="C132" s="574"/>
      <c r="D132" s="574"/>
      <c r="E132" s="574"/>
      <c r="F132" s="574"/>
      <c r="G132" s="72"/>
      <c r="H132" s="575"/>
      <c r="I132" s="575"/>
      <c r="J132" s="460"/>
      <c r="K132" s="460"/>
      <c r="L132" s="77"/>
      <c r="M132" s="460"/>
    </row>
    <row r="133" spans="1:13" s="3" customFormat="1" ht="21.9" customHeight="1">
      <c r="A133" s="574"/>
      <c r="B133" s="574"/>
      <c r="C133" s="574"/>
      <c r="D133" s="574"/>
      <c r="E133" s="574"/>
      <c r="F133" s="574"/>
      <c r="G133" s="72"/>
      <c r="H133" s="575"/>
      <c r="I133" s="575"/>
      <c r="J133" s="73"/>
      <c r="K133" s="72"/>
      <c r="M133" s="73"/>
    </row>
    <row r="134" spans="1:13" s="3" customFormat="1" ht="21.9" customHeight="1">
      <c r="A134" s="574"/>
      <c r="B134" s="574"/>
      <c r="C134" s="574"/>
      <c r="D134" s="574"/>
      <c r="E134" s="574"/>
      <c r="F134" s="574"/>
      <c r="G134" s="72"/>
      <c r="H134" s="575"/>
      <c r="I134" s="575"/>
      <c r="J134" s="73"/>
      <c r="K134" s="73"/>
      <c r="L134" s="77"/>
      <c r="M134" s="73"/>
    </row>
    <row r="135" spans="1:13" s="3" customFormat="1" ht="21.9" customHeight="1">
      <c r="A135" s="574"/>
      <c r="B135" s="574"/>
      <c r="C135" s="574"/>
      <c r="D135" s="574"/>
      <c r="E135" s="574"/>
      <c r="F135" s="574"/>
      <c r="G135" s="72"/>
      <c r="H135" s="575"/>
      <c r="I135" s="575"/>
      <c r="J135" s="73"/>
      <c r="K135" s="73"/>
      <c r="L135" s="77"/>
      <c r="M135" s="73"/>
    </row>
    <row r="136" spans="1:13" s="3" customFormat="1" ht="21.9" customHeight="1">
      <c r="A136" s="574"/>
      <c r="B136" s="574"/>
      <c r="C136" s="574"/>
      <c r="D136" s="574"/>
      <c r="E136" s="574"/>
      <c r="F136" s="574"/>
      <c r="G136" s="72"/>
      <c r="H136" s="575"/>
      <c r="I136" s="575"/>
      <c r="J136" s="73"/>
      <c r="K136" s="73"/>
      <c r="L136" s="77"/>
      <c r="M136" s="73"/>
    </row>
    <row r="137" spans="1:13" s="3" customFormat="1" ht="21.9" customHeight="1">
      <c r="A137" s="574"/>
      <c r="B137" s="574"/>
      <c r="C137" s="574"/>
      <c r="D137" s="574"/>
      <c r="E137" s="574"/>
      <c r="F137" s="574"/>
      <c r="G137" s="72"/>
      <c r="H137" s="575"/>
      <c r="I137" s="575"/>
      <c r="J137" s="73"/>
      <c r="K137" s="73"/>
      <c r="L137" s="77"/>
      <c r="M137" s="73"/>
    </row>
    <row r="138" spans="1:13" s="3" customFormat="1" ht="21.9" customHeight="1">
      <c r="A138" s="45"/>
      <c r="B138" s="46"/>
      <c r="C138" s="46"/>
      <c r="D138" s="46"/>
      <c r="E138" s="44"/>
      <c r="F138" s="46"/>
      <c r="G138" s="46"/>
      <c r="H138" s="46"/>
      <c r="I138" s="46"/>
      <c r="J138" s="46"/>
      <c r="K138" s="46"/>
      <c r="L138" s="47"/>
      <c r="M138" s="46"/>
    </row>
    <row r="139" spans="1:13" s="3" customFormat="1" ht="21.9" customHeight="1">
      <c r="A139" s="45" t="s">
        <v>45</v>
      </c>
      <c r="B139" s="46"/>
      <c r="C139" s="46"/>
      <c r="D139" s="46"/>
      <c r="E139" s="44"/>
      <c r="F139" s="46"/>
      <c r="G139" s="46"/>
      <c r="H139" s="46"/>
      <c r="I139" s="46"/>
      <c r="J139" s="46"/>
      <c r="K139" s="46"/>
      <c r="L139" s="47"/>
      <c r="M139" s="46"/>
    </row>
    <row r="140" spans="1:13" s="3" customFormat="1" ht="21.9" customHeight="1">
      <c r="A140" s="45"/>
      <c r="B140" s="46"/>
      <c r="C140" s="46"/>
      <c r="D140" s="46"/>
      <c r="E140" s="44"/>
      <c r="F140" s="46"/>
      <c r="G140" s="46"/>
      <c r="H140" s="46"/>
      <c r="I140" s="48"/>
      <c r="J140" s="48"/>
      <c r="K140" s="48"/>
      <c r="L140" s="47"/>
      <c r="M140" s="46"/>
    </row>
    <row r="141" spans="1:13" s="3" customFormat="1" ht="21.9" customHeight="1">
      <c r="A141" s="46" t="s">
        <v>46</v>
      </c>
      <c r="B141" s="578" t="s">
        <v>47</v>
      </c>
      <c r="C141" s="579"/>
      <c r="D141" s="578" t="s">
        <v>48</v>
      </c>
      <c r="E141" s="579"/>
      <c r="F141" s="578" t="s">
        <v>49</v>
      </c>
      <c r="G141" s="579"/>
      <c r="H141" s="578" t="s">
        <v>50</v>
      </c>
      <c r="I141" s="579"/>
      <c r="J141" s="578" t="s">
        <v>51</v>
      </c>
      <c r="K141" s="769"/>
      <c r="L141" s="579"/>
      <c r="M141" s="49"/>
    </row>
    <row r="142" spans="1:13" s="3" customFormat="1" ht="21.9" customHeight="1">
      <c r="A142" s="50"/>
      <c r="B142" s="583"/>
      <c r="C142" s="584"/>
      <c r="D142" s="587"/>
      <c r="E142" s="588"/>
      <c r="F142" s="665"/>
      <c r="G142" s="666"/>
      <c r="H142" s="665"/>
      <c r="I142" s="666"/>
      <c r="J142" s="587"/>
      <c r="K142" s="770"/>
      <c r="L142" s="588"/>
      <c r="M142" s="49"/>
    </row>
    <row r="143" spans="1:13" s="3" customFormat="1" ht="21.9" customHeight="1">
      <c r="A143" s="50"/>
      <c r="B143" s="585"/>
      <c r="C143" s="586"/>
      <c r="D143" s="589"/>
      <c r="E143" s="590"/>
      <c r="F143" s="667"/>
      <c r="G143" s="668"/>
      <c r="H143" s="667"/>
      <c r="I143" s="668"/>
      <c r="J143" s="589"/>
      <c r="K143" s="771"/>
      <c r="L143" s="590"/>
      <c r="M143" s="49"/>
    </row>
    <row r="144" spans="1:13" s="3" customFormat="1" ht="21.9" customHeight="1">
      <c r="A144" s="35"/>
      <c r="B144" s="27"/>
      <c r="C144" s="27"/>
      <c r="D144" s="27"/>
      <c r="E144" s="35"/>
      <c r="F144" s="58"/>
      <c r="G144" s="58"/>
      <c r="H144" s="58"/>
      <c r="I144" s="58"/>
      <c r="J144" s="68"/>
      <c r="K144" s="68"/>
      <c r="L144" s="68"/>
    </row>
    <row r="145" spans="1:13" s="3" customFormat="1" ht="21.9" customHeight="1">
      <c r="A145" s="35" t="s">
        <v>53</v>
      </c>
      <c r="B145" s="27"/>
      <c r="C145" s="27"/>
      <c r="D145" s="35" t="s">
        <v>54</v>
      </c>
      <c r="E145" s="22"/>
      <c r="F145" s="58"/>
      <c r="G145" s="22"/>
      <c r="H145" s="35" t="s">
        <v>250</v>
      </c>
      <c r="I145" s="58"/>
      <c r="J145" s="22"/>
      <c r="K145" s="22"/>
      <c r="L145" s="68" t="s">
        <v>266</v>
      </c>
    </row>
    <row r="146" spans="1:13" s="3" customFormat="1" ht="21.9" customHeight="1">
      <c r="A146" s="29"/>
      <c r="B146" s="29"/>
      <c r="C146" s="29"/>
      <c r="D146" s="29"/>
      <c r="E146" s="29"/>
      <c r="F146" s="29"/>
      <c r="G146" s="22"/>
      <c r="H146" s="29"/>
      <c r="I146" s="29"/>
    </row>
    <row r="147" spans="1:13" s="3" customFormat="1" ht="21.9" customHeight="1">
      <c r="A147" s="580"/>
      <c r="B147" s="580"/>
      <c r="C147" s="318"/>
      <c r="D147" s="671" t="s">
        <v>267</v>
      </c>
      <c r="E147" s="671"/>
      <c r="F147" s="671"/>
      <c r="G147" s="22"/>
      <c r="H147" s="672" t="s">
        <v>247</v>
      </c>
      <c r="I147" s="672"/>
      <c r="J147" s="672"/>
      <c r="K147" s="462"/>
      <c r="L147" s="662" t="s">
        <v>268</v>
      </c>
      <c r="M147" s="662"/>
    </row>
    <row r="148" spans="1:13" s="3" customFormat="1" ht="21.9" customHeight="1">
      <c r="A148" s="663" t="s">
        <v>59</v>
      </c>
      <c r="B148" s="663"/>
      <c r="C148" s="319"/>
      <c r="D148" s="664" t="s">
        <v>60</v>
      </c>
      <c r="E148" s="664"/>
      <c r="F148" s="664"/>
      <c r="H148" s="663" t="s">
        <v>252</v>
      </c>
      <c r="I148" s="663"/>
      <c r="J148" s="663"/>
      <c r="K148" s="463"/>
      <c r="L148" s="320" t="s">
        <v>253</v>
      </c>
      <c r="M148" s="320"/>
    </row>
    <row r="149" spans="1:13" s="3" customFormat="1" ht="21.9" customHeight="1">
      <c r="A149" s="32"/>
      <c r="B149" s="32"/>
      <c r="C149" s="32"/>
      <c r="D149" s="32"/>
      <c r="E149" s="32"/>
      <c r="F149" s="31"/>
      <c r="G149" s="31"/>
      <c r="H149" s="31"/>
      <c r="I149" s="31"/>
      <c r="J149" s="31"/>
      <c r="K149" s="31"/>
    </row>
    <row r="150" spans="1:13" s="3" customFormat="1" ht="21.9" customHeight="1">
      <c r="A150" s="32"/>
      <c r="B150" s="32"/>
      <c r="C150" s="32"/>
      <c r="D150" s="32"/>
      <c r="E150" s="32"/>
      <c r="F150" s="31"/>
      <c r="G150" s="31"/>
      <c r="H150" s="31"/>
      <c r="I150" s="31"/>
      <c r="J150" s="31"/>
      <c r="K150" s="31"/>
    </row>
    <row r="151" spans="1:13" s="3" customFormat="1" ht="21.9" customHeight="1">
      <c r="A151" s="32"/>
      <c r="B151" s="32"/>
      <c r="C151" s="32"/>
      <c r="D151" s="32"/>
      <c r="E151" s="32"/>
      <c r="F151" s="33"/>
      <c r="G151" s="33"/>
      <c r="H151" s="33"/>
      <c r="I151" s="33"/>
      <c r="J151" s="33"/>
      <c r="K151" s="33"/>
    </row>
    <row r="152" spans="1:13" s="3" customFormat="1" ht="21.9" customHeight="1">
      <c r="A152" s="32"/>
      <c r="B152" s="32"/>
      <c r="C152" s="32"/>
      <c r="D152" s="32"/>
      <c r="E152" s="32"/>
      <c r="F152" s="33"/>
      <c r="G152" s="33"/>
      <c r="H152" s="33"/>
      <c r="I152" s="33"/>
      <c r="J152" s="33"/>
      <c r="K152" s="33"/>
    </row>
    <row r="153" spans="1:13" s="3" customFormat="1" ht="21.9" customHeight="1">
      <c r="A153" s="13"/>
      <c r="B153" s="13"/>
      <c r="C153" s="13"/>
      <c r="D153" s="13"/>
      <c r="E153" s="13"/>
      <c r="F153" s="14"/>
      <c r="G153" s="14"/>
      <c r="H153" s="14"/>
      <c r="I153" s="14"/>
      <c r="J153" s="14"/>
      <c r="K153" s="14"/>
      <c r="L153" s="9"/>
      <c r="M153" s="9"/>
    </row>
    <row r="154" spans="1:13" s="3" customFormat="1" ht="21.9" customHeight="1">
      <c r="A154" s="13"/>
      <c r="B154" s="13"/>
      <c r="C154" s="13"/>
      <c r="D154" s="13"/>
      <c r="E154" s="13"/>
      <c r="F154" s="14"/>
      <c r="G154" s="14"/>
      <c r="H154" s="14"/>
      <c r="I154" s="14"/>
      <c r="J154" s="14"/>
      <c r="K154" s="14"/>
      <c r="L154" s="9"/>
      <c r="M154" s="9"/>
    </row>
    <row r="155" spans="1:13" s="3" customFormat="1" ht="21.9" customHeight="1">
      <c r="A155" s="13"/>
      <c r="B155" s="13"/>
      <c r="C155" s="13"/>
      <c r="D155" s="13"/>
      <c r="E155" s="13"/>
      <c r="F155" s="14"/>
      <c r="G155" s="14"/>
      <c r="H155" s="14"/>
      <c r="I155" s="14"/>
      <c r="J155" s="14"/>
      <c r="K155" s="14"/>
      <c r="L155" s="9"/>
      <c r="M155" s="9"/>
    </row>
    <row r="156" spans="1:13" s="3" customFormat="1" ht="21.9" customHeight="1">
      <c r="A156" s="13"/>
      <c r="B156" s="13"/>
      <c r="C156" s="13"/>
      <c r="D156" s="13"/>
      <c r="E156" s="13"/>
      <c r="F156" s="14"/>
      <c r="G156" s="14"/>
      <c r="H156" s="14"/>
      <c r="I156" s="14"/>
      <c r="J156" s="14"/>
      <c r="K156" s="14"/>
      <c r="L156" s="9"/>
      <c r="M156" s="9"/>
    </row>
    <row r="157" spans="1:13" s="3" customFormat="1" ht="21.9" customHeight="1">
      <c r="A157" s="13"/>
      <c r="B157" s="13"/>
      <c r="C157" s="13"/>
      <c r="D157" s="13"/>
      <c r="E157" s="13"/>
      <c r="F157" s="14"/>
      <c r="G157" s="14"/>
      <c r="H157" s="14"/>
      <c r="I157" s="14"/>
      <c r="J157" s="14"/>
      <c r="K157" s="14"/>
      <c r="L157" s="9"/>
      <c r="M157" s="9"/>
    </row>
    <row r="158" spans="1:13" s="3" customFormat="1" ht="21.9" customHeight="1">
      <c r="A158" s="13"/>
      <c r="B158" s="13"/>
      <c r="C158" s="13"/>
      <c r="D158" s="13"/>
      <c r="E158" s="13"/>
      <c r="F158" s="10"/>
      <c r="G158" s="10"/>
      <c r="H158" s="10"/>
      <c r="I158" s="10"/>
      <c r="J158" s="10"/>
      <c r="K158" s="10"/>
      <c r="L158" s="9"/>
      <c r="M158" s="9"/>
    </row>
    <row r="159" spans="1:13" s="9" customFormat="1" ht="21.9" customHeight="1">
      <c r="A159" s="13"/>
      <c r="B159" s="13"/>
      <c r="C159" s="13"/>
      <c r="D159" s="13"/>
      <c r="E159" s="13"/>
      <c r="F159" s="14"/>
      <c r="G159" s="14"/>
      <c r="H159" s="14"/>
      <c r="I159" s="14"/>
      <c r="J159" s="14"/>
      <c r="K159" s="14"/>
    </row>
    <row r="160" spans="1:13" s="9" customFormat="1" ht="21.9" customHeight="1">
      <c r="A160" s="13"/>
      <c r="B160" s="13"/>
      <c r="C160" s="13"/>
      <c r="D160" s="13"/>
      <c r="E160" s="13"/>
      <c r="F160" s="14"/>
      <c r="G160" s="14"/>
      <c r="H160" s="14"/>
      <c r="I160" s="14"/>
      <c r="J160" s="14"/>
      <c r="K160" s="14"/>
    </row>
    <row r="161" spans="1:11" s="9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  <c r="K161" s="14"/>
    </row>
    <row r="162" spans="1:11" s="9" customFormat="1" ht="21.9" customHeight="1">
      <c r="A162" s="13"/>
      <c r="B162" s="13"/>
      <c r="C162" s="13"/>
      <c r="D162" s="13"/>
      <c r="E162" s="13"/>
      <c r="F162" s="8"/>
      <c r="G162" s="8"/>
      <c r="H162" s="8"/>
      <c r="I162" s="8"/>
      <c r="J162" s="8"/>
      <c r="K162" s="8"/>
    </row>
    <row r="163" spans="1:11" s="9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  <c r="K163" s="14"/>
    </row>
    <row r="164" spans="1:11" s="9" customFormat="1" ht="21.9" customHeight="1">
      <c r="A164" s="13"/>
      <c r="B164" s="13"/>
      <c r="C164" s="13"/>
      <c r="D164" s="13"/>
      <c r="E164" s="13"/>
      <c r="F164" s="10"/>
      <c r="G164" s="10"/>
      <c r="H164" s="10"/>
      <c r="I164" s="10"/>
      <c r="J164" s="10"/>
      <c r="K164" s="10"/>
    </row>
    <row r="165" spans="1:11" s="9" customFormat="1" ht="21.9" customHeight="1">
      <c r="A165" s="13"/>
      <c r="B165" s="13"/>
      <c r="C165" s="13"/>
      <c r="D165" s="13"/>
      <c r="E165" s="13"/>
      <c r="F165" s="12"/>
      <c r="G165" s="12"/>
      <c r="H165" s="12"/>
      <c r="I165" s="12"/>
      <c r="J165" s="12"/>
      <c r="K165" s="12"/>
    </row>
    <row r="166" spans="1:11" s="9" customFormat="1" ht="21.9" customHeight="1">
      <c r="A166" s="13"/>
      <c r="B166" s="13"/>
      <c r="C166" s="13"/>
      <c r="D166" s="13"/>
      <c r="E166" s="13"/>
      <c r="F166" s="12"/>
      <c r="G166" s="12"/>
      <c r="H166" s="12"/>
      <c r="I166" s="12"/>
      <c r="J166" s="12"/>
      <c r="K166" s="12"/>
    </row>
    <row r="167" spans="1:11" s="9" customFormat="1" ht="21.9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  <c r="K167" s="12"/>
    </row>
    <row r="168" spans="1:11" s="9" customFormat="1" ht="21.9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  <c r="K168" s="12"/>
    </row>
    <row r="169" spans="1:11" s="9" customFormat="1" ht="21.9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  <c r="K169" s="12"/>
    </row>
    <row r="170" spans="1:11" s="9" customFormat="1" ht="21.9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  <c r="K170" s="12"/>
    </row>
    <row r="171" spans="1:11" s="9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  <c r="K171" s="14"/>
    </row>
    <row r="172" spans="1:11" s="9" customFormat="1" ht="21.9" customHeight="1">
      <c r="A172" s="13"/>
      <c r="B172" s="13"/>
      <c r="C172" s="13"/>
      <c r="D172" s="13"/>
      <c r="E172" s="13"/>
      <c r="F172" s="8"/>
      <c r="G172" s="8"/>
      <c r="H172" s="8"/>
      <c r="I172" s="8"/>
      <c r="J172" s="8"/>
      <c r="K172" s="8"/>
    </row>
    <row r="173" spans="1:11" s="9" customFormat="1" ht="21.9" customHeight="1">
      <c r="A173" s="13"/>
      <c r="B173" s="13"/>
      <c r="C173" s="13"/>
      <c r="D173" s="13"/>
      <c r="E173" s="13"/>
      <c r="F173" s="8"/>
      <c r="G173" s="8"/>
      <c r="H173" s="8"/>
      <c r="I173" s="8"/>
      <c r="J173" s="8"/>
      <c r="K173" s="8"/>
    </row>
    <row r="174" spans="1:11" s="9" customFormat="1" ht="21.9" customHeight="1">
      <c r="A174" s="13"/>
      <c r="B174" s="13"/>
      <c r="C174" s="13"/>
      <c r="D174" s="13"/>
      <c r="E174" s="13"/>
      <c r="F174" s="8"/>
      <c r="G174" s="8"/>
      <c r="H174" s="8"/>
      <c r="I174" s="8"/>
      <c r="J174" s="8"/>
      <c r="K174" s="8"/>
    </row>
    <row r="175" spans="1:11" s="9" customFormat="1" ht="21.9" customHeight="1">
      <c r="A175" s="13"/>
      <c r="B175" s="13"/>
      <c r="C175" s="13"/>
      <c r="D175" s="13"/>
      <c r="E175" s="13"/>
      <c r="F175" s="8"/>
      <c r="G175" s="8"/>
      <c r="H175" s="8"/>
      <c r="I175" s="8"/>
      <c r="J175" s="8"/>
      <c r="K175" s="8"/>
    </row>
    <row r="176" spans="1:11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  <c r="K176" s="8"/>
    </row>
    <row r="177" spans="1:11" s="9" customFormat="1" ht="21.9" customHeight="1">
      <c r="A177" s="13"/>
      <c r="B177" s="13"/>
      <c r="C177" s="13"/>
      <c r="D177" s="13"/>
      <c r="E177" s="13"/>
      <c r="F177" s="8"/>
      <c r="G177" s="8"/>
      <c r="H177" s="8"/>
      <c r="I177" s="8"/>
      <c r="J177" s="8"/>
      <c r="K177" s="8"/>
    </row>
    <row r="178" spans="1:11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  <c r="K178" s="10"/>
    </row>
    <row r="179" spans="1:11" s="9" customFormat="1" ht="21.9" customHeight="1">
      <c r="A179" s="13"/>
      <c r="B179" s="13"/>
      <c r="C179" s="13"/>
      <c r="D179" s="13"/>
      <c r="E179" s="13"/>
      <c r="F179" s="10"/>
      <c r="G179" s="10"/>
      <c r="H179" s="10"/>
      <c r="I179" s="10"/>
      <c r="J179" s="10"/>
      <c r="K179" s="10"/>
    </row>
    <row r="180" spans="1:11" s="9" customFormat="1" ht="21.9" customHeight="1">
      <c r="A180" s="13"/>
      <c r="B180" s="13"/>
      <c r="C180" s="13"/>
      <c r="D180" s="13"/>
      <c r="E180" s="13"/>
      <c r="F180" s="10"/>
      <c r="G180" s="10"/>
      <c r="H180" s="10"/>
      <c r="I180" s="10"/>
      <c r="J180" s="10"/>
      <c r="K180" s="10"/>
    </row>
    <row r="181" spans="1:11" s="9" customFormat="1" ht="21.9" customHeight="1">
      <c r="A181" s="13"/>
      <c r="B181" s="13"/>
      <c r="C181" s="13"/>
      <c r="D181" s="13"/>
      <c r="E181" s="13"/>
      <c r="F181" s="10"/>
      <c r="G181" s="10"/>
      <c r="H181" s="10"/>
      <c r="I181" s="10"/>
      <c r="J181" s="10"/>
      <c r="K181" s="10"/>
    </row>
    <row r="182" spans="1:11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  <c r="K182" s="12"/>
    </row>
    <row r="183" spans="1:11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  <c r="K183" s="12"/>
    </row>
    <row r="184" spans="1:11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  <c r="K184" s="12"/>
    </row>
    <row r="185" spans="1:11" s="9" customFormat="1" ht="21.9" customHeight="1">
      <c r="A185" s="13"/>
      <c r="B185" s="13"/>
      <c r="C185" s="13"/>
      <c r="D185" s="13"/>
      <c r="E185" s="13"/>
      <c r="F185" s="8"/>
      <c r="G185" s="8"/>
      <c r="H185" s="8"/>
      <c r="I185" s="8"/>
      <c r="J185" s="8"/>
      <c r="K185" s="8"/>
    </row>
    <row r="186" spans="1:11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  <c r="K186" s="8"/>
    </row>
    <row r="187" spans="1:11" s="9" customFormat="1" ht="21.9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  <c r="K187" s="12"/>
    </row>
    <row r="188" spans="1:11" s="9" customFormat="1" ht="21.9" customHeight="1">
      <c r="A188" s="13"/>
      <c r="B188" s="13"/>
      <c r="C188" s="13"/>
      <c r="D188" s="13"/>
      <c r="E188" s="13"/>
      <c r="F188" s="12"/>
      <c r="G188" s="12"/>
      <c r="H188" s="12"/>
      <c r="I188" s="12"/>
      <c r="J188" s="12"/>
      <c r="K188" s="12"/>
    </row>
    <row r="189" spans="1:11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  <c r="K189" s="8"/>
    </row>
    <row r="190" spans="1:11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  <c r="K190" s="8"/>
    </row>
    <row r="191" spans="1:11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  <c r="K191" s="8"/>
    </row>
    <row r="192" spans="1:11" s="9" customFormat="1" ht="21.9" customHeight="1">
      <c r="A192" s="13"/>
      <c r="B192" s="13"/>
      <c r="C192" s="13"/>
      <c r="D192" s="13"/>
      <c r="E192" s="13"/>
      <c r="F192" s="8"/>
      <c r="G192" s="8"/>
      <c r="H192" s="8"/>
      <c r="I192" s="8"/>
      <c r="J192" s="8"/>
      <c r="K192" s="8"/>
    </row>
    <row r="193" spans="1:11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  <c r="K193" s="8"/>
    </row>
    <row r="194" spans="1:11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  <c r="K194" s="8"/>
    </row>
    <row r="195" spans="1:11" s="9" customFormat="1" ht="21.9" customHeight="1">
      <c r="A195" s="13"/>
      <c r="B195" s="13"/>
      <c r="C195" s="13"/>
      <c r="D195" s="13"/>
      <c r="E195" s="13"/>
      <c r="F195" s="11"/>
      <c r="G195" s="11"/>
      <c r="H195" s="11"/>
      <c r="I195" s="11"/>
      <c r="J195" s="11"/>
      <c r="K195" s="11"/>
    </row>
    <row r="196" spans="1:11" s="9" customFormat="1" ht="21.9" customHeight="1">
      <c r="A196" s="13"/>
      <c r="B196" s="13"/>
      <c r="C196" s="13"/>
      <c r="D196" s="13"/>
      <c r="E196" s="13"/>
      <c r="F196" s="11"/>
      <c r="G196" s="11"/>
      <c r="H196" s="11"/>
      <c r="I196" s="11"/>
      <c r="J196" s="11"/>
      <c r="K196" s="11"/>
    </row>
    <row r="197" spans="1:11" s="9" customFormat="1" ht="21.9" customHeight="1">
      <c r="A197" s="13"/>
      <c r="B197" s="13"/>
      <c r="C197" s="13"/>
      <c r="D197" s="13"/>
      <c r="E197" s="13"/>
      <c r="F197" s="11"/>
      <c r="G197" s="11"/>
      <c r="H197" s="11"/>
      <c r="I197" s="11"/>
      <c r="J197" s="11"/>
      <c r="K197" s="11"/>
    </row>
    <row r="198" spans="1:11" s="9" customFormat="1" ht="21.9" customHeight="1">
      <c r="A198" s="13"/>
      <c r="B198" s="13"/>
      <c r="C198" s="13"/>
      <c r="D198" s="13"/>
      <c r="E198" s="13"/>
      <c r="F198" s="11"/>
      <c r="G198" s="11"/>
      <c r="H198" s="11"/>
      <c r="I198" s="11"/>
      <c r="J198" s="11"/>
      <c r="K198" s="11"/>
    </row>
    <row r="199" spans="1:11" s="9" customFormat="1" ht="21.9" customHeight="1">
      <c r="A199" s="15"/>
      <c r="B199" s="15"/>
      <c r="C199" s="15"/>
      <c r="D199" s="15"/>
      <c r="E199" s="15"/>
      <c r="F199" s="12"/>
      <c r="G199" s="12"/>
      <c r="H199" s="12"/>
      <c r="I199" s="12"/>
      <c r="J199" s="12"/>
      <c r="K199" s="12"/>
    </row>
    <row r="200" spans="1:11" s="9" customFormat="1" ht="21.9" customHeight="1">
      <c r="A200" s="15"/>
      <c r="B200" s="15"/>
      <c r="C200" s="15"/>
      <c r="D200" s="15"/>
      <c r="E200" s="15"/>
      <c r="F200" s="11"/>
      <c r="G200" s="11"/>
      <c r="H200" s="11"/>
      <c r="I200" s="11"/>
      <c r="J200" s="11"/>
      <c r="K200" s="11"/>
    </row>
    <row r="201" spans="1:11" s="9" customFormat="1" ht="21.9" customHeight="1">
      <c r="A201" s="15"/>
      <c r="B201" s="15"/>
      <c r="C201" s="15"/>
      <c r="D201" s="15"/>
      <c r="E201" s="15"/>
      <c r="F201" s="12"/>
      <c r="G201" s="12"/>
      <c r="H201" s="12"/>
      <c r="I201" s="12"/>
      <c r="J201" s="12"/>
      <c r="K201" s="12"/>
    </row>
    <row r="202" spans="1:11" s="9" customFormat="1" ht="21.9" customHeight="1">
      <c r="A202" s="15"/>
      <c r="B202" s="15"/>
      <c r="C202" s="15"/>
      <c r="D202" s="15"/>
      <c r="E202" s="15"/>
      <c r="F202" s="12"/>
      <c r="G202" s="12"/>
      <c r="H202" s="12"/>
      <c r="I202" s="12"/>
      <c r="J202" s="12"/>
      <c r="K202" s="12"/>
    </row>
    <row r="203" spans="1:11" s="9" customFormat="1" ht="21.9" customHeight="1">
      <c r="A203" s="15"/>
      <c r="B203" s="15"/>
      <c r="C203" s="15"/>
      <c r="D203" s="15"/>
      <c r="E203" s="15"/>
      <c r="F203" s="12"/>
      <c r="G203" s="12"/>
      <c r="H203" s="12"/>
      <c r="I203" s="12"/>
      <c r="J203" s="12"/>
      <c r="K203" s="12"/>
    </row>
    <row r="204" spans="1:11" s="9" customFormat="1" ht="21.9" customHeight="1">
      <c r="A204" s="15"/>
      <c r="B204" s="15"/>
      <c r="C204" s="15"/>
      <c r="D204" s="15"/>
      <c r="E204" s="15"/>
      <c r="F204" s="12"/>
      <c r="G204" s="12"/>
      <c r="H204" s="12"/>
      <c r="I204" s="12"/>
      <c r="J204" s="12"/>
      <c r="K204" s="12"/>
    </row>
    <row r="205" spans="1:11" s="9" customFormat="1" ht="21.9" customHeight="1">
      <c r="A205" s="15"/>
      <c r="B205" s="15"/>
      <c r="C205" s="15"/>
      <c r="D205" s="15"/>
      <c r="E205" s="15"/>
      <c r="F205" s="12"/>
      <c r="G205" s="12"/>
      <c r="H205" s="12"/>
      <c r="I205" s="12"/>
      <c r="J205" s="12"/>
      <c r="K205" s="12"/>
    </row>
    <row r="206" spans="1:11" s="9" customFormat="1" ht="21.9" customHeight="1">
      <c r="A206" s="15"/>
      <c r="B206" s="15"/>
      <c r="C206" s="15"/>
      <c r="D206" s="15"/>
      <c r="E206" s="15"/>
      <c r="F206" s="12"/>
      <c r="G206" s="12"/>
      <c r="H206" s="12"/>
      <c r="I206" s="12"/>
      <c r="J206" s="12"/>
      <c r="K206" s="12"/>
    </row>
    <row r="207" spans="1:11" s="9" customFormat="1" ht="21.9" customHeight="1">
      <c r="A207" s="15"/>
      <c r="B207" s="15"/>
      <c r="C207" s="15"/>
      <c r="D207" s="15"/>
      <c r="E207" s="15"/>
      <c r="F207" s="8"/>
      <c r="G207" s="8"/>
      <c r="H207" s="8"/>
      <c r="I207" s="8"/>
      <c r="J207" s="8"/>
      <c r="K207" s="8"/>
    </row>
    <row r="208" spans="1:11" s="9" customFormat="1" ht="21.9" customHeight="1">
      <c r="A208" s="15"/>
      <c r="B208" s="15"/>
      <c r="C208" s="15"/>
      <c r="D208" s="15"/>
      <c r="E208" s="15"/>
      <c r="F208" s="12"/>
      <c r="G208" s="12"/>
      <c r="H208" s="12"/>
      <c r="I208" s="12"/>
      <c r="J208" s="12"/>
      <c r="K208" s="12"/>
    </row>
    <row r="209" spans="1:11" s="9" customFormat="1" ht="21.9" customHeight="1">
      <c r="A209" s="15"/>
      <c r="B209" s="15"/>
      <c r="C209" s="15"/>
      <c r="D209" s="15"/>
      <c r="E209" s="15"/>
      <c r="F209" s="12"/>
      <c r="G209" s="12"/>
      <c r="H209" s="12"/>
      <c r="I209" s="12"/>
      <c r="J209" s="12"/>
      <c r="K209" s="12"/>
    </row>
    <row r="210" spans="1:11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  <c r="K210" s="12"/>
    </row>
    <row r="211" spans="1:11" s="9" customFormat="1" ht="21.9" customHeight="1">
      <c r="A211" s="15"/>
      <c r="B211" s="15"/>
      <c r="C211" s="15"/>
      <c r="D211" s="15"/>
      <c r="E211" s="15"/>
      <c r="F211" s="8"/>
      <c r="G211" s="8"/>
      <c r="H211" s="8"/>
      <c r="I211" s="8"/>
      <c r="J211" s="8"/>
      <c r="K211" s="8"/>
    </row>
    <row r="212" spans="1:11" s="9" customFormat="1" ht="21.9" customHeight="1">
      <c r="A212" s="15"/>
      <c r="B212" s="15"/>
      <c r="C212" s="15"/>
      <c r="D212" s="15"/>
      <c r="E212" s="15"/>
      <c r="F212" s="8"/>
      <c r="G212" s="8"/>
      <c r="H212" s="8"/>
      <c r="I212" s="8"/>
      <c r="J212" s="8"/>
      <c r="K212" s="8"/>
    </row>
    <row r="213" spans="1:11" s="9" customFormat="1" ht="21.9" customHeight="1">
      <c r="A213" s="15"/>
      <c r="B213" s="15"/>
      <c r="C213" s="15"/>
      <c r="D213" s="15"/>
      <c r="E213" s="15"/>
      <c r="F213" s="8"/>
      <c r="G213" s="8"/>
      <c r="H213" s="8"/>
      <c r="I213" s="8"/>
      <c r="J213" s="8"/>
      <c r="K213" s="8"/>
    </row>
    <row r="214" spans="1:11" s="9" customFormat="1" ht="21.9" customHeight="1">
      <c r="A214" s="15"/>
      <c r="B214" s="15"/>
      <c r="C214" s="15"/>
      <c r="D214" s="15"/>
      <c r="E214" s="15"/>
      <c r="F214" s="8"/>
      <c r="G214" s="8"/>
      <c r="H214" s="8"/>
      <c r="I214" s="8"/>
      <c r="J214" s="8"/>
      <c r="K214" s="8"/>
    </row>
    <row r="215" spans="1:11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  <c r="K215" s="8"/>
    </row>
    <row r="216" spans="1:11" s="9" customFormat="1" ht="21.9" customHeight="1">
      <c r="A216" s="15"/>
      <c r="B216" s="15"/>
      <c r="C216" s="15"/>
      <c r="D216" s="15"/>
      <c r="E216" s="15"/>
      <c r="F216" s="8"/>
      <c r="G216" s="8"/>
      <c r="H216" s="8"/>
      <c r="I216" s="8"/>
      <c r="J216" s="8"/>
      <c r="K216" s="8"/>
    </row>
    <row r="217" spans="1:11" s="9" customFormat="1" ht="21.9" customHeight="1">
      <c r="A217" s="15"/>
      <c r="B217" s="15"/>
      <c r="C217" s="15"/>
      <c r="D217" s="15"/>
      <c r="E217" s="15"/>
      <c r="F217" s="11"/>
      <c r="G217" s="11"/>
      <c r="H217" s="11"/>
      <c r="I217" s="11"/>
      <c r="J217" s="11"/>
      <c r="K217" s="11"/>
    </row>
    <row r="218" spans="1:11" s="9" customFormat="1" ht="21.9" customHeight="1">
      <c r="A218" s="15"/>
      <c r="B218" s="15"/>
      <c r="C218" s="15"/>
      <c r="D218" s="15"/>
      <c r="E218" s="15"/>
      <c r="F218" s="11"/>
      <c r="G218" s="11"/>
      <c r="H218" s="11"/>
      <c r="I218" s="11"/>
      <c r="J218" s="11"/>
      <c r="K218" s="11"/>
    </row>
    <row r="219" spans="1:11" s="9" customFormat="1" ht="21.9" customHeight="1">
      <c r="A219" s="15"/>
      <c r="B219" s="15"/>
      <c r="C219" s="15"/>
      <c r="D219" s="15"/>
      <c r="E219" s="15"/>
      <c r="F219" s="11"/>
      <c r="G219" s="11"/>
      <c r="H219" s="11"/>
      <c r="I219" s="11"/>
      <c r="J219" s="11"/>
      <c r="K219" s="11"/>
    </row>
    <row r="220" spans="1:11" s="9" customFormat="1" ht="21.9" customHeight="1">
      <c r="A220" s="15"/>
      <c r="B220" s="15"/>
      <c r="C220" s="15"/>
      <c r="D220" s="15"/>
      <c r="E220" s="15"/>
      <c r="F220" s="11"/>
      <c r="G220" s="11"/>
      <c r="H220" s="11"/>
      <c r="I220" s="11"/>
      <c r="J220" s="11"/>
      <c r="K220" s="11"/>
    </row>
    <row r="221" spans="1:11" s="9" customFormat="1" ht="21.9" customHeight="1">
      <c r="A221" s="15"/>
      <c r="B221" s="15"/>
      <c r="C221" s="15"/>
      <c r="D221" s="15"/>
      <c r="E221" s="15"/>
      <c r="F221" s="11"/>
      <c r="G221" s="11"/>
      <c r="H221" s="11"/>
      <c r="I221" s="11"/>
      <c r="J221" s="11"/>
      <c r="K221" s="11"/>
    </row>
    <row r="222" spans="1:11" s="9" customFormat="1" ht="21.9" customHeight="1">
      <c r="A222" s="15"/>
      <c r="B222" s="15"/>
      <c r="C222" s="15"/>
      <c r="D222" s="15"/>
      <c r="E222" s="15"/>
      <c r="F222" s="11"/>
      <c r="G222" s="11"/>
      <c r="H222" s="11"/>
      <c r="I222" s="11"/>
      <c r="J222" s="11"/>
      <c r="K222" s="11"/>
    </row>
    <row r="223" spans="1:11" s="9" customFormat="1" ht="21.9" customHeight="1">
      <c r="A223" s="15"/>
      <c r="B223" s="15"/>
      <c r="C223" s="15"/>
      <c r="D223" s="15"/>
      <c r="E223" s="15"/>
      <c r="F223" s="8"/>
      <c r="G223" s="8"/>
      <c r="H223" s="8"/>
      <c r="I223" s="8"/>
      <c r="J223" s="8"/>
      <c r="K223" s="8"/>
    </row>
    <row r="224" spans="1:11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  <c r="K224" s="8"/>
    </row>
    <row r="225" spans="1:11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  <c r="K225" s="8"/>
    </row>
    <row r="226" spans="1:11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  <c r="K226" s="8"/>
    </row>
    <row r="227" spans="1:11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  <c r="K227" s="8"/>
    </row>
    <row r="228" spans="1:11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  <c r="K228" s="8"/>
    </row>
    <row r="229" spans="1:11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  <c r="K229" s="8"/>
    </row>
    <row r="230" spans="1:11" s="9" customFormat="1" ht="21.9" customHeight="1">
      <c r="A230" s="6"/>
      <c r="B230" s="6"/>
      <c r="C230" s="6"/>
      <c r="D230" s="6"/>
      <c r="E230" s="6"/>
      <c r="F230" s="12"/>
      <c r="G230" s="12"/>
      <c r="H230" s="12"/>
      <c r="I230" s="12"/>
      <c r="J230" s="12"/>
      <c r="K230" s="12"/>
    </row>
    <row r="231" spans="1:11" s="9" customFormat="1" ht="21.9" customHeight="1">
      <c r="A231" s="6"/>
      <c r="B231" s="6"/>
      <c r="C231" s="6"/>
      <c r="D231" s="6"/>
      <c r="E231" s="6"/>
      <c r="F231" s="12"/>
      <c r="G231" s="12"/>
      <c r="H231" s="12"/>
      <c r="I231" s="12"/>
      <c r="J231" s="12"/>
      <c r="K231" s="12"/>
    </row>
    <row r="232" spans="1:11" s="9" customFormat="1" ht="21.9" customHeight="1">
      <c r="A232" s="6"/>
      <c r="B232" s="6"/>
      <c r="C232" s="6"/>
      <c r="D232" s="6"/>
      <c r="E232" s="6"/>
      <c r="F232" s="11"/>
      <c r="G232" s="11"/>
      <c r="H232" s="11"/>
      <c r="I232" s="11"/>
      <c r="J232" s="11"/>
      <c r="K232" s="11"/>
    </row>
    <row r="233" spans="1:11" s="9" customFormat="1" ht="21.9" customHeight="1">
      <c r="A233" s="6"/>
      <c r="B233" s="6"/>
      <c r="C233" s="6"/>
      <c r="D233" s="6"/>
      <c r="E233" s="6"/>
      <c r="F233" s="12"/>
      <c r="G233" s="12"/>
      <c r="H233" s="12"/>
      <c r="I233" s="12"/>
      <c r="J233" s="12"/>
      <c r="K233" s="12"/>
    </row>
    <row r="234" spans="1:11" s="9" customFormat="1" ht="21.9" customHeight="1">
      <c r="A234" s="6"/>
      <c r="B234" s="6"/>
      <c r="C234" s="6"/>
      <c r="D234" s="6"/>
      <c r="E234" s="6"/>
      <c r="F234" s="8"/>
      <c r="G234" s="8"/>
      <c r="H234" s="8"/>
      <c r="I234" s="8"/>
      <c r="J234" s="8"/>
      <c r="K234" s="8"/>
    </row>
    <row r="235" spans="1:11" s="9" customFormat="1" ht="21.9" customHeight="1">
      <c r="A235" s="6"/>
      <c r="B235" s="6"/>
      <c r="C235" s="6"/>
      <c r="D235" s="6"/>
      <c r="E235" s="6"/>
      <c r="F235" s="8"/>
      <c r="G235" s="8"/>
      <c r="H235" s="8"/>
      <c r="I235" s="8"/>
      <c r="J235" s="8"/>
      <c r="K235" s="8"/>
    </row>
    <row r="236" spans="1:11" s="9" customFormat="1" ht="21.9" customHeight="1">
      <c r="A236" s="6"/>
      <c r="B236" s="6"/>
      <c r="C236" s="6"/>
      <c r="D236" s="6"/>
      <c r="E236" s="6"/>
      <c r="F236" s="11"/>
      <c r="G236" s="11"/>
      <c r="H236" s="11"/>
      <c r="I236" s="11"/>
      <c r="J236" s="11"/>
      <c r="K236" s="11"/>
    </row>
    <row r="237" spans="1:11" s="9" customFormat="1" ht="21.9" customHeight="1">
      <c r="A237" s="6"/>
      <c r="B237" s="6"/>
      <c r="C237" s="6"/>
      <c r="D237" s="6"/>
      <c r="E237" s="6"/>
      <c r="F237" s="12"/>
      <c r="G237" s="12"/>
      <c r="H237" s="12"/>
      <c r="I237" s="12"/>
      <c r="J237" s="12"/>
      <c r="K237" s="12"/>
    </row>
    <row r="238" spans="1:11" s="9" customFormat="1" ht="21.9" customHeight="1">
      <c r="A238" s="6"/>
      <c r="B238" s="6"/>
      <c r="C238" s="6"/>
      <c r="D238" s="6"/>
      <c r="E238" s="6"/>
      <c r="F238" s="11"/>
      <c r="G238" s="11"/>
      <c r="H238" s="11"/>
      <c r="I238" s="11"/>
      <c r="J238" s="11"/>
      <c r="K238" s="11"/>
    </row>
    <row r="239" spans="1:11" s="9" customFormat="1" ht="21.9" customHeight="1">
      <c r="A239" s="6"/>
      <c r="B239" s="6"/>
      <c r="C239" s="6"/>
      <c r="D239" s="6"/>
      <c r="E239" s="6"/>
      <c r="F239" s="11"/>
      <c r="G239" s="11"/>
      <c r="H239" s="11"/>
      <c r="I239" s="11"/>
      <c r="J239" s="11"/>
      <c r="K239" s="11"/>
    </row>
    <row r="240" spans="1:11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  <c r="K240" s="11"/>
    </row>
    <row r="241" spans="1:11" s="9" customFormat="1" ht="21.9" customHeight="1">
      <c r="A241" s="6"/>
      <c r="B241" s="6"/>
      <c r="C241" s="6"/>
      <c r="D241" s="6"/>
      <c r="E241" s="6"/>
      <c r="F241" s="11"/>
      <c r="G241" s="11"/>
      <c r="H241" s="11"/>
      <c r="I241" s="11"/>
      <c r="J241" s="11"/>
      <c r="K241" s="11"/>
    </row>
    <row r="242" spans="1:11" s="9" customFormat="1" ht="21.9" customHeight="1">
      <c r="A242" s="6"/>
      <c r="B242" s="6"/>
      <c r="C242" s="6"/>
      <c r="D242" s="6"/>
      <c r="E242" s="6"/>
      <c r="F242" s="11"/>
      <c r="G242" s="11"/>
      <c r="H242" s="11"/>
      <c r="I242" s="11"/>
      <c r="J242" s="11"/>
      <c r="K242" s="11"/>
    </row>
    <row r="243" spans="1:11" s="9" customFormat="1" ht="21.9" customHeight="1">
      <c r="A243" s="6"/>
      <c r="B243" s="6"/>
      <c r="C243" s="6"/>
      <c r="D243" s="6"/>
      <c r="E243" s="6"/>
      <c r="F243" s="11"/>
      <c r="G243" s="11"/>
      <c r="H243" s="11"/>
      <c r="I243" s="11"/>
      <c r="J243" s="11"/>
      <c r="K243" s="11"/>
    </row>
    <row r="244" spans="1:11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  <c r="K244" s="11"/>
    </row>
    <row r="245" spans="1:11" s="9" customFormat="1" ht="21.9" customHeight="1">
      <c r="A245" s="6"/>
      <c r="B245" s="6"/>
      <c r="C245" s="6"/>
      <c r="D245" s="6"/>
      <c r="E245" s="6"/>
      <c r="F245" s="11"/>
      <c r="G245" s="11"/>
      <c r="H245" s="11"/>
      <c r="I245" s="11"/>
      <c r="J245" s="11"/>
      <c r="K245" s="11"/>
    </row>
    <row r="246" spans="1:11" s="9" customFormat="1" ht="21.9" customHeight="1">
      <c r="A246" s="6"/>
      <c r="B246" s="6"/>
      <c r="C246" s="6"/>
      <c r="D246" s="6"/>
      <c r="E246" s="6"/>
      <c r="F246" s="8"/>
      <c r="G246" s="8"/>
      <c r="H246" s="8"/>
      <c r="I246" s="8"/>
      <c r="J246" s="8"/>
      <c r="K246" s="8"/>
    </row>
    <row r="247" spans="1:11" s="9" customFormat="1" ht="21.9" customHeight="1">
      <c r="A247" s="6"/>
      <c r="B247" s="6"/>
      <c r="C247" s="6"/>
      <c r="D247" s="6"/>
      <c r="E247" s="6"/>
      <c r="F247" s="8"/>
      <c r="G247" s="8"/>
      <c r="H247" s="8"/>
      <c r="I247" s="8"/>
      <c r="J247" s="8"/>
      <c r="K247" s="8"/>
    </row>
    <row r="248" spans="1:11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  <c r="K248" s="8"/>
    </row>
    <row r="249" spans="1:11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  <c r="K249" s="8"/>
    </row>
    <row r="250" spans="1:11" s="9" customFormat="1" ht="21.9" customHeight="1">
      <c r="A250" s="6"/>
      <c r="B250" s="6"/>
      <c r="C250" s="6"/>
      <c r="D250" s="6"/>
      <c r="E250" s="6"/>
      <c r="F250" s="8"/>
      <c r="G250" s="8"/>
      <c r="H250" s="8"/>
      <c r="I250" s="8"/>
      <c r="J250" s="8"/>
      <c r="K250" s="8"/>
    </row>
    <row r="251" spans="1:11" s="9" customFormat="1" ht="21.9" customHeight="1">
      <c r="A251" s="6"/>
      <c r="B251" s="6"/>
      <c r="C251" s="6"/>
      <c r="D251" s="6"/>
      <c r="E251" s="6"/>
      <c r="F251" s="8"/>
      <c r="G251" s="8"/>
      <c r="H251" s="8"/>
      <c r="I251" s="8"/>
      <c r="J251" s="8"/>
      <c r="K251" s="8"/>
    </row>
    <row r="252" spans="1:11" s="9" customFormat="1" ht="13.2">
      <c r="A252" s="6"/>
      <c r="B252" s="6"/>
      <c r="C252" s="6"/>
      <c r="D252" s="6"/>
      <c r="E252" s="6"/>
      <c r="F252" s="12"/>
      <c r="G252" s="12"/>
      <c r="H252" s="12"/>
      <c r="I252" s="12"/>
      <c r="J252" s="12"/>
      <c r="K252" s="12"/>
    </row>
    <row r="253" spans="1:11" s="9" customFormat="1" ht="13.2">
      <c r="A253" s="6"/>
      <c r="B253" s="6"/>
      <c r="C253" s="6"/>
      <c r="D253" s="6"/>
      <c r="E253" s="6"/>
      <c r="F253" s="10"/>
      <c r="G253" s="10"/>
      <c r="H253" s="10"/>
      <c r="I253" s="10"/>
      <c r="J253" s="10"/>
      <c r="K253" s="10"/>
    </row>
    <row r="254" spans="1:11" s="9" customFormat="1" ht="13.2">
      <c r="A254" s="6"/>
      <c r="B254" s="6"/>
      <c r="C254" s="6"/>
      <c r="D254" s="6"/>
      <c r="E254" s="6"/>
      <c r="F254" s="12"/>
      <c r="G254" s="12"/>
      <c r="H254" s="12"/>
      <c r="I254" s="12"/>
      <c r="J254" s="12"/>
      <c r="K254" s="12"/>
    </row>
    <row r="255" spans="1:11" s="9" customFormat="1" ht="13.2">
      <c r="A255" s="6"/>
      <c r="B255" s="6"/>
      <c r="C255" s="6"/>
      <c r="D255" s="6"/>
      <c r="E255" s="6"/>
      <c r="F255" s="12"/>
      <c r="G255" s="12"/>
      <c r="H255" s="12"/>
      <c r="I255" s="12"/>
      <c r="J255" s="12"/>
      <c r="K255" s="12"/>
    </row>
    <row r="256" spans="1:11" s="9" customFormat="1" ht="13.2">
      <c r="A256" s="6"/>
      <c r="B256" s="6"/>
      <c r="C256" s="6"/>
      <c r="D256" s="6"/>
      <c r="E256" s="6"/>
      <c r="F256" s="8"/>
      <c r="G256" s="8"/>
      <c r="H256" s="8"/>
      <c r="I256" s="8"/>
      <c r="J256" s="8"/>
      <c r="K256" s="8"/>
    </row>
    <row r="257" spans="1:11" s="9" customFormat="1" ht="13.2">
      <c r="A257" s="6"/>
      <c r="B257" s="6"/>
      <c r="C257" s="6"/>
      <c r="D257" s="6"/>
      <c r="E257" s="6"/>
      <c r="F257" s="8"/>
      <c r="G257" s="8"/>
      <c r="H257" s="8"/>
      <c r="I257" s="8"/>
      <c r="J257" s="8"/>
      <c r="K257" s="8"/>
    </row>
    <row r="258" spans="1:11" s="9" customFormat="1" ht="13.2">
      <c r="A258" s="6"/>
      <c r="B258" s="6"/>
      <c r="C258" s="6"/>
      <c r="D258" s="6"/>
      <c r="E258" s="6"/>
      <c r="F258" s="8"/>
      <c r="G258" s="8"/>
      <c r="H258" s="8"/>
      <c r="I258" s="8"/>
      <c r="J258" s="8"/>
      <c r="K258" s="8"/>
    </row>
    <row r="259" spans="1:11" s="9" customFormat="1" ht="13.2">
      <c r="A259" s="6"/>
      <c r="B259" s="6"/>
      <c r="C259" s="6"/>
      <c r="D259" s="6"/>
      <c r="E259" s="6"/>
      <c r="F259" s="8"/>
      <c r="G259" s="8"/>
      <c r="H259" s="8"/>
      <c r="I259" s="8"/>
      <c r="J259" s="8"/>
      <c r="K259" s="8"/>
    </row>
    <row r="260" spans="1:11" s="9" customFormat="1" ht="13.2">
      <c r="A260" s="6"/>
      <c r="B260" s="6"/>
      <c r="C260" s="6"/>
      <c r="D260" s="6"/>
      <c r="E260" s="6"/>
      <c r="F260" s="11"/>
      <c r="G260" s="11"/>
      <c r="H260" s="11"/>
      <c r="I260" s="11"/>
      <c r="J260" s="11"/>
      <c r="K260" s="11"/>
    </row>
    <row r="261" spans="1:11" s="9" customFormat="1" ht="13.2">
      <c r="A261" s="6"/>
      <c r="B261" s="6"/>
      <c r="C261" s="6"/>
      <c r="D261" s="6"/>
      <c r="E261" s="6"/>
      <c r="F261" s="12"/>
      <c r="G261" s="12"/>
      <c r="H261" s="12"/>
      <c r="I261" s="12"/>
      <c r="J261" s="12"/>
      <c r="K261" s="12"/>
    </row>
    <row r="262" spans="1:11" s="9" customFormat="1" ht="13.2">
      <c r="A262" s="6"/>
      <c r="B262" s="6"/>
      <c r="C262" s="6"/>
      <c r="D262" s="6"/>
      <c r="E262" s="6"/>
      <c r="F262" s="10"/>
      <c r="G262" s="10"/>
      <c r="H262" s="10"/>
      <c r="I262" s="10"/>
      <c r="J262" s="10"/>
      <c r="K262" s="10"/>
    </row>
    <row r="263" spans="1:11" s="9" customFormat="1" ht="13.2">
      <c r="A263" s="6"/>
      <c r="B263" s="6"/>
      <c r="C263" s="6"/>
      <c r="D263" s="6"/>
      <c r="E263" s="6"/>
      <c r="F263" s="11"/>
      <c r="G263" s="11"/>
      <c r="H263" s="11"/>
      <c r="I263" s="11"/>
      <c r="J263" s="11"/>
      <c r="K263" s="11"/>
    </row>
    <row r="264" spans="1:11" s="9" customFormat="1" ht="13.2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13.2">
      <c r="A265" s="6"/>
      <c r="B265" s="6"/>
      <c r="C265" s="6"/>
      <c r="D265" s="6"/>
      <c r="E265" s="6"/>
      <c r="F265" s="7"/>
      <c r="G265" s="7"/>
      <c r="H265" s="7"/>
      <c r="I265" s="7"/>
      <c r="J265" s="7"/>
      <c r="K265" s="7"/>
    </row>
    <row r="266" spans="1:11" s="9" customFormat="1" ht="13.2">
      <c r="A266" s="6"/>
      <c r="B266" s="6"/>
      <c r="C266" s="6"/>
      <c r="D266" s="6"/>
      <c r="E266" s="6"/>
      <c r="F266" s="7"/>
      <c r="G266" s="7"/>
      <c r="H266" s="7"/>
      <c r="I266" s="7"/>
      <c r="J266" s="7"/>
      <c r="K266" s="7"/>
    </row>
    <row r="267" spans="1:11" s="9" customFormat="1" ht="13.2">
      <c r="A267" s="6"/>
      <c r="B267" s="6"/>
      <c r="C267" s="6"/>
      <c r="D267" s="6"/>
      <c r="E267" s="6"/>
      <c r="F267" s="7"/>
      <c r="G267" s="7"/>
      <c r="H267" s="7"/>
      <c r="I267" s="7"/>
      <c r="J267" s="7"/>
      <c r="K267" s="7"/>
    </row>
    <row r="268" spans="1:11" s="9" customFormat="1" ht="13.2">
      <c r="A268" s="6"/>
      <c r="B268" s="6"/>
      <c r="C268" s="6"/>
      <c r="D268" s="6"/>
      <c r="E268" s="6"/>
      <c r="F268" s="7"/>
      <c r="G268" s="7"/>
      <c r="H268" s="7"/>
      <c r="I268" s="7"/>
      <c r="J268" s="7"/>
      <c r="K268" s="7"/>
    </row>
    <row r="269" spans="1:11" s="9" customFormat="1" ht="13.2">
      <c r="A269" s="6"/>
      <c r="B269" s="6"/>
      <c r="C269" s="6"/>
      <c r="D269" s="6"/>
      <c r="E269" s="6"/>
      <c r="F269" s="8"/>
      <c r="G269" s="8"/>
      <c r="H269" s="8"/>
      <c r="I269" s="8"/>
      <c r="J269" s="8"/>
      <c r="K269" s="8"/>
    </row>
    <row r="270" spans="1:11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  <c r="K270" s="8"/>
    </row>
    <row r="271" spans="1:11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  <c r="K271" s="8"/>
    </row>
    <row r="272" spans="1:11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  <c r="K272" s="8"/>
    </row>
    <row r="273" spans="1:11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  <c r="K273" s="8"/>
    </row>
    <row r="274" spans="1:11" s="9" customFormat="1" ht="13.2">
      <c r="A274" s="6"/>
      <c r="B274" s="6"/>
      <c r="C274" s="6"/>
      <c r="D274" s="6"/>
      <c r="E274" s="6"/>
      <c r="F274" s="8"/>
      <c r="G274" s="8"/>
      <c r="H274" s="8"/>
      <c r="I274" s="8"/>
      <c r="J274" s="8"/>
      <c r="K274" s="8"/>
    </row>
    <row r="275" spans="1:11" s="9" customFormat="1" ht="13.2">
      <c r="A275" s="6"/>
      <c r="B275" s="6"/>
      <c r="C275" s="6"/>
      <c r="D275" s="6"/>
      <c r="E275" s="6"/>
      <c r="F275" s="8"/>
      <c r="G275" s="8"/>
      <c r="H275" s="8"/>
      <c r="I275" s="8"/>
      <c r="J275" s="8"/>
      <c r="K275" s="8"/>
    </row>
    <row r="276" spans="1:11" s="9" customFormat="1" ht="13.2">
      <c r="A276" s="6"/>
      <c r="B276" s="6"/>
      <c r="C276" s="6"/>
      <c r="D276" s="6"/>
      <c r="E276" s="6"/>
      <c r="F276" s="8"/>
      <c r="G276" s="8"/>
      <c r="H276" s="8"/>
      <c r="I276" s="8"/>
      <c r="J276" s="8"/>
      <c r="K276" s="8"/>
    </row>
    <row r="277" spans="1:11" s="9" customFormat="1" ht="13.2">
      <c r="A277" s="6"/>
      <c r="B277" s="6"/>
      <c r="C277" s="6"/>
      <c r="D277" s="6"/>
      <c r="E277" s="6"/>
      <c r="F277" s="12"/>
      <c r="G277" s="12"/>
      <c r="H277" s="12"/>
      <c r="I277" s="12"/>
      <c r="J277" s="12"/>
      <c r="K277" s="12"/>
    </row>
    <row r="278" spans="1:11" s="9" customFormat="1" ht="13.2">
      <c r="A278" s="6"/>
      <c r="B278" s="6"/>
      <c r="C278" s="6"/>
      <c r="D278" s="6"/>
      <c r="E278" s="6"/>
      <c r="F278" s="11"/>
      <c r="G278" s="11"/>
      <c r="H278" s="11"/>
      <c r="I278" s="11"/>
      <c r="J278" s="11"/>
      <c r="K278" s="11"/>
    </row>
    <row r="279" spans="1:11" s="9" customFormat="1" ht="13.2">
      <c r="A279" s="6"/>
      <c r="B279" s="6"/>
      <c r="C279" s="6"/>
      <c r="D279" s="6"/>
      <c r="E279" s="6"/>
      <c r="F279" s="12"/>
      <c r="G279" s="12"/>
      <c r="H279" s="12"/>
      <c r="I279" s="12"/>
      <c r="J279" s="12"/>
      <c r="K279" s="12"/>
    </row>
    <row r="280" spans="1:11" s="9" customFormat="1" ht="13.2">
      <c r="A280" s="6"/>
      <c r="B280" s="6"/>
      <c r="C280" s="6"/>
      <c r="D280" s="6"/>
      <c r="E280" s="6"/>
      <c r="F280" s="8"/>
      <c r="G280" s="8"/>
      <c r="H280" s="8"/>
      <c r="I280" s="8"/>
      <c r="J280" s="8"/>
      <c r="K280" s="8"/>
    </row>
    <row r="281" spans="1:11" s="9" customFormat="1" ht="13.2">
      <c r="A281" s="6"/>
      <c r="B281" s="6"/>
      <c r="C281" s="6"/>
      <c r="D281" s="6"/>
      <c r="E281" s="6"/>
      <c r="F281" s="12"/>
      <c r="G281" s="12"/>
      <c r="H281" s="12"/>
      <c r="I281" s="12"/>
      <c r="J281" s="12"/>
      <c r="K281" s="12"/>
    </row>
    <row r="282" spans="1:11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  <c r="K282" s="8"/>
    </row>
    <row r="283" spans="1:11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  <c r="K283" s="8"/>
    </row>
    <row r="284" spans="1:11" s="9" customFormat="1" ht="13.2">
      <c r="A284" s="6"/>
      <c r="B284" s="6"/>
      <c r="C284" s="6"/>
      <c r="D284" s="6"/>
      <c r="E284" s="6"/>
      <c r="F284" s="12"/>
      <c r="G284" s="12"/>
      <c r="H284" s="12"/>
      <c r="I284" s="12"/>
      <c r="J284" s="12"/>
      <c r="K284" s="12"/>
    </row>
    <row r="285" spans="1:11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  <c r="K285" s="8"/>
    </row>
    <row r="286" spans="1:11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  <c r="K286" s="8"/>
    </row>
    <row r="287" spans="1:11" s="9" customFormat="1" ht="13.2">
      <c r="A287" s="6"/>
      <c r="B287" s="6"/>
      <c r="C287" s="6"/>
      <c r="D287" s="6"/>
      <c r="E287" s="6"/>
      <c r="F287" s="11"/>
      <c r="G287" s="11"/>
      <c r="H287" s="11"/>
      <c r="I287" s="11"/>
      <c r="J287" s="11"/>
      <c r="K287" s="11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  <c r="K290" s="8"/>
    </row>
    <row r="291" spans="1:11" s="9" customFormat="1" ht="13.2">
      <c r="A291" s="6"/>
      <c r="B291" s="6"/>
      <c r="C291" s="6"/>
      <c r="D291" s="6"/>
      <c r="E291" s="6"/>
      <c r="F291" s="11"/>
      <c r="G291" s="11"/>
      <c r="H291" s="11"/>
      <c r="I291" s="11"/>
      <c r="J291" s="11"/>
      <c r="K291" s="11"/>
    </row>
    <row r="292" spans="1:11" s="9" customFormat="1" ht="13.2">
      <c r="A292" s="6"/>
      <c r="B292" s="6"/>
      <c r="C292" s="6"/>
      <c r="D292" s="6"/>
      <c r="E292" s="6"/>
      <c r="F292" s="8"/>
      <c r="G292" s="8"/>
      <c r="H292" s="8"/>
      <c r="I292" s="8"/>
      <c r="J292" s="8"/>
      <c r="K292" s="8"/>
    </row>
    <row r="293" spans="1:11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  <c r="K293" s="8"/>
    </row>
    <row r="294" spans="1:11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  <c r="K294" s="8"/>
    </row>
    <row r="295" spans="1:11" s="9" customFormat="1" ht="13.2">
      <c r="A295" s="6"/>
      <c r="B295" s="6"/>
      <c r="C295" s="6"/>
      <c r="D295" s="6"/>
      <c r="E295" s="6"/>
      <c r="F295" s="8"/>
      <c r="G295" s="8"/>
      <c r="H295" s="8"/>
      <c r="I295" s="8"/>
      <c r="J295" s="8"/>
      <c r="K295" s="8"/>
    </row>
    <row r="296" spans="1:11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  <c r="K296" s="8"/>
    </row>
    <row r="297" spans="1:11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  <c r="K297" s="8"/>
    </row>
    <row r="298" spans="1:11" s="9" customFormat="1" ht="13.2">
      <c r="A298" s="6"/>
      <c r="B298" s="6"/>
      <c r="C298" s="6"/>
      <c r="D298" s="6"/>
      <c r="E298" s="6"/>
      <c r="F298" s="10"/>
      <c r="G298" s="10"/>
      <c r="H298" s="10"/>
      <c r="I298" s="10"/>
      <c r="J298" s="10"/>
      <c r="K298" s="10"/>
    </row>
    <row r="299" spans="1:11" s="9" customFormat="1" ht="13.2">
      <c r="A299" s="6"/>
      <c r="B299" s="6"/>
      <c r="C299" s="6"/>
      <c r="D299" s="6"/>
      <c r="E299" s="6"/>
      <c r="F299" s="11"/>
      <c r="G299" s="11"/>
      <c r="H299" s="11"/>
      <c r="I299" s="11"/>
      <c r="J299" s="11"/>
      <c r="K299" s="11"/>
    </row>
    <row r="300" spans="1:11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  <c r="K300" s="8"/>
    </row>
    <row r="301" spans="1:11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  <c r="K301" s="11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  <c r="K303" s="8"/>
    </row>
    <row r="304" spans="1:11" s="9" customFormat="1" ht="13.2">
      <c r="A304" s="6"/>
      <c r="B304" s="6"/>
      <c r="C304" s="6"/>
      <c r="D304" s="6"/>
      <c r="E304" s="6"/>
      <c r="F304" s="11"/>
      <c r="G304" s="11"/>
      <c r="H304" s="11"/>
      <c r="I304" s="11"/>
      <c r="J304" s="11"/>
      <c r="K304" s="11"/>
    </row>
    <row r="305" spans="1:11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  <c r="K305" s="11"/>
    </row>
    <row r="306" spans="1:11" s="9" customFormat="1" ht="13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  <c r="K307" s="11"/>
    </row>
    <row r="308" spans="1:11" s="9" customFormat="1" ht="13.2">
      <c r="A308" s="6"/>
      <c r="B308" s="6"/>
      <c r="C308" s="6"/>
      <c r="D308" s="6"/>
      <c r="E308" s="6"/>
      <c r="F308" s="11"/>
      <c r="G308" s="11"/>
      <c r="H308" s="11"/>
      <c r="I308" s="11"/>
      <c r="J308" s="11"/>
      <c r="K308" s="11"/>
    </row>
    <row r="309" spans="1:11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  <c r="K309" s="8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  <c r="K311" s="8"/>
    </row>
    <row r="312" spans="1:11" s="9" customFormat="1" ht="13.2">
      <c r="A312" s="6"/>
      <c r="B312" s="6"/>
      <c r="C312" s="6"/>
      <c r="D312" s="6"/>
      <c r="E312" s="6"/>
      <c r="F312" s="8"/>
      <c r="G312" s="8"/>
      <c r="H312" s="8"/>
      <c r="I312" s="8"/>
      <c r="J312" s="8"/>
      <c r="K312" s="8"/>
    </row>
    <row r="313" spans="1:11" s="9" customFormat="1" ht="13.2">
      <c r="A313" s="6"/>
      <c r="B313" s="6"/>
      <c r="C313" s="6"/>
      <c r="D313" s="6"/>
      <c r="E313" s="6"/>
      <c r="F313" s="8"/>
      <c r="G313" s="8"/>
      <c r="H313" s="8"/>
      <c r="I313" s="8"/>
      <c r="J313" s="8"/>
      <c r="K313" s="8"/>
    </row>
    <row r="314" spans="1:11" s="9" customFormat="1" ht="13.2">
      <c r="A314" s="6"/>
      <c r="B314" s="6"/>
      <c r="C314" s="6"/>
      <c r="D314" s="6"/>
      <c r="E314" s="6"/>
      <c r="F314" s="7"/>
      <c r="G314" s="7"/>
      <c r="H314" s="7"/>
      <c r="I314" s="7"/>
      <c r="J314" s="7"/>
      <c r="K314" s="7"/>
    </row>
    <row r="315" spans="1:11" s="9" customFormat="1" ht="13.2">
      <c r="A315" s="6"/>
      <c r="B315" s="6"/>
      <c r="C315" s="6"/>
      <c r="D315" s="6"/>
      <c r="E315" s="6"/>
      <c r="F315" s="7"/>
      <c r="G315" s="7"/>
      <c r="H315" s="7"/>
      <c r="I315" s="7"/>
      <c r="J315" s="7"/>
      <c r="K315" s="7"/>
    </row>
    <row r="316" spans="1:11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</row>
    <row r="317" spans="1:11" s="9" customFormat="1" ht="13.2">
      <c r="A317" s="6"/>
      <c r="B317" s="6"/>
      <c r="C317" s="6"/>
      <c r="D317" s="6"/>
      <c r="E317" s="6"/>
      <c r="F317" s="11"/>
      <c r="G317" s="11"/>
      <c r="H317" s="11"/>
      <c r="I317" s="11"/>
      <c r="J317" s="11"/>
      <c r="K317" s="11"/>
    </row>
    <row r="318" spans="1:11" s="9" customFormat="1" ht="13.2">
      <c r="A318" s="6"/>
      <c r="B318" s="6"/>
      <c r="C318" s="6"/>
      <c r="D318" s="6"/>
      <c r="E318" s="6"/>
      <c r="F318" s="7"/>
      <c r="G318" s="7"/>
      <c r="H318" s="7"/>
      <c r="I318" s="7"/>
      <c r="J318" s="7"/>
      <c r="K318" s="7"/>
    </row>
    <row r="319" spans="1:11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  <c r="K319" s="8"/>
    </row>
    <row r="320" spans="1:11" s="9" customFormat="1" ht="13.2">
      <c r="A320" s="6"/>
      <c r="B320" s="6"/>
      <c r="C320" s="6"/>
      <c r="D320" s="6"/>
      <c r="E320" s="6"/>
      <c r="F320" s="7"/>
      <c r="G320" s="7"/>
      <c r="H320" s="7"/>
      <c r="I320" s="7"/>
      <c r="J320" s="7"/>
      <c r="K320" s="7"/>
    </row>
    <row r="321" spans="1:11" s="9" customFormat="1" ht="13.2">
      <c r="A321" s="6"/>
      <c r="B321" s="6"/>
      <c r="C321" s="6"/>
      <c r="D321" s="6"/>
      <c r="E321" s="6"/>
      <c r="F321" s="7"/>
      <c r="G321" s="7"/>
      <c r="H321" s="7"/>
      <c r="I321" s="7"/>
      <c r="J321" s="7"/>
      <c r="K321" s="7"/>
    </row>
    <row r="322" spans="1:11" s="9" customFormat="1" ht="13.2">
      <c r="A322" s="6"/>
      <c r="B322" s="6"/>
      <c r="C322" s="6"/>
      <c r="D322" s="6"/>
      <c r="E322" s="6"/>
      <c r="F322" s="8"/>
      <c r="G322" s="8"/>
      <c r="H322" s="8"/>
      <c r="I322" s="8"/>
      <c r="J322" s="8"/>
      <c r="K322" s="8"/>
    </row>
    <row r="323" spans="1:11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  <c r="K323" s="8"/>
    </row>
    <row r="324" spans="1:11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  <c r="K324" s="8"/>
    </row>
    <row r="325" spans="1:11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  <c r="K325" s="8"/>
    </row>
    <row r="326" spans="1:11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</row>
    <row r="327" spans="1:11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</row>
    <row r="328" spans="1:11" s="9" customFormat="1" ht="13.2">
      <c r="A328" s="6"/>
      <c r="B328" s="6"/>
      <c r="C328" s="6"/>
      <c r="D328" s="6"/>
      <c r="E328" s="6"/>
      <c r="F328" s="8"/>
      <c r="G328" s="8"/>
      <c r="H328" s="8"/>
      <c r="I328" s="8"/>
      <c r="J328" s="8"/>
      <c r="K328" s="8"/>
    </row>
    <row r="329" spans="1:11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  <c r="K329" s="7"/>
    </row>
    <row r="330" spans="1:11" s="9" customFormat="1" ht="13.2">
      <c r="A330" s="6"/>
      <c r="B330" s="6"/>
      <c r="C330" s="6"/>
      <c r="D330" s="6"/>
      <c r="E330" s="6"/>
      <c r="F330" s="7"/>
      <c r="G330" s="7"/>
      <c r="H330" s="7"/>
      <c r="I330" s="7"/>
      <c r="J330" s="7"/>
      <c r="K330" s="7"/>
    </row>
    <row r="331" spans="1:11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  <c r="K331" s="8"/>
    </row>
    <row r="332" spans="1:11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  <c r="K332" s="8"/>
    </row>
    <row r="333" spans="1:11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  <c r="K333" s="8"/>
    </row>
    <row r="334" spans="1:11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  <c r="K334" s="8"/>
    </row>
    <row r="335" spans="1:11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  <c r="K335" s="8"/>
    </row>
    <row r="336" spans="1:11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  <c r="K336" s="8"/>
    </row>
    <row r="337" spans="1:11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  <c r="K337" s="8"/>
    </row>
    <row r="338" spans="1:11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  <c r="K338" s="8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  <c r="K343" s="8"/>
    </row>
    <row r="344" spans="1:11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  <c r="K344" s="8"/>
    </row>
    <row r="345" spans="1:11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</row>
    <row r="346" spans="1:11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</row>
    <row r="347" spans="1:11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</row>
    <row r="348" spans="1:11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10"/>
      <c r="G358" s="10"/>
      <c r="H358" s="10"/>
      <c r="I358" s="10"/>
      <c r="J358" s="10"/>
      <c r="K358" s="10"/>
    </row>
    <row r="359" spans="1:11" s="9" customFormat="1" ht="13.2">
      <c r="A359" s="6"/>
      <c r="B359" s="6"/>
      <c r="C359" s="6"/>
      <c r="D359" s="6"/>
      <c r="E359" s="6"/>
      <c r="F359" s="10"/>
      <c r="G359" s="10"/>
      <c r="H359" s="10"/>
      <c r="I359" s="10"/>
      <c r="J359" s="10"/>
      <c r="K359" s="10"/>
    </row>
    <row r="360" spans="1:11" s="9" customFormat="1" ht="13.2">
      <c r="A360" s="6"/>
      <c r="B360" s="6"/>
      <c r="C360" s="6"/>
      <c r="D360" s="6"/>
      <c r="E360" s="6"/>
      <c r="F360" s="10"/>
      <c r="G360" s="10"/>
      <c r="H360" s="10"/>
      <c r="I360" s="10"/>
      <c r="J360" s="10"/>
      <c r="K360" s="10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10"/>
      <c r="G363" s="10"/>
      <c r="H363" s="10"/>
      <c r="I363" s="10"/>
      <c r="J363" s="10"/>
      <c r="K363" s="10"/>
    </row>
    <row r="364" spans="1:11" s="9" customFormat="1" ht="13.2">
      <c r="A364" s="6"/>
      <c r="B364" s="6"/>
      <c r="C364" s="6"/>
      <c r="D364" s="6"/>
      <c r="E364" s="6"/>
      <c r="F364" s="10"/>
      <c r="G364" s="10"/>
      <c r="H364" s="10"/>
      <c r="I364" s="10"/>
      <c r="J364" s="10"/>
      <c r="K364" s="10"/>
    </row>
    <row r="365" spans="1:11" s="9" customFormat="1" ht="13.2">
      <c r="A365" s="6"/>
      <c r="B365" s="6"/>
      <c r="C365" s="6"/>
      <c r="D365" s="6"/>
      <c r="E365" s="6"/>
      <c r="F365" s="10"/>
      <c r="G365" s="10"/>
      <c r="H365" s="10"/>
      <c r="I365" s="10"/>
      <c r="J365" s="10"/>
      <c r="K365" s="10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12"/>
      <c r="G369" s="12"/>
      <c r="H369" s="12"/>
      <c r="I369" s="12"/>
      <c r="J369" s="12"/>
      <c r="K369" s="12"/>
    </row>
    <row r="370" spans="1:11" s="9" customFormat="1" ht="13.2">
      <c r="A370" s="13"/>
      <c r="B370" s="13"/>
      <c r="C370" s="13"/>
      <c r="D370" s="13"/>
      <c r="E370" s="13"/>
      <c r="F370" s="12"/>
      <c r="G370" s="12"/>
      <c r="H370" s="12"/>
      <c r="I370" s="12"/>
      <c r="J370" s="12"/>
      <c r="K370" s="12"/>
    </row>
    <row r="371" spans="1:11" s="9" customFormat="1" ht="13.2">
      <c r="A371" s="13"/>
      <c r="B371" s="13"/>
      <c r="C371" s="13"/>
      <c r="D371" s="13"/>
      <c r="E371" s="13"/>
      <c r="F371" s="12"/>
      <c r="G371" s="12"/>
      <c r="H371" s="12"/>
      <c r="I371" s="12"/>
      <c r="J371" s="12"/>
      <c r="K371" s="12"/>
    </row>
    <row r="372" spans="1:11" s="9" customFormat="1" ht="13.2">
      <c r="A372" s="13"/>
      <c r="B372" s="13"/>
      <c r="C372" s="13"/>
      <c r="D372" s="13"/>
      <c r="E372" s="13"/>
      <c r="F372" s="12"/>
      <c r="G372" s="12"/>
      <c r="H372" s="12"/>
      <c r="I372" s="12"/>
      <c r="J372" s="12"/>
      <c r="K372" s="12"/>
    </row>
    <row r="373" spans="1:11" s="9" customFormat="1" ht="13.2">
      <c r="A373" s="13"/>
      <c r="B373" s="13"/>
      <c r="C373" s="13"/>
      <c r="D373" s="13"/>
      <c r="E373" s="13"/>
      <c r="F373" s="12"/>
      <c r="G373" s="12"/>
      <c r="H373" s="12"/>
      <c r="I373" s="12"/>
      <c r="J373" s="12"/>
      <c r="K373" s="12"/>
    </row>
    <row r="374" spans="1:11" s="9" customFormat="1" ht="13.2">
      <c r="A374" s="13"/>
      <c r="B374" s="13"/>
      <c r="C374" s="13"/>
      <c r="D374" s="13"/>
      <c r="E374" s="13"/>
      <c r="F374" s="12"/>
      <c r="G374" s="12"/>
      <c r="H374" s="12"/>
      <c r="I374" s="12"/>
      <c r="J374" s="12"/>
      <c r="K374" s="12"/>
    </row>
    <row r="375" spans="1:11" s="9" customFormat="1" ht="13.2">
      <c r="A375" s="13"/>
      <c r="B375" s="13"/>
      <c r="C375" s="13"/>
      <c r="D375" s="13"/>
      <c r="E375" s="13"/>
      <c r="F375" s="12"/>
      <c r="G375" s="12"/>
      <c r="H375" s="12"/>
      <c r="I375" s="12"/>
      <c r="J375" s="12"/>
      <c r="K375" s="12"/>
    </row>
    <row r="376" spans="1:11" s="9" customFormat="1" ht="13.2">
      <c r="A376" s="13"/>
      <c r="B376" s="13"/>
      <c r="C376" s="13"/>
      <c r="D376" s="13"/>
      <c r="E376" s="13"/>
      <c r="F376" s="12"/>
      <c r="G376" s="12"/>
      <c r="H376" s="12"/>
      <c r="I376" s="12"/>
      <c r="J376" s="12"/>
      <c r="K376" s="12"/>
    </row>
    <row r="377" spans="1:11" s="9" customFormat="1" ht="13.2">
      <c r="A377" s="13"/>
      <c r="B377" s="13"/>
      <c r="C377" s="13"/>
      <c r="D377" s="13"/>
      <c r="E377" s="13"/>
      <c r="F377" s="12"/>
      <c r="G377" s="12"/>
      <c r="H377" s="12"/>
      <c r="I377" s="12"/>
      <c r="J377" s="12"/>
      <c r="K377" s="12"/>
    </row>
    <row r="378" spans="1:11" s="9" customFormat="1" ht="13.2">
      <c r="A378" s="13"/>
      <c r="B378" s="13"/>
      <c r="C378" s="13"/>
      <c r="D378" s="13"/>
      <c r="E378" s="13"/>
      <c r="F378" s="11"/>
      <c r="G378" s="11"/>
      <c r="H378" s="11"/>
      <c r="I378" s="11"/>
      <c r="J378" s="11"/>
      <c r="K378" s="11"/>
    </row>
    <row r="379" spans="1:11" s="9" customFormat="1" ht="13.2">
      <c r="A379" s="13"/>
      <c r="B379" s="13"/>
      <c r="C379" s="13"/>
      <c r="D379" s="13"/>
      <c r="E379" s="13"/>
      <c r="F379" s="11"/>
      <c r="G379" s="11"/>
      <c r="H379" s="11"/>
      <c r="I379" s="11"/>
      <c r="J379" s="11"/>
      <c r="K379" s="11"/>
    </row>
    <row r="380" spans="1:11" s="9" customFormat="1" ht="13.2">
      <c r="A380" s="13"/>
      <c r="B380" s="13"/>
      <c r="C380" s="13"/>
      <c r="D380" s="13"/>
      <c r="E380" s="13"/>
      <c r="F380" s="11"/>
      <c r="G380" s="11"/>
      <c r="H380" s="11"/>
      <c r="I380" s="11"/>
      <c r="J380" s="11"/>
      <c r="K380" s="11"/>
    </row>
    <row r="381" spans="1:11" s="9" customFormat="1" ht="13.2">
      <c r="A381" s="13"/>
      <c r="B381" s="13"/>
      <c r="C381" s="13"/>
      <c r="D381" s="13"/>
      <c r="E381" s="13"/>
      <c r="F381" s="11"/>
      <c r="G381" s="11"/>
      <c r="H381" s="11"/>
      <c r="I381" s="11"/>
      <c r="J381" s="11"/>
      <c r="K381" s="11"/>
    </row>
    <row r="382" spans="1:11" s="9" customFormat="1" ht="13.2">
      <c r="A382" s="13"/>
      <c r="B382" s="13"/>
      <c r="C382" s="13"/>
      <c r="D382" s="13"/>
      <c r="E382" s="13"/>
      <c r="F382" s="12"/>
      <c r="G382" s="12"/>
      <c r="H382" s="12"/>
      <c r="I382" s="12"/>
      <c r="J382" s="12"/>
      <c r="K382" s="12"/>
    </row>
    <row r="383" spans="1:11" s="9" customFormat="1" ht="13.2">
      <c r="A383" s="13"/>
      <c r="B383" s="13"/>
      <c r="C383" s="13"/>
      <c r="D383" s="13"/>
      <c r="E383" s="13"/>
      <c r="F383" s="12"/>
      <c r="G383" s="12"/>
      <c r="H383" s="12"/>
      <c r="I383" s="12"/>
      <c r="J383" s="12"/>
      <c r="K383" s="12"/>
    </row>
    <row r="384" spans="1:11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  <c r="K384" s="12"/>
    </row>
    <row r="385" spans="1:11" s="9" customFormat="1" ht="13.2">
      <c r="A385" s="13"/>
      <c r="B385" s="13"/>
      <c r="C385" s="13"/>
      <c r="D385" s="13"/>
      <c r="E385" s="13"/>
      <c r="F385" s="8"/>
      <c r="G385" s="8"/>
      <c r="H385" s="8"/>
      <c r="I385" s="8"/>
      <c r="J385" s="8"/>
      <c r="K385" s="8"/>
    </row>
    <row r="386" spans="1:11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  <c r="K386" s="12"/>
    </row>
    <row r="387" spans="1:11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  <c r="K387" s="12"/>
    </row>
    <row r="388" spans="1:11" s="9" customFormat="1" ht="13.2">
      <c r="A388" s="13"/>
      <c r="B388" s="13"/>
      <c r="C388" s="13"/>
      <c r="D388" s="13"/>
      <c r="E388" s="13"/>
      <c r="F388" s="14"/>
      <c r="G388" s="14"/>
      <c r="H388" s="14"/>
      <c r="I388" s="14"/>
      <c r="J388" s="14"/>
      <c r="K388" s="14"/>
    </row>
    <row r="389" spans="1:11" s="9" customFormat="1" ht="13.2">
      <c r="A389" s="13"/>
      <c r="B389" s="13"/>
      <c r="C389" s="13"/>
      <c r="D389" s="13"/>
      <c r="E389" s="13"/>
      <c r="F389" s="14"/>
      <c r="G389" s="14"/>
      <c r="H389" s="14"/>
      <c r="I389" s="14"/>
      <c r="J389" s="14"/>
      <c r="K389" s="14"/>
    </row>
    <row r="390" spans="1:11" s="9" customFormat="1" ht="13.2">
      <c r="A390" s="13"/>
      <c r="B390" s="13"/>
      <c r="C390" s="13"/>
      <c r="D390" s="13"/>
      <c r="E390" s="13"/>
      <c r="F390" s="14"/>
      <c r="G390" s="14"/>
      <c r="H390" s="14"/>
      <c r="I390" s="14"/>
      <c r="J390" s="14"/>
      <c r="K390" s="14"/>
    </row>
    <row r="391" spans="1:11" s="9" customFormat="1" ht="13.2">
      <c r="A391" s="13"/>
      <c r="B391" s="13"/>
      <c r="C391" s="13"/>
      <c r="D391" s="13"/>
      <c r="E391" s="13"/>
      <c r="F391" s="14"/>
      <c r="G391" s="14"/>
      <c r="H391" s="14"/>
      <c r="I391" s="14"/>
      <c r="J391" s="14"/>
      <c r="K391" s="14"/>
    </row>
    <row r="392" spans="1:11" s="9" customFormat="1" ht="13.2">
      <c r="A392" s="13"/>
      <c r="B392" s="13"/>
      <c r="C392" s="13"/>
      <c r="D392" s="13"/>
      <c r="E392" s="13"/>
      <c r="F392" s="14"/>
      <c r="G392" s="14"/>
      <c r="H392" s="14"/>
      <c r="I392" s="14"/>
      <c r="J392" s="14"/>
      <c r="K392" s="14"/>
    </row>
    <row r="393" spans="1:11" s="9" customFormat="1" ht="13.2">
      <c r="A393" s="13"/>
      <c r="B393" s="13"/>
      <c r="C393" s="13"/>
      <c r="D393" s="13"/>
      <c r="E393" s="13"/>
      <c r="F393" s="14"/>
      <c r="G393" s="14"/>
      <c r="H393" s="14"/>
      <c r="I393" s="14"/>
      <c r="J393" s="14"/>
      <c r="K393" s="14"/>
    </row>
    <row r="394" spans="1:11" s="9" customFormat="1" ht="13.2">
      <c r="A394" s="13"/>
      <c r="B394" s="13"/>
      <c r="C394" s="13"/>
      <c r="D394" s="13"/>
      <c r="E394" s="13"/>
      <c r="F394" s="14"/>
      <c r="G394" s="14"/>
      <c r="H394" s="14"/>
      <c r="I394" s="14"/>
      <c r="J394" s="14"/>
      <c r="K394" s="14"/>
    </row>
    <row r="395" spans="1:11" s="9" customFormat="1" ht="13.2">
      <c r="A395" s="13"/>
      <c r="B395" s="13"/>
      <c r="C395" s="13"/>
      <c r="D395" s="13"/>
      <c r="E395" s="13"/>
      <c r="F395" s="10"/>
      <c r="G395" s="10"/>
      <c r="H395" s="10"/>
      <c r="I395" s="10"/>
      <c r="J395" s="10"/>
      <c r="K395" s="10"/>
    </row>
    <row r="396" spans="1:11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  <c r="K396" s="14"/>
    </row>
    <row r="397" spans="1:11" s="9" customFormat="1" ht="13.2">
      <c r="A397" s="13"/>
      <c r="B397" s="13"/>
      <c r="C397" s="13"/>
      <c r="D397" s="13"/>
      <c r="E397" s="13"/>
      <c r="F397" s="14"/>
      <c r="G397" s="14"/>
      <c r="H397" s="14"/>
      <c r="I397" s="14"/>
      <c r="J397" s="14"/>
      <c r="K397" s="14"/>
    </row>
    <row r="398" spans="1:11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  <c r="K398" s="14"/>
    </row>
    <row r="399" spans="1:11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  <c r="K399" s="8"/>
    </row>
    <row r="400" spans="1:11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  <c r="K400" s="14"/>
    </row>
    <row r="401" spans="1:11" s="9" customFormat="1" ht="13.2">
      <c r="A401" s="13"/>
      <c r="B401" s="13"/>
      <c r="C401" s="13"/>
      <c r="D401" s="13"/>
      <c r="E401" s="13"/>
      <c r="F401" s="10"/>
      <c r="G401" s="10"/>
      <c r="H401" s="10"/>
      <c r="I401" s="10"/>
      <c r="J401" s="10"/>
      <c r="K401" s="10"/>
    </row>
    <row r="402" spans="1:11" s="9" customFormat="1" ht="13.2">
      <c r="A402" s="13"/>
      <c r="B402" s="13"/>
      <c r="C402" s="13"/>
      <c r="D402" s="13"/>
      <c r="E402" s="13"/>
      <c r="F402" s="12"/>
      <c r="G402" s="12"/>
      <c r="H402" s="12"/>
      <c r="I402" s="12"/>
      <c r="J402" s="12"/>
      <c r="K402" s="12"/>
    </row>
    <row r="403" spans="1:11" s="9" customFormat="1" ht="13.2">
      <c r="A403" s="13"/>
      <c r="B403" s="13"/>
      <c r="C403" s="13"/>
      <c r="D403" s="13"/>
      <c r="E403" s="13"/>
      <c r="F403" s="12"/>
      <c r="G403" s="12"/>
      <c r="H403" s="12"/>
      <c r="I403" s="12"/>
      <c r="J403" s="12"/>
      <c r="K403" s="12"/>
    </row>
    <row r="404" spans="1:11" s="9" customFormat="1" ht="13.2">
      <c r="A404" s="13"/>
      <c r="B404" s="13"/>
      <c r="C404" s="13"/>
      <c r="D404" s="13"/>
      <c r="E404" s="13"/>
      <c r="F404" s="12"/>
      <c r="G404" s="12"/>
      <c r="H404" s="12"/>
      <c r="I404" s="12"/>
      <c r="J404" s="12"/>
      <c r="K404" s="12"/>
    </row>
    <row r="405" spans="1:11" s="9" customFormat="1" ht="13.2">
      <c r="A405" s="13"/>
      <c r="B405" s="13"/>
      <c r="C405" s="13"/>
      <c r="D405" s="13"/>
      <c r="E405" s="13"/>
      <c r="F405" s="12"/>
      <c r="G405" s="12"/>
      <c r="H405" s="12"/>
      <c r="I405" s="12"/>
      <c r="J405" s="12"/>
      <c r="K405" s="12"/>
    </row>
    <row r="406" spans="1:11" s="9" customFormat="1" ht="13.2">
      <c r="A406" s="13"/>
      <c r="B406" s="13"/>
      <c r="C406" s="13"/>
      <c r="D406" s="13"/>
      <c r="E406" s="13"/>
      <c r="F406" s="12"/>
      <c r="G406" s="12"/>
      <c r="H406" s="12"/>
      <c r="I406" s="12"/>
      <c r="J406" s="12"/>
      <c r="K406" s="12"/>
    </row>
    <row r="407" spans="1:11" s="9" customFormat="1" ht="13.2">
      <c r="A407" s="13"/>
      <c r="B407" s="13"/>
      <c r="C407" s="13"/>
      <c r="D407" s="13"/>
      <c r="E407" s="13"/>
      <c r="F407" s="12"/>
      <c r="G407" s="12"/>
      <c r="H407" s="12"/>
      <c r="I407" s="12"/>
      <c r="J407" s="12"/>
      <c r="K407" s="12"/>
    </row>
    <row r="408" spans="1:11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</row>
    <row r="409" spans="1:11" s="9" customFormat="1" ht="13.2">
      <c r="A409" s="13"/>
      <c r="B409" s="13"/>
      <c r="C409" s="13"/>
      <c r="D409" s="13"/>
      <c r="E409" s="13"/>
      <c r="F409" s="8"/>
      <c r="G409" s="8"/>
      <c r="H409" s="8"/>
      <c r="I409" s="8"/>
      <c r="J409" s="8"/>
      <c r="K409" s="8"/>
    </row>
    <row r="410" spans="1:11" s="9" customFormat="1" ht="13.2">
      <c r="A410" s="13"/>
      <c r="B410" s="13"/>
      <c r="C410" s="13"/>
      <c r="D410" s="13"/>
      <c r="E410" s="13"/>
      <c r="F410" s="8"/>
      <c r="G410" s="8"/>
      <c r="H410" s="8"/>
      <c r="I410" s="8"/>
      <c r="J410" s="8"/>
      <c r="K410" s="8"/>
    </row>
    <row r="411" spans="1:11" s="9" customFormat="1" ht="13.2">
      <c r="A411" s="13"/>
      <c r="B411" s="13"/>
      <c r="C411" s="13"/>
      <c r="D411" s="13"/>
      <c r="E411" s="13"/>
      <c r="F411" s="8"/>
      <c r="G411" s="8"/>
      <c r="H411" s="8"/>
      <c r="I411" s="8"/>
      <c r="J411" s="8"/>
      <c r="K411" s="8"/>
    </row>
    <row r="412" spans="1:11" s="9" customFormat="1" ht="13.2">
      <c r="A412" s="13"/>
      <c r="B412" s="13"/>
      <c r="C412" s="13"/>
      <c r="D412" s="13"/>
      <c r="E412" s="13"/>
      <c r="F412" s="8"/>
      <c r="G412" s="8"/>
      <c r="H412" s="8"/>
      <c r="I412" s="8"/>
      <c r="J412" s="8"/>
      <c r="K412" s="8"/>
    </row>
    <row r="413" spans="1:11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  <c r="K413" s="8"/>
    </row>
    <row r="414" spans="1:11" s="9" customFormat="1" ht="13.2">
      <c r="A414" s="13"/>
      <c r="B414" s="13"/>
      <c r="C414" s="13"/>
      <c r="D414" s="13"/>
      <c r="E414" s="13"/>
      <c r="F414" s="8"/>
      <c r="G414" s="8"/>
      <c r="H414" s="8"/>
      <c r="I414" s="8"/>
      <c r="J414" s="8"/>
      <c r="K414" s="8"/>
    </row>
    <row r="415" spans="1:11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  <c r="K415" s="10"/>
    </row>
    <row r="416" spans="1:11" s="9" customFormat="1" ht="13.2">
      <c r="A416" s="13"/>
      <c r="B416" s="13"/>
      <c r="C416" s="13"/>
      <c r="D416" s="13"/>
      <c r="E416" s="13"/>
      <c r="F416" s="10"/>
      <c r="G416" s="10"/>
      <c r="H416" s="10"/>
      <c r="I416" s="10"/>
      <c r="J416" s="10"/>
      <c r="K416" s="10"/>
    </row>
    <row r="417" spans="1:11" s="9" customFormat="1" ht="13.2">
      <c r="A417" s="13"/>
      <c r="B417" s="13"/>
      <c r="C417" s="13"/>
      <c r="D417" s="13"/>
      <c r="E417" s="13"/>
      <c r="F417" s="10"/>
      <c r="G417" s="10"/>
      <c r="H417" s="10"/>
      <c r="I417" s="10"/>
      <c r="J417" s="10"/>
      <c r="K417" s="10"/>
    </row>
    <row r="418" spans="1:11" s="9" customFormat="1" ht="13.2">
      <c r="A418" s="13"/>
      <c r="B418" s="13"/>
      <c r="C418" s="13"/>
      <c r="D418" s="13"/>
      <c r="E418" s="13"/>
      <c r="F418" s="10"/>
      <c r="G418" s="10"/>
      <c r="H418" s="10"/>
      <c r="I418" s="10"/>
      <c r="J418" s="10"/>
      <c r="K418" s="10"/>
    </row>
    <row r="419" spans="1:11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  <c r="K419" s="12"/>
    </row>
    <row r="420" spans="1:11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  <c r="K420" s="12"/>
    </row>
    <row r="421" spans="1:11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  <c r="K421" s="12"/>
    </row>
    <row r="422" spans="1:11" s="9" customFormat="1" ht="13.2">
      <c r="A422" s="13"/>
      <c r="B422" s="13"/>
      <c r="C422" s="13"/>
      <c r="D422" s="13"/>
      <c r="E422" s="13"/>
      <c r="F422" s="8"/>
      <c r="G422" s="8"/>
      <c r="H422" s="8"/>
      <c r="I422" s="8"/>
      <c r="J422" s="8"/>
      <c r="K422" s="8"/>
    </row>
    <row r="423" spans="1:11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  <c r="K423" s="8"/>
    </row>
    <row r="424" spans="1:11" s="9" customFormat="1" ht="13.2">
      <c r="A424" s="13"/>
      <c r="B424" s="13"/>
      <c r="C424" s="13"/>
      <c r="D424" s="13"/>
      <c r="E424" s="13"/>
      <c r="F424" s="12"/>
      <c r="G424" s="12"/>
      <c r="H424" s="12"/>
      <c r="I424" s="12"/>
      <c r="J424" s="12"/>
      <c r="K424" s="12"/>
    </row>
    <row r="425" spans="1:11" s="9" customFormat="1" ht="13.2">
      <c r="A425" s="13"/>
      <c r="B425" s="13"/>
      <c r="C425" s="13"/>
      <c r="D425" s="13"/>
      <c r="E425" s="13"/>
      <c r="F425" s="12"/>
      <c r="G425" s="12"/>
      <c r="H425" s="12"/>
      <c r="I425" s="12"/>
      <c r="J425" s="12"/>
      <c r="K425" s="12"/>
    </row>
    <row r="426" spans="1:11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  <c r="K426" s="8"/>
    </row>
    <row r="427" spans="1:11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  <c r="K427" s="8"/>
    </row>
    <row r="428" spans="1:11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  <c r="K428" s="8"/>
    </row>
    <row r="429" spans="1:11" s="9" customFormat="1" ht="13.2">
      <c r="A429" s="13"/>
      <c r="B429" s="13"/>
      <c r="C429" s="13"/>
      <c r="D429" s="13"/>
      <c r="E429" s="13"/>
      <c r="F429" s="8"/>
      <c r="G429" s="8"/>
      <c r="H429" s="8"/>
      <c r="I429" s="8"/>
      <c r="J429" s="8"/>
      <c r="K429" s="8"/>
    </row>
    <row r="430" spans="1:11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  <c r="K430" s="8"/>
    </row>
    <row r="431" spans="1:11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  <c r="K431" s="8"/>
    </row>
    <row r="432" spans="1:11" s="9" customFormat="1" ht="13.2">
      <c r="A432" s="13"/>
      <c r="B432" s="13"/>
      <c r="C432" s="13"/>
      <c r="D432" s="13"/>
      <c r="E432" s="13"/>
      <c r="F432" s="11"/>
      <c r="G432" s="11"/>
      <c r="H432" s="11"/>
      <c r="I432" s="11"/>
      <c r="J432" s="11"/>
      <c r="K432" s="11"/>
    </row>
    <row r="433" spans="1:11" s="9" customFormat="1" ht="13.2">
      <c r="A433" s="13"/>
      <c r="B433" s="13"/>
      <c r="C433" s="13"/>
      <c r="D433" s="13"/>
      <c r="E433" s="13"/>
      <c r="F433" s="11"/>
      <c r="G433" s="11"/>
      <c r="H433" s="11"/>
      <c r="I433" s="11"/>
      <c r="J433" s="11"/>
      <c r="K433" s="11"/>
    </row>
    <row r="434" spans="1:11" s="9" customFormat="1" ht="13.2">
      <c r="A434" s="13"/>
      <c r="B434" s="13"/>
      <c r="C434" s="13"/>
      <c r="D434" s="13"/>
      <c r="E434" s="13"/>
      <c r="F434" s="11"/>
      <c r="G434" s="11"/>
      <c r="H434" s="11"/>
      <c r="I434" s="11"/>
      <c r="J434" s="11"/>
      <c r="K434" s="11"/>
    </row>
    <row r="435" spans="1:11" s="9" customFormat="1" ht="13.2">
      <c r="A435" s="13"/>
      <c r="B435" s="13"/>
      <c r="C435" s="13"/>
      <c r="D435" s="13"/>
      <c r="E435" s="13"/>
      <c r="F435" s="11"/>
      <c r="G435" s="11"/>
      <c r="H435" s="11"/>
      <c r="I435" s="11"/>
      <c r="J435" s="11"/>
      <c r="K435" s="11"/>
    </row>
    <row r="436" spans="1:11" s="9" customFormat="1" ht="13.2">
      <c r="A436" s="15"/>
      <c r="B436" s="15"/>
      <c r="C436" s="15"/>
      <c r="D436" s="15"/>
      <c r="E436" s="15"/>
      <c r="F436" s="12"/>
      <c r="G436" s="12"/>
      <c r="H436" s="12"/>
      <c r="I436" s="12"/>
      <c r="J436" s="12"/>
      <c r="K436" s="12"/>
    </row>
    <row r="437" spans="1:11" s="9" customFormat="1" ht="13.2">
      <c r="A437" s="15"/>
      <c r="B437" s="15"/>
      <c r="C437" s="15"/>
      <c r="D437" s="15"/>
      <c r="E437" s="15"/>
      <c r="F437" s="11"/>
      <c r="G437" s="11"/>
      <c r="H437" s="11"/>
      <c r="I437" s="11"/>
      <c r="J437" s="11"/>
      <c r="K437" s="11"/>
    </row>
    <row r="438" spans="1:11" s="9" customFormat="1" ht="13.2">
      <c r="A438" s="15"/>
      <c r="B438" s="15"/>
      <c r="C438" s="15"/>
      <c r="D438" s="15"/>
      <c r="E438" s="15"/>
      <c r="F438" s="12"/>
      <c r="G438" s="12"/>
      <c r="H438" s="12"/>
      <c r="I438" s="12"/>
      <c r="J438" s="12"/>
      <c r="K438" s="12"/>
    </row>
    <row r="439" spans="1:11" s="9" customFormat="1" ht="13.2">
      <c r="A439" s="15"/>
      <c r="B439" s="15"/>
      <c r="C439" s="15"/>
      <c r="D439" s="15"/>
      <c r="E439" s="15"/>
      <c r="F439" s="12"/>
      <c r="G439" s="12"/>
      <c r="H439" s="12"/>
      <c r="I439" s="12"/>
      <c r="J439" s="12"/>
      <c r="K439" s="12"/>
    </row>
    <row r="440" spans="1:11" s="9" customFormat="1" ht="13.2">
      <c r="A440" s="15"/>
      <c r="B440" s="15"/>
      <c r="C440" s="15"/>
      <c r="D440" s="15"/>
      <c r="E440" s="15"/>
      <c r="F440" s="12"/>
      <c r="G440" s="12"/>
      <c r="H440" s="12"/>
      <c r="I440" s="12"/>
      <c r="J440" s="12"/>
      <c r="K440" s="12"/>
    </row>
    <row r="441" spans="1:11" s="9" customFormat="1" ht="13.2">
      <c r="A441" s="15"/>
      <c r="B441" s="15"/>
      <c r="C441" s="15"/>
      <c r="D441" s="15"/>
      <c r="E441" s="15"/>
      <c r="F441" s="12"/>
      <c r="G441" s="12"/>
      <c r="H441" s="12"/>
      <c r="I441" s="12"/>
      <c r="J441" s="12"/>
      <c r="K441" s="12"/>
    </row>
    <row r="442" spans="1:11" s="9" customFormat="1" ht="13.2">
      <c r="A442" s="15"/>
      <c r="B442" s="15"/>
      <c r="C442" s="15"/>
      <c r="D442" s="15"/>
      <c r="E442" s="15"/>
      <c r="F442" s="12"/>
      <c r="G442" s="12"/>
      <c r="H442" s="12"/>
      <c r="I442" s="12"/>
      <c r="J442" s="12"/>
      <c r="K442" s="12"/>
    </row>
    <row r="443" spans="1:11" s="9" customFormat="1" ht="13.2">
      <c r="A443" s="15"/>
      <c r="B443" s="15"/>
      <c r="C443" s="15"/>
      <c r="D443" s="15"/>
      <c r="E443" s="15"/>
      <c r="F443" s="12"/>
      <c r="G443" s="12"/>
      <c r="H443" s="12"/>
      <c r="I443" s="12"/>
      <c r="J443" s="12"/>
      <c r="K443" s="12"/>
    </row>
    <row r="444" spans="1:11" s="9" customFormat="1" ht="13.2">
      <c r="A444" s="15"/>
      <c r="B444" s="15"/>
      <c r="C444" s="15"/>
      <c r="D444" s="15"/>
      <c r="E444" s="15"/>
      <c r="F444" s="8"/>
      <c r="G444" s="8"/>
      <c r="H444" s="8"/>
      <c r="I444" s="8"/>
      <c r="J444" s="8"/>
      <c r="K444" s="8"/>
    </row>
    <row r="445" spans="1:11" s="9" customFormat="1" ht="13.2">
      <c r="A445" s="15"/>
      <c r="B445" s="15"/>
      <c r="C445" s="15"/>
      <c r="D445" s="15"/>
      <c r="E445" s="15"/>
      <c r="F445" s="12"/>
      <c r="G445" s="12"/>
      <c r="H445" s="12"/>
      <c r="I445" s="12"/>
      <c r="J445" s="12"/>
      <c r="K445" s="12"/>
    </row>
    <row r="446" spans="1:11" s="9" customFormat="1" ht="13.2">
      <c r="A446" s="15"/>
      <c r="B446" s="15"/>
      <c r="C446" s="15"/>
      <c r="D446" s="15"/>
      <c r="E446" s="15"/>
      <c r="F446" s="12"/>
      <c r="G446" s="12"/>
      <c r="H446" s="12"/>
      <c r="I446" s="12"/>
      <c r="J446" s="12"/>
      <c r="K446" s="12"/>
    </row>
    <row r="447" spans="1:11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  <c r="K447" s="12"/>
    </row>
    <row r="448" spans="1:11" s="9" customFormat="1" ht="13.2">
      <c r="A448" s="15"/>
      <c r="B448" s="15"/>
      <c r="C448" s="15"/>
      <c r="D448" s="15"/>
      <c r="E448" s="15"/>
      <c r="F448" s="8"/>
      <c r="G448" s="8"/>
      <c r="H448" s="8"/>
      <c r="I448" s="8"/>
      <c r="J448" s="8"/>
      <c r="K448" s="8"/>
    </row>
    <row r="449" spans="1:11" s="9" customFormat="1" ht="13.2">
      <c r="A449" s="15"/>
      <c r="B449" s="15"/>
      <c r="C449" s="15"/>
      <c r="D449" s="15"/>
      <c r="E449" s="15"/>
      <c r="F449" s="8"/>
      <c r="G449" s="8"/>
      <c r="H449" s="8"/>
      <c r="I449" s="8"/>
      <c r="J449" s="8"/>
      <c r="K449" s="8"/>
    </row>
    <row r="450" spans="1:11" s="9" customFormat="1" ht="13.2">
      <c r="A450" s="15"/>
      <c r="B450" s="15"/>
      <c r="C450" s="15"/>
      <c r="D450" s="15"/>
      <c r="E450" s="15"/>
      <c r="F450" s="8"/>
      <c r="G450" s="8"/>
      <c r="H450" s="8"/>
      <c r="I450" s="8"/>
      <c r="J450" s="8"/>
      <c r="K450" s="8"/>
    </row>
    <row r="451" spans="1:11" s="9" customFormat="1" ht="13.2">
      <c r="A451" s="15"/>
      <c r="B451" s="15"/>
      <c r="C451" s="15"/>
      <c r="D451" s="15"/>
      <c r="E451" s="15"/>
      <c r="F451" s="8"/>
      <c r="G451" s="8"/>
      <c r="H451" s="8"/>
      <c r="I451" s="8"/>
      <c r="J451" s="8"/>
      <c r="K451" s="8"/>
    </row>
    <row r="452" spans="1:11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  <c r="K452" s="8"/>
    </row>
    <row r="453" spans="1:11" s="9" customFormat="1" ht="13.2">
      <c r="A453" s="15"/>
      <c r="B453" s="15"/>
      <c r="C453" s="15"/>
      <c r="D453" s="15"/>
      <c r="E453" s="15"/>
      <c r="F453" s="8"/>
      <c r="G453" s="8"/>
      <c r="H453" s="8"/>
      <c r="I453" s="8"/>
      <c r="J453" s="8"/>
      <c r="K453" s="8"/>
    </row>
    <row r="454" spans="1:11" s="9" customFormat="1" ht="13.2">
      <c r="A454" s="15"/>
      <c r="B454" s="15"/>
      <c r="C454" s="15"/>
      <c r="D454" s="15"/>
      <c r="E454" s="15"/>
      <c r="F454" s="11"/>
      <c r="G454" s="11"/>
      <c r="H454" s="11"/>
      <c r="I454" s="11"/>
      <c r="J454" s="11"/>
      <c r="K454" s="11"/>
    </row>
    <row r="455" spans="1:11" s="9" customFormat="1" ht="13.2">
      <c r="A455" s="15"/>
      <c r="B455" s="15"/>
      <c r="C455" s="15"/>
      <c r="D455" s="15"/>
      <c r="E455" s="15"/>
      <c r="F455" s="11"/>
      <c r="G455" s="11"/>
      <c r="H455" s="11"/>
      <c r="I455" s="11"/>
      <c r="J455" s="11"/>
      <c r="K455" s="11"/>
    </row>
    <row r="456" spans="1:11" s="9" customFormat="1" ht="13.2">
      <c r="A456" s="15"/>
      <c r="B456" s="15"/>
      <c r="C456" s="15"/>
      <c r="D456" s="15"/>
      <c r="E456" s="15"/>
      <c r="F456" s="11"/>
      <c r="G456" s="11"/>
      <c r="H456" s="11"/>
      <c r="I456" s="11"/>
      <c r="J456" s="11"/>
      <c r="K456" s="11"/>
    </row>
    <row r="457" spans="1:11" s="9" customFormat="1" ht="13.2">
      <c r="A457" s="15"/>
      <c r="B457" s="15"/>
      <c r="C457" s="15"/>
      <c r="D457" s="15"/>
      <c r="E457" s="15"/>
      <c r="F457" s="11"/>
      <c r="G457" s="11"/>
      <c r="H457" s="11"/>
      <c r="I457" s="11"/>
      <c r="J457" s="11"/>
      <c r="K457" s="11"/>
    </row>
    <row r="458" spans="1:11" s="9" customFormat="1" ht="13.2">
      <c r="A458" s="15"/>
      <c r="B458" s="15"/>
      <c r="C458" s="15"/>
      <c r="D458" s="15"/>
      <c r="E458" s="15"/>
      <c r="F458" s="11"/>
      <c r="G458" s="11"/>
      <c r="H458" s="11"/>
      <c r="I458" s="11"/>
      <c r="J458" s="11"/>
      <c r="K458" s="11"/>
    </row>
    <row r="459" spans="1:11" s="9" customFormat="1" ht="13.2">
      <c r="A459" s="15"/>
      <c r="B459" s="15"/>
      <c r="C459" s="15"/>
      <c r="D459" s="15"/>
      <c r="E459" s="15"/>
      <c r="F459" s="11"/>
      <c r="G459" s="11"/>
      <c r="H459" s="11"/>
      <c r="I459" s="11"/>
      <c r="J459" s="11"/>
      <c r="K459" s="11"/>
    </row>
    <row r="460" spans="1:11" s="9" customFormat="1" ht="13.2">
      <c r="A460" s="15"/>
      <c r="B460" s="15"/>
      <c r="C460" s="15"/>
      <c r="D460" s="15"/>
      <c r="E460" s="15"/>
      <c r="F460" s="8"/>
      <c r="G460" s="8"/>
      <c r="H460" s="8"/>
      <c r="I460" s="8"/>
      <c r="J460" s="8"/>
      <c r="K460" s="8"/>
    </row>
    <row r="461" spans="1:11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  <c r="K461" s="8"/>
    </row>
    <row r="462" spans="1:11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  <c r="K462" s="8"/>
    </row>
    <row r="463" spans="1:11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  <c r="K463" s="8"/>
    </row>
    <row r="464" spans="1:11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  <c r="K464" s="8"/>
    </row>
    <row r="465" spans="1:11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  <c r="K465" s="8"/>
    </row>
    <row r="466" spans="1:11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  <c r="K466" s="8"/>
    </row>
    <row r="467" spans="1:11" s="9" customFormat="1" ht="13.2">
      <c r="A467" s="6"/>
      <c r="B467" s="6"/>
      <c r="C467" s="6"/>
      <c r="D467" s="6"/>
      <c r="E467" s="6"/>
      <c r="F467" s="12"/>
      <c r="G467" s="12"/>
      <c r="H467" s="12"/>
      <c r="I467" s="12"/>
      <c r="J467" s="12"/>
      <c r="K467" s="12"/>
    </row>
    <row r="468" spans="1:11" s="9" customFormat="1" ht="13.2">
      <c r="A468" s="6"/>
      <c r="B468" s="6"/>
      <c r="C468" s="6"/>
      <c r="D468" s="6"/>
      <c r="E468" s="6"/>
      <c r="F468" s="12"/>
      <c r="G468" s="12"/>
      <c r="H468" s="12"/>
      <c r="I468" s="12"/>
      <c r="J468" s="12"/>
      <c r="K468" s="12"/>
    </row>
    <row r="469" spans="1:11" s="9" customFormat="1" ht="13.2">
      <c r="A469" s="6"/>
      <c r="B469" s="6"/>
      <c r="C469" s="6"/>
      <c r="D469" s="6"/>
      <c r="E469" s="6"/>
      <c r="F469" s="11"/>
      <c r="G469" s="11"/>
      <c r="H469" s="11"/>
      <c r="I469" s="11"/>
      <c r="J469" s="11"/>
      <c r="K469" s="11"/>
    </row>
    <row r="470" spans="1:11" s="9" customFormat="1" ht="13.2">
      <c r="A470" s="6"/>
      <c r="B470" s="6"/>
      <c r="C470" s="6"/>
      <c r="D470" s="6"/>
      <c r="E470" s="6"/>
      <c r="F470" s="12"/>
      <c r="G470" s="12"/>
      <c r="H470" s="12"/>
      <c r="I470" s="12"/>
      <c r="J470" s="12"/>
      <c r="K470" s="12"/>
    </row>
    <row r="471" spans="1:11" s="9" customFormat="1" ht="13.2">
      <c r="A471" s="6"/>
      <c r="B471" s="6"/>
      <c r="C471" s="6"/>
      <c r="D471" s="6"/>
      <c r="E471" s="6"/>
      <c r="F471" s="8"/>
      <c r="G471" s="8"/>
      <c r="H471" s="8"/>
      <c r="I471" s="8"/>
      <c r="J471" s="8"/>
      <c r="K471" s="8"/>
    </row>
    <row r="472" spans="1:11" s="9" customFormat="1" ht="13.2">
      <c r="A472" s="6"/>
      <c r="B472" s="6"/>
      <c r="C472" s="6"/>
      <c r="D472" s="6"/>
      <c r="E472" s="6"/>
      <c r="F472" s="8"/>
      <c r="G472" s="8"/>
      <c r="H472" s="8"/>
      <c r="I472" s="8"/>
      <c r="J472" s="8"/>
      <c r="K472" s="8"/>
    </row>
    <row r="473" spans="1:11" s="9" customFormat="1" ht="13.2">
      <c r="A473" s="6"/>
      <c r="B473" s="6"/>
      <c r="C473" s="6"/>
      <c r="D473" s="6"/>
      <c r="E473" s="6"/>
      <c r="F473" s="11"/>
      <c r="G473" s="11"/>
      <c r="H473" s="11"/>
      <c r="I473" s="11"/>
      <c r="J473" s="11"/>
      <c r="K473" s="11"/>
    </row>
    <row r="474" spans="1:11" s="9" customFormat="1" ht="13.2">
      <c r="A474" s="6"/>
      <c r="B474" s="6"/>
      <c r="C474" s="6"/>
      <c r="D474" s="6"/>
      <c r="E474" s="6"/>
      <c r="F474" s="12"/>
      <c r="G474" s="12"/>
      <c r="H474" s="12"/>
      <c r="I474" s="12"/>
      <c r="J474" s="12"/>
      <c r="K474" s="12"/>
    </row>
    <row r="475" spans="1:11" s="9" customFormat="1" ht="13.2">
      <c r="A475" s="6"/>
      <c r="B475" s="6"/>
      <c r="C475" s="6"/>
      <c r="D475" s="6"/>
      <c r="E475" s="6"/>
      <c r="F475" s="11"/>
      <c r="G475" s="11"/>
      <c r="H475" s="11"/>
      <c r="I475" s="11"/>
      <c r="J475" s="11"/>
      <c r="K475" s="11"/>
    </row>
    <row r="476" spans="1:11" s="9" customFormat="1" ht="13.2">
      <c r="A476" s="6"/>
      <c r="B476" s="6"/>
      <c r="C476" s="6"/>
      <c r="D476" s="6"/>
      <c r="E476" s="6"/>
      <c r="F476" s="11"/>
      <c r="G476" s="11"/>
      <c r="H476" s="11"/>
      <c r="I476" s="11"/>
      <c r="J476" s="11"/>
      <c r="K476" s="11"/>
    </row>
    <row r="477" spans="1:11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  <c r="K477" s="11"/>
    </row>
    <row r="478" spans="1:11" s="9" customFormat="1" ht="13.2">
      <c r="A478" s="6"/>
      <c r="B478" s="6"/>
      <c r="C478" s="6"/>
      <c r="D478" s="6"/>
      <c r="E478" s="6"/>
      <c r="F478" s="11"/>
      <c r="G478" s="11"/>
      <c r="H478" s="11"/>
      <c r="I478" s="11"/>
      <c r="J478" s="11"/>
      <c r="K478" s="11"/>
    </row>
    <row r="479" spans="1:11" s="9" customFormat="1" ht="13.2">
      <c r="A479" s="6"/>
      <c r="B479" s="6"/>
      <c r="C479" s="6"/>
      <c r="D479" s="6"/>
      <c r="E479" s="6"/>
      <c r="F479" s="11"/>
      <c r="G479" s="11"/>
      <c r="H479" s="11"/>
      <c r="I479" s="11"/>
      <c r="J479" s="11"/>
      <c r="K479" s="11"/>
    </row>
    <row r="480" spans="1:11" s="9" customFormat="1" ht="13.2">
      <c r="A480" s="6"/>
      <c r="B480" s="6"/>
      <c r="C480" s="6"/>
      <c r="D480" s="6"/>
      <c r="E480" s="6"/>
      <c r="F480" s="11"/>
      <c r="G480" s="11"/>
      <c r="H480" s="11"/>
      <c r="I480" s="11"/>
      <c r="J480" s="11"/>
      <c r="K480" s="11"/>
    </row>
    <row r="481" spans="1:11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  <c r="K481" s="11"/>
    </row>
    <row r="482" spans="1:11" s="9" customFormat="1" ht="13.2">
      <c r="A482" s="6"/>
      <c r="B482" s="6"/>
      <c r="C482" s="6"/>
      <c r="D482" s="6"/>
      <c r="E482" s="6"/>
      <c r="F482" s="11"/>
      <c r="G482" s="11"/>
      <c r="H482" s="11"/>
      <c r="I482" s="11"/>
      <c r="J482" s="11"/>
      <c r="K482" s="11"/>
    </row>
    <row r="483" spans="1:11" s="9" customFormat="1" ht="13.2">
      <c r="A483" s="6"/>
      <c r="B483" s="6"/>
      <c r="C483" s="6"/>
      <c r="D483" s="6"/>
      <c r="E483" s="6"/>
      <c r="F483" s="8"/>
      <c r="G483" s="8"/>
      <c r="H483" s="8"/>
      <c r="I483" s="8"/>
      <c r="J483" s="8"/>
      <c r="K483" s="8"/>
    </row>
    <row r="484" spans="1:11" s="9" customFormat="1" ht="13.2">
      <c r="A484" s="6"/>
      <c r="B484" s="6"/>
      <c r="C484" s="6"/>
      <c r="D484" s="6"/>
      <c r="E484" s="6"/>
      <c r="F484" s="8"/>
      <c r="G484" s="8"/>
      <c r="H484" s="8"/>
      <c r="I484" s="8"/>
      <c r="J484" s="8"/>
      <c r="K484" s="8"/>
    </row>
    <row r="485" spans="1:11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  <c r="K485" s="8"/>
    </row>
    <row r="486" spans="1:11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  <c r="K486" s="8"/>
    </row>
    <row r="487" spans="1:11" s="9" customFormat="1" ht="13.2">
      <c r="A487" s="6"/>
      <c r="B487" s="6"/>
      <c r="C487" s="6"/>
      <c r="D487" s="6"/>
      <c r="E487" s="6"/>
      <c r="F487" s="8"/>
      <c r="G487" s="8"/>
      <c r="H487" s="8"/>
      <c r="I487" s="8"/>
      <c r="J487" s="8"/>
      <c r="K487" s="8"/>
    </row>
    <row r="488" spans="1:11" s="9" customFormat="1" ht="13.2">
      <c r="A488" s="6"/>
      <c r="B488" s="6"/>
      <c r="C488" s="6"/>
      <c r="D488" s="6"/>
      <c r="E488" s="6"/>
      <c r="F488" s="8"/>
      <c r="G488" s="8"/>
      <c r="H488" s="8"/>
      <c r="I488" s="8"/>
      <c r="J488" s="8"/>
      <c r="K488" s="8"/>
    </row>
    <row r="489" spans="1:11" s="9" customFormat="1" ht="13.2">
      <c r="A489" s="6"/>
      <c r="B489" s="6"/>
      <c r="C489" s="6"/>
      <c r="D489" s="6"/>
      <c r="E489" s="6"/>
      <c r="F489" s="12"/>
      <c r="G489" s="12"/>
      <c r="H489" s="12"/>
      <c r="I489" s="12"/>
      <c r="J489" s="12"/>
      <c r="K489" s="12"/>
    </row>
    <row r="490" spans="1:11" s="9" customFormat="1" ht="13.2">
      <c r="A490" s="6"/>
      <c r="B490" s="6"/>
      <c r="C490" s="6"/>
      <c r="D490" s="6"/>
      <c r="E490" s="6"/>
      <c r="F490" s="10"/>
      <c r="G490" s="10"/>
      <c r="H490" s="10"/>
      <c r="I490" s="10"/>
      <c r="J490" s="10"/>
      <c r="K490" s="10"/>
    </row>
    <row r="491" spans="1:11" s="9" customFormat="1" ht="13.2">
      <c r="A491" s="6"/>
      <c r="B491" s="6"/>
      <c r="C491" s="6"/>
      <c r="D491" s="6"/>
      <c r="E491" s="6"/>
      <c r="F491" s="12"/>
      <c r="G491" s="12"/>
      <c r="H491" s="12"/>
      <c r="I491" s="12"/>
      <c r="J491" s="12"/>
      <c r="K491" s="12"/>
    </row>
    <row r="492" spans="1:11" s="9" customFormat="1" ht="13.2">
      <c r="A492" s="6"/>
      <c r="B492" s="6"/>
      <c r="C492" s="6"/>
      <c r="D492" s="6"/>
      <c r="E492" s="6"/>
      <c r="F492" s="12"/>
      <c r="G492" s="12"/>
      <c r="H492" s="12"/>
      <c r="I492" s="12"/>
      <c r="J492" s="12"/>
      <c r="K492" s="12"/>
    </row>
    <row r="493" spans="1:11" s="9" customFormat="1" ht="13.2">
      <c r="A493" s="6"/>
      <c r="B493" s="6"/>
      <c r="C493" s="6"/>
      <c r="D493" s="6"/>
      <c r="E493" s="6"/>
      <c r="F493" s="8"/>
      <c r="G493" s="8"/>
      <c r="H493" s="8"/>
      <c r="I493" s="8"/>
      <c r="J493" s="8"/>
      <c r="K493" s="8"/>
    </row>
    <row r="494" spans="1:11" s="9" customFormat="1" ht="13.2">
      <c r="A494" s="6"/>
      <c r="B494" s="6"/>
      <c r="C494" s="6"/>
      <c r="D494" s="6"/>
      <c r="E494" s="6"/>
      <c r="F494" s="8"/>
      <c r="G494" s="8"/>
      <c r="H494" s="8"/>
      <c r="I494" s="8"/>
      <c r="J494" s="8"/>
      <c r="K494" s="8"/>
    </row>
    <row r="495" spans="1:11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  <c r="K495" s="8"/>
    </row>
    <row r="496" spans="1:11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  <c r="K496" s="8"/>
    </row>
    <row r="497" spans="1:11" s="9" customFormat="1" ht="13.2">
      <c r="A497" s="6"/>
      <c r="B497" s="6"/>
      <c r="C497" s="6"/>
      <c r="D497" s="6"/>
      <c r="E497" s="6"/>
      <c r="F497" s="11"/>
      <c r="G497" s="11"/>
      <c r="H497" s="11"/>
      <c r="I497" s="11"/>
      <c r="J497" s="11"/>
      <c r="K497" s="11"/>
    </row>
    <row r="498" spans="1:11" s="9" customFormat="1" ht="13.2">
      <c r="A498" s="6"/>
      <c r="B498" s="6"/>
      <c r="C498" s="6"/>
      <c r="D498" s="6"/>
      <c r="E498" s="6"/>
      <c r="F498" s="12"/>
      <c r="G498" s="12"/>
      <c r="H498" s="12"/>
      <c r="I498" s="12"/>
      <c r="J498" s="12"/>
      <c r="K498" s="12"/>
    </row>
    <row r="499" spans="1:11" s="9" customFormat="1" ht="13.2">
      <c r="A499" s="6"/>
      <c r="B499" s="6"/>
      <c r="C499" s="6"/>
      <c r="D499" s="6"/>
      <c r="E499" s="6"/>
      <c r="F499" s="10"/>
      <c r="G499" s="10"/>
      <c r="H499" s="10"/>
      <c r="I499" s="10"/>
      <c r="J499" s="10"/>
      <c r="K499" s="10"/>
    </row>
    <row r="500" spans="1:11" s="9" customFormat="1" ht="13.2">
      <c r="A500" s="6"/>
      <c r="B500" s="6"/>
      <c r="C500" s="6"/>
      <c r="D500" s="6"/>
      <c r="E500" s="6"/>
      <c r="F500" s="11"/>
      <c r="G500" s="11"/>
      <c r="H500" s="11"/>
      <c r="I500" s="11"/>
      <c r="J500" s="11"/>
      <c r="K500" s="11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7"/>
      <c r="G502" s="7"/>
      <c r="H502" s="7"/>
      <c r="I502" s="7"/>
      <c r="J502" s="7"/>
      <c r="K502" s="7"/>
    </row>
    <row r="503" spans="1:11" s="9" customFormat="1" ht="13.2">
      <c r="A503" s="6"/>
      <c r="B503" s="6"/>
      <c r="C503" s="6"/>
      <c r="D503" s="6"/>
      <c r="E503" s="6"/>
      <c r="F503" s="7"/>
      <c r="G503" s="7"/>
      <c r="H503" s="7"/>
      <c r="I503" s="7"/>
      <c r="J503" s="7"/>
      <c r="K503" s="7"/>
    </row>
    <row r="504" spans="1:11" s="9" customFormat="1" ht="13.2">
      <c r="A504" s="6"/>
      <c r="B504" s="6"/>
      <c r="C504" s="6"/>
      <c r="D504" s="6"/>
      <c r="E504" s="6"/>
      <c r="F504" s="7"/>
      <c r="G504" s="7"/>
      <c r="H504" s="7"/>
      <c r="I504" s="7"/>
      <c r="J504" s="7"/>
      <c r="K504" s="7"/>
    </row>
    <row r="505" spans="1:11" s="9" customFormat="1" ht="13.2">
      <c r="A505" s="6"/>
      <c r="B505" s="6"/>
      <c r="C505" s="6"/>
      <c r="D505" s="6"/>
      <c r="E505" s="6"/>
      <c r="F505" s="7"/>
      <c r="G505" s="7"/>
      <c r="H505" s="7"/>
      <c r="I505" s="7"/>
      <c r="J505" s="7"/>
      <c r="K505" s="7"/>
    </row>
    <row r="506" spans="1:11" s="9" customFormat="1" ht="13.2">
      <c r="A506" s="6"/>
      <c r="B506" s="6"/>
      <c r="C506" s="6"/>
      <c r="D506" s="6"/>
      <c r="E506" s="6"/>
      <c r="F506" s="8"/>
      <c r="G506" s="8"/>
      <c r="H506" s="8"/>
      <c r="I506" s="8"/>
      <c r="J506" s="8"/>
      <c r="K506" s="8"/>
    </row>
    <row r="507" spans="1:11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  <c r="K507" s="8"/>
    </row>
    <row r="508" spans="1:11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  <c r="K508" s="8"/>
    </row>
    <row r="509" spans="1:11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  <c r="K509" s="8"/>
    </row>
    <row r="510" spans="1:11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  <c r="K510" s="8"/>
    </row>
    <row r="511" spans="1:11" s="9" customFormat="1" ht="13.2">
      <c r="A511" s="6"/>
      <c r="B511" s="6"/>
      <c r="C511" s="6"/>
      <c r="D511" s="6"/>
      <c r="E511" s="6"/>
      <c r="F511" s="8"/>
      <c r="G511" s="8"/>
      <c r="H511" s="8"/>
      <c r="I511" s="8"/>
      <c r="J511" s="8"/>
      <c r="K511" s="8"/>
    </row>
    <row r="512" spans="1:11" s="9" customFormat="1" ht="13.2">
      <c r="A512" s="6"/>
      <c r="B512" s="6"/>
      <c r="C512" s="6"/>
      <c r="D512" s="6"/>
      <c r="E512" s="6"/>
      <c r="F512" s="8"/>
      <c r="G512" s="8"/>
      <c r="H512" s="8"/>
      <c r="I512" s="8"/>
      <c r="J512" s="8"/>
      <c r="K512" s="8"/>
    </row>
    <row r="513" spans="1:11" s="9" customFormat="1" ht="13.2">
      <c r="A513" s="6"/>
      <c r="B513" s="6"/>
      <c r="C513" s="6"/>
      <c r="D513" s="6"/>
      <c r="E513" s="6"/>
      <c r="F513" s="8"/>
      <c r="G513" s="8"/>
      <c r="H513" s="8"/>
      <c r="I513" s="8"/>
      <c r="J513" s="8"/>
      <c r="K513" s="8"/>
    </row>
    <row r="514" spans="1:11" s="9" customFormat="1" ht="13.2">
      <c r="A514" s="6"/>
      <c r="B514" s="6"/>
      <c r="C514" s="6"/>
      <c r="D514" s="6"/>
      <c r="E514" s="6"/>
      <c r="F514" s="12"/>
      <c r="G514" s="12"/>
      <c r="H514" s="12"/>
      <c r="I514" s="12"/>
      <c r="J514" s="12"/>
      <c r="K514" s="12"/>
    </row>
    <row r="515" spans="1:11" s="9" customFormat="1" ht="13.2">
      <c r="A515" s="6"/>
      <c r="B515" s="6"/>
      <c r="C515" s="6"/>
      <c r="D515" s="6"/>
      <c r="E515" s="6"/>
      <c r="F515" s="11"/>
      <c r="G515" s="11"/>
      <c r="H515" s="11"/>
      <c r="I515" s="11"/>
      <c r="J515" s="11"/>
      <c r="K515" s="11"/>
    </row>
    <row r="516" spans="1:11" s="9" customFormat="1" ht="13.2">
      <c r="A516" s="6"/>
      <c r="B516" s="6"/>
      <c r="C516" s="6"/>
      <c r="D516" s="6"/>
      <c r="E516" s="6"/>
      <c r="F516" s="12"/>
      <c r="G516" s="12"/>
      <c r="H516" s="12"/>
      <c r="I516" s="12"/>
      <c r="J516" s="12"/>
      <c r="K516" s="12"/>
    </row>
    <row r="517" spans="1:11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  <c r="K517" s="8"/>
    </row>
    <row r="518" spans="1:11" s="9" customFormat="1" ht="13.2">
      <c r="A518" s="6"/>
      <c r="B518" s="6"/>
      <c r="C518" s="6"/>
      <c r="D518" s="6"/>
      <c r="E518" s="6"/>
      <c r="F518" s="12"/>
      <c r="G518" s="12"/>
      <c r="H518" s="12"/>
      <c r="I518" s="12"/>
      <c r="J518" s="12"/>
      <c r="K518" s="12"/>
    </row>
    <row r="519" spans="1:11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  <c r="K519" s="8"/>
    </row>
    <row r="520" spans="1:11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  <c r="K520" s="8"/>
    </row>
    <row r="521" spans="1:11" s="9" customFormat="1" ht="13.2">
      <c r="A521" s="6"/>
      <c r="B521" s="6"/>
      <c r="C521" s="6"/>
      <c r="D521" s="6"/>
      <c r="E521" s="6"/>
      <c r="F521" s="12"/>
      <c r="G521" s="12"/>
      <c r="H521" s="12"/>
      <c r="I521" s="12"/>
      <c r="J521" s="12"/>
      <c r="K521" s="12"/>
    </row>
    <row r="522" spans="1:11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  <c r="K522" s="8"/>
    </row>
    <row r="523" spans="1:11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  <c r="K523" s="8"/>
    </row>
    <row r="524" spans="1:11" s="9" customFormat="1" ht="13.2">
      <c r="A524" s="6"/>
      <c r="B524" s="6"/>
      <c r="C524" s="6"/>
      <c r="D524" s="6"/>
      <c r="E524" s="6"/>
      <c r="F524" s="11"/>
      <c r="G524" s="11"/>
      <c r="H524" s="11"/>
      <c r="I524" s="11"/>
      <c r="J524" s="11"/>
      <c r="K524" s="11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  <c r="K527" s="8"/>
    </row>
    <row r="528" spans="1:11" s="9" customFormat="1" ht="13.2">
      <c r="A528" s="6"/>
      <c r="B528" s="6"/>
      <c r="C528" s="6"/>
      <c r="D528" s="6"/>
      <c r="E528" s="6"/>
      <c r="F528" s="11"/>
      <c r="G528" s="11"/>
      <c r="H528" s="11"/>
      <c r="I528" s="11"/>
      <c r="J528" s="11"/>
      <c r="K528" s="11"/>
    </row>
    <row r="529" spans="1:11" s="9" customFormat="1" ht="13.2">
      <c r="A529" s="6"/>
      <c r="B529" s="6"/>
      <c r="C529" s="6"/>
      <c r="D529" s="6"/>
      <c r="E529" s="6"/>
      <c r="F529" s="8"/>
      <c r="G529" s="8"/>
      <c r="H529" s="8"/>
      <c r="I529" s="8"/>
      <c r="J529" s="8"/>
      <c r="K529" s="8"/>
    </row>
    <row r="530" spans="1:11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  <c r="K530" s="8"/>
    </row>
    <row r="531" spans="1:11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  <c r="K531" s="8"/>
    </row>
    <row r="532" spans="1:11" s="9" customFormat="1" ht="13.2">
      <c r="A532" s="6"/>
      <c r="B532" s="6"/>
      <c r="C532" s="6"/>
      <c r="D532" s="6"/>
      <c r="E532" s="6"/>
      <c r="F532" s="8"/>
      <c r="G532" s="8"/>
      <c r="H532" s="8"/>
      <c r="I532" s="8"/>
      <c r="J532" s="8"/>
      <c r="K532" s="8"/>
    </row>
    <row r="533" spans="1:11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  <c r="K533" s="8"/>
    </row>
    <row r="534" spans="1:11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  <c r="K534" s="8"/>
    </row>
    <row r="535" spans="1:11" s="9" customFormat="1" ht="13.2">
      <c r="A535" s="6"/>
      <c r="B535" s="6"/>
      <c r="C535" s="6"/>
      <c r="D535" s="6"/>
      <c r="E535" s="6"/>
      <c r="F535" s="10"/>
      <c r="G535" s="10"/>
      <c r="H535" s="10"/>
      <c r="I535" s="10"/>
      <c r="J535" s="10"/>
      <c r="K535" s="10"/>
    </row>
    <row r="536" spans="1:11" s="9" customFormat="1" ht="13.2">
      <c r="A536" s="6"/>
      <c r="B536" s="6"/>
      <c r="C536" s="6"/>
      <c r="D536" s="6"/>
      <c r="E536" s="6"/>
      <c r="F536" s="11"/>
      <c r="G536" s="11"/>
      <c r="H536" s="11"/>
      <c r="I536" s="11"/>
      <c r="J536" s="11"/>
      <c r="K536" s="11"/>
    </row>
    <row r="537" spans="1:11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  <c r="K537" s="8"/>
    </row>
    <row r="538" spans="1:11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  <c r="K538" s="11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  <c r="K540" s="8"/>
    </row>
    <row r="541" spans="1:11" s="9" customFormat="1" ht="13.2">
      <c r="A541" s="6"/>
      <c r="B541" s="6"/>
      <c r="C541" s="6"/>
      <c r="D541" s="6"/>
      <c r="E541" s="6"/>
      <c r="F541" s="11"/>
      <c r="G541" s="11"/>
      <c r="H541" s="11"/>
      <c r="I541" s="11"/>
      <c r="J541" s="11"/>
      <c r="K541" s="11"/>
    </row>
    <row r="542" spans="1:11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  <c r="K542" s="11"/>
    </row>
    <row r="543" spans="1:11" s="9" customFormat="1" ht="13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spans="1:11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  <c r="K544" s="11"/>
    </row>
    <row r="545" spans="1:11" s="9" customFormat="1" ht="13.2">
      <c r="A545" s="6"/>
      <c r="B545" s="6"/>
      <c r="C545" s="6"/>
      <c r="D545" s="6"/>
      <c r="E545" s="6"/>
      <c r="F545" s="11"/>
      <c r="G545" s="11"/>
      <c r="H545" s="11"/>
      <c r="I545" s="11"/>
      <c r="J545" s="11"/>
      <c r="K545" s="11"/>
    </row>
    <row r="546" spans="1:11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  <c r="K546" s="8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  <c r="K548" s="8"/>
    </row>
    <row r="549" spans="1:11" s="9" customFormat="1" ht="13.2">
      <c r="A549" s="6"/>
      <c r="B549" s="6"/>
      <c r="C549" s="6"/>
      <c r="D549" s="6"/>
      <c r="E549" s="6"/>
      <c r="F549" s="8"/>
      <c r="G549" s="8"/>
      <c r="H549" s="8"/>
      <c r="I549" s="8"/>
      <c r="J549" s="8"/>
      <c r="K549" s="8"/>
    </row>
    <row r="550" spans="1:11" s="9" customFormat="1" ht="13.2">
      <c r="A550" s="6"/>
      <c r="B550" s="6"/>
      <c r="C550" s="6"/>
      <c r="D550" s="6"/>
      <c r="E550" s="6"/>
      <c r="F550" s="8"/>
      <c r="G550" s="8"/>
      <c r="H550" s="8"/>
      <c r="I550" s="8"/>
      <c r="J550" s="8"/>
      <c r="K550" s="8"/>
    </row>
    <row r="551" spans="1:11" s="9" customFormat="1" ht="13.2">
      <c r="A551" s="6"/>
      <c r="B551" s="6"/>
      <c r="C551" s="6"/>
      <c r="D551" s="6"/>
      <c r="E551" s="6"/>
      <c r="F551" s="7"/>
      <c r="G551" s="7"/>
      <c r="H551" s="7"/>
      <c r="I551" s="7"/>
      <c r="J551" s="7"/>
      <c r="K551" s="7"/>
    </row>
    <row r="552" spans="1:11" s="9" customFormat="1" ht="13.2">
      <c r="A552" s="6"/>
      <c r="B552" s="6"/>
      <c r="C552" s="6"/>
      <c r="D552" s="6"/>
      <c r="E552" s="6"/>
      <c r="F552" s="7"/>
      <c r="G552" s="7"/>
      <c r="H552" s="7"/>
      <c r="I552" s="7"/>
      <c r="J552" s="7"/>
      <c r="K552" s="7"/>
    </row>
    <row r="553" spans="1:11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  <c r="K553" s="8"/>
    </row>
    <row r="554" spans="1:11" s="9" customFormat="1" ht="13.2">
      <c r="A554" s="6"/>
      <c r="B554" s="6"/>
      <c r="C554" s="6"/>
      <c r="D554" s="6"/>
      <c r="E554" s="6"/>
      <c r="F554" s="11"/>
      <c r="G554" s="11"/>
      <c r="H554" s="11"/>
      <c r="I554" s="11"/>
      <c r="J554" s="11"/>
      <c r="K554" s="11"/>
    </row>
    <row r="555" spans="1:11" s="9" customFormat="1" ht="13.2">
      <c r="A555" s="6"/>
      <c r="B555" s="6"/>
      <c r="C555" s="6"/>
      <c r="D555" s="6"/>
      <c r="E555" s="6"/>
      <c r="F555" s="7"/>
      <c r="G555" s="7"/>
      <c r="H555" s="7"/>
      <c r="I555" s="7"/>
      <c r="J555" s="7"/>
      <c r="K555" s="7"/>
    </row>
    <row r="556" spans="1:11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  <c r="K556" s="8"/>
    </row>
    <row r="557" spans="1:11" s="9" customFormat="1" ht="13.2">
      <c r="A557" s="6"/>
      <c r="B557" s="6"/>
      <c r="C557" s="6"/>
      <c r="D557" s="6"/>
      <c r="E557" s="6"/>
      <c r="F557" s="7"/>
      <c r="G557" s="7"/>
      <c r="H557" s="7"/>
      <c r="I557" s="7"/>
      <c r="J557" s="7"/>
      <c r="K557" s="7"/>
    </row>
    <row r="558" spans="1:11" s="9" customFormat="1" ht="13.2">
      <c r="A558" s="6"/>
      <c r="B558" s="6"/>
      <c r="C558" s="6"/>
      <c r="D558" s="6"/>
      <c r="E558" s="6"/>
      <c r="F558" s="7"/>
      <c r="G558" s="7"/>
      <c r="H558" s="7"/>
      <c r="I558" s="7"/>
      <c r="J558" s="7"/>
      <c r="K558" s="7"/>
    </row>
    <row r="559" spans="1:11" s="9" customFormat="1" ht="13.2">
      <c r="A559" s="6"/>
      <c r="B559" s="6"/>
      <c r="C559" s="6"/>
      <c r="D559" s="6"/>
      <c r="E559" s="6"/>
      <c r="F559" s="8"/>
      <c r="G559" s="8"/>
      <c r="H559" s="8"/>
      <c r="I559" s="8"/>
      <c r="J559" s="8"/>
      <c r="K559" s="8"/>
    </row>
    <row r="560" spans="1:11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  <c r="K560" s="8"/>
    </row>
    <row r="561" spans="1:11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  <c r="K561" s="8"/>
    </row>
    <row r="562" spans="1:11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  <c r="K562" s="8"/>
    </row>
    <row r="563" spans="1:11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  <c r="K563" s="8"/>
    </row>
    <row r="564" spans="1:11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  <c r="K564" s="8"/>
    </row>
    <row r="565" spans="1:11" s="9" customFormat="1" ht="13.2">
      <c r="A565" s="6"/>
      <c r="B565" s="6"/>
      <c r="C565" s="6"/>
      <c r="D565" s="6"/>
      <c r="E565" s="6"/>
      <c r="F565" s="8"/>
      <c r="G565" s="8"/>
      <c r="H565" s="8"/>
      <c r="I565" s="8"/>
      <c r="J565" s="8"/>
      <c r="K565" s="8"/>
    </row>
    <row r="566" spans="1:11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  <c r="K566" s="7"/>
    </row>
    <row r="567" spans="1:11" s="9" customFormat="1" ht="13.2">
      <c r="A567" s="6"/>
      <c r="B567" s="6"/>
      <c r="C567" s="6"/>
      <c r="D567" s="6"/>
      <c r="E567" s="6"/>
      <c r="F567" s="7"/>
      <c r="G567" s="7"/>
      <c r="H567" s="7"/>
      <c r="I567" s="7"/>
      <c r="J567" s="7"/>
      <c r="K567" s="7"/>
    </row>
    <row r="568" spans="1:11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  <c r="K568" s="8"/>
    </row>
    <row r="569" spans="1:11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  <c r="K569" s="8"/>
    </row>
    <row r="570" spans="1:11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  <c r="K570" s="8"/>
    </row>
    <row r="571" spans="1:11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  <c r="K571" s="8"/>
    </row>
    <row r="572" spans="1:11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  <c r="K572" s="8"/>
    </row>
    <row r="573" spans="1:11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  <c r="K573" s="8"/>
    </row>
    <row r="574" spans="1:11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  <c r="K574" s="8"/>
    </row>
    <row r="575" spans="1:11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  <c r="K575" s="8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  <c r="K580" s="8"/>
    </row>
    <row r="581" spans="1:11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  <c r="K581" s="8"/>
    </row>
    <row r="582" spans="1:11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  <c r="K582" s="8"/>
    </row>
    <row r="583" spans="1:11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  <c r="K583" s="8"/>
    </row>
    <row r="584" spans="1:11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  <c r="K584" s="8"/>
    </row>
    <row r="585" spans="1:11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  <c r="K585" s="8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10"/>
      <c r="G595" s="10"/>
      <c r="H595" s="10"/>
      <c r="I595" s="10"/>
      <c r="J595" s="10"/>
      <c r="K595" s="10"/>
    </row>
    <row r="596" spans="1:11" s="9" customFormat="1" ht="13.2">
      <c r="A596" s="6"/>
      <c r="B596" s="6"/>
      <c r="C596" s="6"/>
      <c r="D596" s="6"/>
      <c r="E596" s="6"/>
      <c r="F596" s="10"/>
      <c r="G596" s="10"/>
      <c r="H596" s="10"/>
      <c r="I596" s="10"/>
      <c r="J596" s="10"/>
      <c r="K596" s="10"/>
    </row>
    <row r="597" spans="1:11" s="9" customFormat="1" ht="13.2">
      <c r="A597" s="6"/>
      <c r="B597" s="6"/>
      <c r="C597" s="6"/>
      <c r="D597" s="6"/>
      <c r="E597" s="6"/>
      <c r="F597" s="10"/>
      <c r="G597" s="10"/>
      <c r="H597" s="10"/>
      <c r="I597" s="10"/>
      <c r="J597" s="10"/>
      <c r="K597" s="10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10"/>
      <c r="G600" s="10"/>
      <c r="H600" s="10"/>
      <c r="I600" s="10"/>
      <c r="J600" s="10"/>
      <c r="K600" s="10"/>
    </row>
    <row r="601" spans="1:11" s="9" customFormat="1" ht="13.2">
      <c r="A601" s="6"/>
      <c r="B601" s="6"/>
      <c r="C601" s="6"/>
      <c r="D601" s="6"/>
      <c r="E601" s="6"/>
      <c r="F601" s="10"/>
      <c r="G601" s="10"/>
      <c r="H601" s="10"/>
      <c r="I601" s="10"/>
      <c r="J601" s="10"/>
      <c r="K601" s="10"/>
    </row>
    <row r="602" spans="1:11" s="9" customFormat="1" ht="13.2">
      <c r="A602" s="6"/>
      <c r="B602" s="6"/>
      <c r="C602" s="6"/>
      <c r="D602" s="6"/>
      <c r="E602" s="6"/>
      <c r="F602" s="10"/>
      <c r="G602" s="10"/>
      <c r="H602" s="10"/>
      <c r="I602" s="10"/>
      <c r="J602" s="10"/>
      <c r="K602" s="10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12"/>
      <c r="G606" s="12"/>
      <c r="H606" s="12"/>
      <c r="I606" s="12"/>
      <c r="J606" s="12"/>
      <c r="K606" s="12"/>
    </row>
    <row r="607" spans="1:11" s="9" customFormat="1" ht="13.2">
      <c r="A607" s="6"/>
      <c r="B607" s="6"/>
      <c r="C607" s="6"/>
      <c r="D607" s="6"/>
      <c r="E607" s="6"/>
      <c r="F607" s="12"/>
      <c r="G607" s="12"/>
      <c r="H607" s="12"/>
      <c r="I607" s="12"/>
      <c r="J607" s="12"/>
      <c r="K607" s="12"/>
    </row>
    <row r="608" spans="1:11" s="9" customFormat="1" ht="13.2">
      <c r="A608" s="6"/>
      <c r="B608" s="6"/>
      <c r="C608" s="6"/>
      <c r="D608" s="6"/>
      <c r="E608" s="6"/>
      <c r="F608" s="12"/>
      <c r="G608" s="12"/>
      <c r="H608" s="12"/>
      <c r="I608" s="12"/>
      <c r="J608" s="12"/>
      <c r="K608" s="12"/>
    </row>
    <row r="609" spans="1:13" s="9" customFormat="1" ht="13.2">
      <c r="A609" s="6"/>
      <c r="B609" s="6"/>
      <c r="C609" s="6"/>
      <c r="D609" s="6"/>
      <c r="E609" s="6"/>
      <c r="F609" s="12"/>
      <c r="G609" s="12"/>
      <c r="H609" s="12"/>
      <c r="I609" s="12"/>
      <c r="J609" s="12"/>
      <c r="K609" s="12"/>
    </row>
    <row r="610" spans="1:13" s="9" customFormat="1" ht="13.2">
      <c r="A610" s="6"/>
      <c r="B610" s="6"/>
      <c r="C610" s="6"/>
      <c r="D610" s="6"/>
      <c r="E610" s="6"/>
      <c r="F610" s="12"/>
      <c r="G610" s="12"/>
      <c r="H610" s="12"/>
      <c r="I610" s="12"/>
      <c r="J610" s="12"/>
      <c r="K610" s="12"/>
    </row>
    <row r="611" spans="1:13" s="9" customFormat="1" ht="13.2">
      <c r="A611" s="6"/>
      <c r="B611" s="6"/>
      <c r="C611" s="6"/>
      <c r="D611" s="6"/>
      <c r="E611" s="6"/>
      <c r="F611" s="12"/>
      <c r="G611" s="12"/>
      <c r="H611" s="12"/>
      <c r="I611" s="12"/>
      <c r="J611" s="12"/>
      <c r="K611" s="12"/>
    </row>
    <row r="612" spans="1:13" s="9" customFormat="1" ht="13.2">
      <c r="A612" s="6"/>
      <c r="B612" s="6"/>
      <c r="C612" s="6"/>
      <c r="D612" s="6"/>
      <c r="E612" s="6"/>
      <c r="F612" s="12"/>
      <c r="G612" s="12"/>
      <c r="H612" s="12"/>
      <c r="I612" s="12"/>
      <c r="J612" s="12"/>
      <c r="K612" s="12"/>
    </row>
    <row r="613" spans="1:13" s="9" customForma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s="9" customForma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s="9" customForma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s="9" customForma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s="9" customForma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s="9" customForma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</sheetData>
  <mergeCells count="280">
    <mergeCell ref="B29:F29"/>
    <mergeCell ref="B19:F19"/>
    <mergeCell ref="B20:F20"/>
    <mergeCell ref="B22:F22"/>
    <mergeCell ref="B23:F23"/>
    <mergeCell ref="B24:F24"/>
    <mergeCell ref="B25:F25"/>
    <mergeCell ref="B26:F26"/>
    <mergeCell ref="B27:F27"/>
    <mergeCell ref="B28:F28"/>
    <mergeCell ref="B3:H3"/>
    <mergeCell ref="L3:M3"/>
    <mergeCell ref="B4:H4"/>
    <mergeCell ref="L4:M4"/>
    <mergeCell ref="B5:H5"/>
    <mergeCell ref="L5:M5"/>
    <mergeCell ref="G11:I11"/>
    <mergeCell ref="J11:K11"/>
    <mergeCell ref="A12:A13"/>
    <mergeCell ref="B12:F13"/>
    <mergeCell ref="G12:I13"/>
    <mergeCell ref="J12:K13"/>
    <mergeCell ref="B6:H6"/>
    <mergeCell ref="L6:M6"/>
    <mergeCell ref="L8:M8"/>
    <mergeCell ref="A9:A10"/>
    <mergeCell ref="B9:F10"/>
    <mergeCell ref="G9:I10"/>
    <mergeCell ref="J9:L9"/>
    <mergeCell ref="M9:M10"/>
    <mergeCell ref="J10:K10"/>
    <mergeCell ref="B16:F16"/>
    <mergeCell ref="G16:I16"/>
    <mergeCell ref="J16:K16"/>
    <mergeCell ref="G17:I17"/>
    <mergeCell ref="J17:K17"/>
    <mergeCell ref="G18:I18"/>
    <mergeCell ref="J18:K18"/>
    <mergeCell ref="L12:L13"/>
    <mergeCell ref="M12:M13"/>
    <mergeCell ref="G14:I14"/>
    <mergeCell ref="J14:K14"/>
    <mergeCell ref="B15:E15"/>
    <mergeCell ref="G15:I15"/>
    <mergeCell ref="J15:K15"/>
    <mergeCell ref="G29:I29"/>
    <mergeCell ref="J29:K29"/>
    <mergeCell ref="G22:I22"/>
    <mergeCell ref="J22:K22"/>
    <mergeCell ref="G23:I23"/>
    <mergeCell ref="J23:K23"/>
    <mergeCell ref="G24:I24"/>
    <mergeCell ref="J24:K24"/>
    <mergeCell ref="G19:I19"/>
    <mergeCell ref="J19:K19"/>
    <mergeCell ref="G20:I20"/>
    <mergeCell ref="J20:K20"/>
    <mergeCell ref="G21:I21"/>
    <mergeCell ref="J21:K21"/>
    <mergeCell ref="B34:F34"/>
    <mergeCell ref="G34:H34"/>
    <mergeCell ref="J34:K34"/>
    <mergeCell ref="B35:F35"/>
    <mergeCell ref="G35:H35"/>
    <mergeCell ref="J35:K35"/>
    <mergeCell ref="B30:F30"/>
    <mergeCell ref="B32:F32"/>
    <mergeCell ref="G32:H32"/>
    <mergeCell ref="J32:K32"/>
    <mergeCell ref="B33:F33"/>
    <mergeCell ref="G33:H33"/>
    <mergeCell ref="J33:K33"/>
    <mergeCell ref="A40:F40"/>
    <mergeCell ref="H40:M40"/>
    <mergeCell ref="A41:F41"/>
    <mergeCell ref="H41:M41"/>
    <mergeCell ref="A42:F42"/>
    <mergeCell ref="H42:M42"/>
    <mergeCell ref="B36:F36"/>
    <mergeCell ref="G36:H36"/>
    <mergeCell ref="J36:K36"/>
    <mergeCell ref="B37:F37"/>
    <mergeCell ref="G37:I37"/>
    <mergeCell ref="A39:F39"/>
    <mergeCell ref="H39:M39"/>
    <mergeCell ref="A46:F46"/>
    <mergeCell ref="H46:M46"/>
    <mergeCell ref="A47:F47"/>
    <mergeCell ref="H47:M47"/>
    <mergeCell ref="A48:F48"/>
    <mergeCell ref="H48:M48"/>
    <mergeCell ref="A43:F43"/>
    <mergeCell ref="H43:M43"/>
    <mergeCell ref="A44:F44"/>
    <mergeCell ref="H44:M44"/>
    <mergeCell ref="A45:F45"/>
    <mergeCell ref="H45:M45"/>
    <mergeCell ref="A52:F52"/>
    <mergeCell ref="H52:I52"/>
    <mergeCell ref="J52:K52"/>
    <mergeCell ref="H53:I53"/>
    <mergeCell ref="J53:K53"/>
    <mergeCell ref="A54:F54"/>
    <mergeCell ref="H54:I54"/>
    <mergeCell ref="J54:K54"/>
    <mergeCell ref="A49:F49"/>
    <mergeCell ref="H49:M49"/>
    <mergeCell ref="H50:K50"/>
    <mergeCell ref="L50:M50"/>
    <mergeCell ref="A51:F51"/>
    <mergeCell ref="H51:I51"/>
    <mergeCell ref="J51:K51"/>
    <mergeCell ref="A57:F57"/>
    <mergeCell ref="H57:I57"/>
    <mergeCell ref="J57:K57"/>
    <mergeCell ref="A58:F58"/>
    <mergeCell ref="H58:I58"/>
    <mergeCell ref="J58:K58"/>
    <mergeCell ref="A55:F55"/>
    <mergeCell ref="H55:I55"/>
    <mergeCell ref="J55:K55"/>
    <mergeCell ref="A56:F56"/>
    <mergeCell ref="H56:I56"/>
    <mergeCell ref="J56:K56"/>
    <mergeCell ref="A61:F61"/>
    <mergeCell ref="H61:I61"/>
    <mergeCell ref="J61:K61"/>
    <mergeCell ref="B65:C65"/>
    <mergeCell ref="D65:E65"/>
    <mergeCell ref="F65:G65"/>
    <mergeCell ref="H65:I65"/>
    <mergeCell ref="J65:L65"/>
    <mergeCell ref="A59:F59"/>
    <mergeCell ref="H59:I59"/>
    <mergeCell ref="J59:K59"/>
    <mergeCell ref="A60:F60"/>
    <mergeCell ref="H60:I60"/>
    <mergeCell ref="J60:K60"/>
    <mergeCell ref="B66:C67"/>
    <mergeCell ref="D66:E67"/>
    <mergeCell ref="F66:G67"/>
    <mergeCell ref="H66:I67"/>
    <mergeCell ref="J66:L67"/>
    <mergeCell ref="A71:B71"/>
    <mergeCell ref="D71:F71"/>
    <mergeCell ref="H71:J71"/>
    <mergeCell ref="L71:M71"/>
    <mergeCell ref="A84:A85"/>
    <mergeCell ref="B84:F85"/>
    <mergeCell ref="G84:I85"/>
    <mergeCell ref="J84:L84"/>
    <mergeCell ref="M84:M85"/>
    <mergeCell ref="A72:B72"/>
    <mergeCell ref="D72:F72"/>
    <mergeCell ref="H72:J72"/>
    <mergeCell ref="B78:H78"/>
    <mergeCell ref="L78:M78"/>
    <mergeCell ref="B79:H79"/>
    <mergeCell ref="L79:M79"/>
    <mergeCell ref="B86:F86"/>
    <mergeCell ref="G86:I86"/>
    <mergeCell ref="B87:F87"/>
    <mergeCell ref="G87:I87"/>
    <mergeCell ref="B88:F88"/>
    <mergeCell ref="G88:I88"/>
    <mergeCell ref="B80:H80"/>
    <mergeCell ref="L80:M80"/>
    <mergeCell ref="B81:H81"/>
    <mergeCell ref="L81:M81"/>
    <mergeCell ref="L83:M83"/>
    <mergeCell ref="B92:F92"/>
    <mergeCell ref="G92:I92"/>
    <mergeCell ref="B93:F93"/>
    <mergeCell ref="G93:I93"/>
    <mergeCell ref="B94:F94"/>
    <mergeCell ref="G94:I94"/>
    <mergeCell ref="B89:F89"/>
    <mergeCell ref="G89:I89"/>
    <mergeCell ref="B90:F90"/>
    <mergeCell ref="G90:I90"/>
    <mergeCell ref="B91:F91"/>
    <mergeCell ref="G91:I91"/>
    <mergeCell ref="B98:F98"/>
    <mergeCell ref="G98:I98"/>
    <mergeCell ref="B99:F99"/>
    <mergeCell ref="G99:I99"/>
    <mergeCell ref="B100:F100"/>
    <mergeCell ref="G100:I100"/>
    <mergeCell ref="B95:F95"/>
    <mergeCell ref="G95:I95"/>
    <mergeCell ref="B96:F96"/>
    <mergeCell ref="G96:I96"/>
    <mergeCell ref="B97:F97"/>
    <mergeCell ref="G97:I97"/>
    <mergeCell ref="B104:F104"/>
    <mergeCell ref="G104:I104"/>
    <mergeCell ref="B105:F105"/>
    <mergeCell ref="G105:I105"/>
    <mergeCell ref="B106:F106"/>
    <mergeCell ref="B108:F108"/>
    <mergeCell ref="G108:H108"/>
    <mergeCell ref="B101:F101"/>
    <mergeCell ref="G101:I101"/>
    <mergeCell ref="B102:F102"/>
    <mergeCell ref="G102:I102"/>
    <mergeCell ref="B103:F103"/>
    <mergeCell ref="G103:I103"/>
    <mergeCell ref="B112:F112"/>
    <mergeCell ref="G112:H112"/>
    <mergeCell ref="B113:F113"/>
    <mergeCell ref="G113:I113"/>
    <mergeCell ref="A115:F115"/>
    <mergeCell ref="H115:M115"/>
    <mergeCell ref="B109:F109"/>
    <mergeCell ref="G109:H109"/>
    <mergeCell ref="B110:F110"/>
    <mergeCell ref="G110:H110"/>
    <mergeCell ref="B111:F111"/>
    <mergeCell ref="G111:H111"/>
    <mergeCell ref="A119:F119"/>
    <mergeCell ref="H119:M119"/>
    <mergeCell ref="A120:F120"/>
    <mergeCell ref="H120:M120"/>
    <mergeCell ref="A121:F121"/>
    <mergeCell ref="H121:M121"/>
    <mergeCell ref="A116:F116"/>
    <mergeCell ref="H116:M116"/>
    <mergeCell ref="A117:F117"/>
    <mergeCell ref="H117:M117"/>
    <mergeCell ref="A118:F118"/>
    <mergeCell ref="H118:M118"/>
    <mergeCell ref="A125:F125"/>
    <mergeCell ref="H125:M125"/>
    <mergeCell ref="H126:J126"/>
    <mergeCell ref="L126:M126"/>
    <mergeCell ref="A127:F127"/>
    <mergeCell ref="H127:I127"/>
    <mergeCell ref="A122:F122"/>
    <mergeCell ref="H122:M122"/>
    <mergeCell ref="A123:F123"/>
    <mergeCell ref="H123:M123"/>
    <mergeCell ref="A124:F124"/>
    <mergeCell ref="H124:M124"/>
    <mergeCell ref="A131:F131"/>
    <mergeCell ref="H131:I131"/>
    <mergeCell ref="A132:F132"/>
    <mergeCell ref="H132:I132"/>
    <mergeCell ref="A133:F133"/>
    <mergeCell ref="H133:I133"/>
    <mergeCell ref="A128:F128"/>
    <mergeCell ref="H128:I128"/>
    <mergeCell ref="A129:F129"/>
    <mergeCell ref="H129:I129"/>
    <mergeCell ref="A130:F130"/>
    <mergeCell ref="H130:I130"/>
    <mergeCell ref="A137:F137"/>
    <mergeCell ref="H137:I137"/>
    <mergeCell ref="B141:C141"/>
    <mergeCell ref="D141:E141"/>
    <mergeCell ref="F141:G141"/>
    <mergeCell ref="H141:I141"/>
    <mergeCell ref="A134:F134"/>
    <mergeCell ref="H134:I134"/>
    <mergeCell ref="A135:F135"/>
    <mergeCell ref="H135:I135"/>
    <mergeCell ref="A136:F136"/>
    <mergeCell ref="H136:I136"/>
    <mergeCell ref="A147:B147"/>
    <mergeCell ref="D147:F147"/>
    <mergeCell ref="H147:J147"/>
    <mergeCell ref="L147:M147"/>
    <mergeCell ref="A148:B148"/>
    <mergeCell ref="D148:F148"/>
    <mergeCell ref="H148:J148"/>
    <mergeCell ref="J141:L141"/>
    <mergeCell ref="B142:C143"/>
    <mergeCell ref="D142:E143"/>
    <mergeCell ref="F142:G143"/>
    <mergeCell ref="H142:I143"/>
    <mergeCell ref="J142:L143"/>
  </mergeCells>
  <printOptions horizontalCentered="1"/>
  <pageMargins left="0.31496062992126" right="0.31496062992126" top="0.35433070866141703" bottom="0.35433070866141703" header="0.31496062992126" footer="0.31496062992126"/>
  <pageSetup paperSize="14" scale="59" orientation="portrait" r:id="rId1"/>
  <rowBreaks count="1" manualBreakCount="1">
    <brk id="72" max="11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298A-FA07-455E-8DB5-8B0EBCA200E6}">
  <sheetPr>
    <tabColor rgb="FFFFC000"/>
    <pageSetUpPr fitToPage="1"/>
  </sheetPr>
  <dimension ref="A1:O632"/>
  <sheetViews>
    <sheetView tabSelected="1" view="pageBreakPreview" topLeftCell="A130" zoomScale="91" zoomScaleNormal="55" zoomScaleSheetLayoutView="91" zoomScalePageLayoutView="25" workbookViewId="0">
      <selection activeCell="H61" sqref="H60:M61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6.7773437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324" t="s">
        <v>505</v>
      </c>
      <c r="C4" s="324"/>
      <c r="D4" s="324"/>
      <c r="E4" s="324"/>
      <c r="F4" s="324"/>
      <c r="G4" s="324"/>
      <c r="H4" s="324"/>
      <c r="J4" s="22"/>
      <c r="K4" s="22"/>
      <c r="L4" s="555"/>
      <c r="M4" s="555"/>
    </row>
    <row r="5" spans="1:13" s="16" customFormat="1" ht="16.5" customHeight="1">
      <c r="A5" s="69"/>
      <c r="B5" s="324" t="s">
        <v>506</v>
      </c>
      <c r="C5" s="324"/>
      <c r="D5" s="324"/>
      <c r="E5" s="324"/>
      <c r="F5" s="324"/>
      <c r="G5" s="324"/>
      <c r="H5" s="324"/>
      <c r="I5" s="21" t="s">
        <v>5</v>
      </c>
      <c r="J5" s="22"/>
      <c r="K5" s="22"/>
      <c r="L5" s="557" t="s">
        <v>337</v>
      </c>
      <c r="M5" s="557"/>
    </row>
    <row r="6" spans="1:13" s="16" customFormat="1" ht="16.5" customHeight="1">
      <c r="A6" s="22" t="s">
        <v>10</v>
      </c>
      <c r="B6" s="556" t="s">
        <v>550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451"/>
      <c r="M7" s="451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5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84"/>
    </row>
    <row r="11" spans="1:13" s="2" customFormat="1" ht="16.5" customHeight="1">
      <c r="A11" s="402" t="s">
        <v>274</v>
      </c>
      <c r="B11" s="357" t="s">
        <v>103</v>
      </c>
      <c r="C11" s="467"/>
      <c r="D11" s="467"/>
      <c r="E11" s="467"/>
      <c r="F11" s="466"/>
      <c r="G11" s="733"/>
      <c r="H11" s="740"/>
      <c r="I11" s="734"/>
      <c r="J11" s="465"/>
      <c r="K11" s="466"/>
      <c r="L11" s="20"/>
      <c r="M11" s="401"/>
    </row>
    <row r="12" spans="1:13" s="2" customFormat="1" ht="19.8" customHeight="1">
      <c r="A12" s="440" t="s">
        <v>104</v>
      </c>
      <c r="B12" s="781" t="s">
        <v>262</v>
      </c>
      <c r="C12" s="782"/>
      <c r="D12" s="782"/>
      <c r="E12" s="782"/>
      <c r="F12" s="783"/>
      <c r="G12" s="733"/>
      <c r="H12" s="740"/>
      <c r="I12" s="734"/>
      <c r="J12" s="465"/>
      <c r="K12" s="466"/>
      <c r="L12" s="20"/>
      <c r="M12" s="397" t="s">
        <v>106</v>
      </c>
    </row>
    <row r="13" spans="1:13" s="326" customFormat="1" ht="16.5" customHeight="1">
      <c r="A13" s="395" t="s">
        <v>107</v>
      </c>
      <c r="B13" s="327" t="s">
        <v>351</v>
      </c>
      <c r="C13" s="328"/>
      <c r="D13" s="328"/>
      <c r="E13" s="328"/>
      <c r="F13" s="329"/>
      <c r="G13" s="735"/>
      <c r="H13" s="735"/>
      <c r="I13" s="735"/>
      <c r="J13" s="738"/>
      <c r="K13" s="739"/>
      <c r="L13" s="358"/>
      <c r="M13" s="398" t="s">
        <v>263</v>
      </c>
    </row>
    <row r="14" spans="1:13" s="18" customFormat="1" ht="16.5" customHeight="1">
      <c r="A14" s="332" t="s">
        <v>111</v>
      </c>
      <c r="B14" s="327" t="s">
        <v>112</v>
      </c>
      <c r="C14" s="328"/>
      <c r="D14" s="328"/>
      <c r="E14" s="328"/>
      <c r="F14" s="329"/>
      <c r="G14" s="735"/>
      <c r="H14" s="735"/>
      <c r="I14" s="735"/>
      <c r="J14" s="736"/>
      <c r="K14" s="737"/>
      <c r="L14" s="468"/>
      <c r="M14" s="398" t="s">
        <v>263</v>
      </c>
    </row>
    <row r="15" spans="1:13" s="326" customFormat="1" ht="16.5" customHeight="1">
      <c r="A15" s="441" t="s">
        <v>276</v>
      </c>
      <c r="B15" s="357" t="s">
        <v>352</v>
      </c>
      <c r="C15" s="328"/>
      <c r="D15" s="328"/>
      <c r="E15" s="328"/>
      <c r="F15" s="329"/>
      <c r="G15" s="735"/>
      <c r="H15" s="735"/>
      <c r="I15" s="735"/>
      <c r="J15" s="736"/>
      <c r="K15" s="737"/>
      <c r="L15" s="468"/>
      <c r="M15" s="398"/>
    </row>
    <row r="16" spans="1:13" s="18" customFormat="1" ht="16.2" customHeight="1">
      <c r="A16" s="332">
        <v>801</v>
      </c>
      <c r="B16" s="327" t="s">
        <v>510</v>
      </c>
      <c r="C16" s="328"/>
      <c r="D16" s="328"/>
      <c r="E16" s="328"/>
      <c r="F16" s="329"/>
      <c r="G16" s="735"/>
      <c r="H16" s="735"/>
      <c r="I16" s="735"/>
      <c r="J16" s="736"/>
      <c r="K16" s="737"/>
      <c r="L16" s="468"/>
      <c r="M16" s="398" t="s">
        <v>331</v>
      </c>
    </row>
    <row r="17" spans="1:13" s="326" customFormat="1" ht="16.5" customHeight="1">
      <c r="A17" s="395">
        <v>1018</v>
      </c>
      <c r="B17" s="544" t="s">
        <v>417</v>
      </c>
      <c r="C17" s="545"/>
      <c r="D17" s="328"/>
      <c r="E17" s="328"/>
      <c r="F17" s="329"/>
      <c r="G17" s="735"/>
      <c r="H17" s="735"/>
      <c r="I17" s="735"/>
      <c r="J17" s="738"/>
      <c r="K17" s="739"/>
      <c r="L17" s="357"/>
      <c r="M17" s="398" t="s">
        <v>331</v>
      </c>
    </row>
    <row r="18" spans="1:13" s="18" customFormat="1" ht="16.5" customHeight="1">
      <c r="A18" s="345">
        <v>1003</v>
      </c>
      <c r="B18" s="330" t="s">
        <v>511</v>
      </c>
      <c r="C18" s="344"/>
      <c r="D18" s="343"/>
      <c r="E18" s="343"/>
      <c r="F18" s="344"/>
      <c r="G18" s="735"/>
      <c r="H18" s="735"/>
      <c r="I18" s="735"/>
      <c r="J18" s="747"/>
      <c r="K18" s="748"/>
      <c r="L18" s="468"/>
      <c r="M18" s="398" t="s">
        <v>331</v>
      </c>
    </row>
    <row r="19" spans="1:13" s="326" customFormat="1" ht="16.5" customHeight="1">
      <c r="A19" s="345">
        <v>1032</v>
      </c>
      <c r="B19" s="330" t="s">
        <v>419</v>
      </c>
      <c r="C19" s="344"/>
      <c r="D19" s="343"/>
      <c r="E19" s="343"/>
      <c r="F19" s="344"/>
      <c r="G19" s="735"/>
      <c r="H19" s="735"/>
      <c r="I19" s="735"/>
      <c r="J19" s="747"/>
      <c r="K19" s="748"/>
      <c r="L19" s="468"/>
      <c r="M19" s="398" t="s">
        <v>331</v>
      </c>
    </row>
    <row r="20" spans="1:13" s="326" customFormat="1" ht="16.5" customHeight="1">
      <c r="A20" s="332">
        <v>1002</v>
      </c>
      <c r="B20" s="686" t="s">
        <v>368</v>
      </c>
      <c r="C20" s="687"/>
      <c r="D20" s="687"/>
      <c r="E20" s="687"/>
      <c r="F20" s="688"/>
      <c r="G20" s="735"/>
      <c r="H20" s="735"/>
      <c r="I20" s="735"/>
      <c r="J20" s="747"/>
      <c r="K20" s="748"/>
      <c r="L20" s="468"/>
      <c r="M20" s="398" t="s">
        <v>333</v>
      </c>
    </row>
    <row r="21" spans="1:13" s="18" customFormat="1" ht="16.5" customHeight="1">
      <c r="A21" s="332" t="s">
        <v>507</v>
      </c>
      <c r="B21" s="330" t="s">
        <v>512</v>
      </c>
      <c r="C21" s="329"/>
      <c r="D21" s="343"/>
      <c r="E21" s="343"/>
      <c r="F21" s="344"/>
      <c r="G21" s="735"/>
      <c r="H21" s="735"/>
      <c r="I21" s="735"/>
      <c r="J21" s="747"/>
      <c r="K21" s="748"/>
      <c r="L21" s="468"/>
      <c r="M21" s="398" t="s">
        <v>369</v>
      </c>
    </row>
    <row r="22" spans="1:13" s="326" customFormat="1" ht="16.5" customHeight="1">
      <c r="A22" s="332">
        <v>1007</v>
      </c>
      <c r="B22" s="330" t="s">
        <v>364</v>
      </c>
      <c r="C22" s="329"/>
      <c r="D22" s="343"/>
      <c r="E22" s="343"/>
      <c r="F22" s="344"/>
      <c r="G22" s="735"/>
      <c r="H22" s="735"/>
      <c r="I22" s="735"/>
      <c r="J22" s="747"/>
      <c r="K22" s="748"/>
      <c r="L22" s="468"/>
      <c r="M22" s="398" t="s">
        <v>331</v>
      </c>
    </row>
    <row r="23" spans="1:13" s="18" customFormat="1" ht="16.5" customHeight="1">
      <c r="A23" s="332">
        <v>1012</v>
      </c>
      <c r="B23" s="330" t="s">
        <v>513</v>
      </c>
      <c r="C23" s="329"/>
      <c r="D23" s="343"/>
      <c r="E23" s="343"/>
      <c r="F23" s="344"/>
      <c r="G23" s="735"/>
      <c r="H23" s="735"/>
      <c r="I23" s="735"/>
      <c r="J23" s="747"/>
      <c r="K23" s="748"/>
      <c r="L23" s="468"/>
      <c r="M23" s="398" t="s">
        <v>333</v>
      </c>
    </row>
    <row r="24" spans="1:13" s="326" customFormat="1" ht="16.5" customHeight="1">
      <c r="A24" s="395">
        <v>1014</v>
      </c>
      <c r="B24" s="432" t="s">
        <v>324</v>
      </c>
      <c r="C24" s="394"/>
      <c r="D24" s="343"/>
      <c r="E24" s="343"/>
      <c r="F24" s="344"/>
      <c r="G24" s="735"/>
      <c r="H24" s="735"/>
      <c r="I24" s="735"/>
      <c r="J24" s="747"/>
      <c r="K24" s="748"/>
      <c r="L24" s="333"/>
      <c r="M24" s="398" t="s">
        <v>331</v>
      </c>
    </row>
    <row r="25" spans="1:13" s="18" customFormat="1" ht="16.5" customHeight="1">
      <c r="A25" s="332" t="s">
        <v>508</v>
      </c>
      <c r="B25" s="686" t="s">
        <v>514</v>
      </c>
      <c r="C25" s="687"/>
      <c r="D25" s="687"/>
      <c r="E25" s="687"/>
      <c r="F25" s="688"/>
      <c r="G25" s="735"/>
      <c r="H25" s="735"/>
      <c r="I25" s="735"/>
      <c r="J25" s="747"/>
      <c r="K25" s="748"/>
      <c r="L25" s="333"/>
      <c r="M25" s="398" t="s">
        <v>331</v>
      </c>
    </row>
    <row r="26" spans="1:13" s="326" customFormat="1" ht="16.5" customHeight="1">
      <c r="A26" s="395" t="s">
        <v>509</v>
      </c>
      <c r="B26" s="775" t="s">
        <v>515</v>
      </c>
      <c r="C26" s="776"/>
      <c r="D26" s="776"/>
      <c r="E26" s="776"/>
      <c r="F26" s="777"/>
      <c r="G26" s="735"/>
      <c r="H26" s="735"/>
      <c r="I26" s="735"/>
      <c r="J26" s="747"/>
      <c r="K26" s="748"/>
      <c r="L26" s="333"/>
      <c r="M26" s="398" t="s">
        <v>331</v>
      </c>
    </row>
    <row r="27" spans="1:13" s="18" customFormat="1" ht="16.5" customHeight="1">
      <c r="A27" s="332">
        <v>1100</v>
      </c>
      <c r="B27" s="785" t="s">
        <v>325</v>
      </c>
      <c r="C27" s="786"/>
      <c r="D27" s="786"/>
      <c r="E27" s="786"/>
      <c r="F27" s="787"/>
      <c r="G27" s="735"/>
      <c r="H27" s="735"/>
      <c r="I27" s="735"/>
      <c r="J27" s="747"/>
      <c r="K27" s="748"/>
      <c r="L27" s="333"/>
      <c r="M27" s="398" t="s">
        <v>263</v>
      </c>
    </row>
    <row r="28" spans="1:13" s="326" customFormat="1" ht="16.5" customHeight="1">
      <c r="A28" s="395">
        <v>1101</v>
      </c>
      <c r="B28" s="432" t="s">
        <v>326</v>
      </c>
      <c r="C28" s="394"/>
      <c r="D28" s="343"/>
      <c r="E28" s="343"/>
      <c r="F28" s="344"/>
      <c r="G28" s="735"/>
      <c r="H28" s="735"/>
      <c r="I28" s="735"/>
      <c r="J28" s="747"/>
      <c r="K28" s="748"/>
      <c r="L28" s="333"/>
      <c r="M28" s="398" t="s">
        <v>263</v>
      </c>
    </row>
    <row r="29" spans="1:13" s="18" customFormat="1" ht="16.5" customHeight="1">
      <c r="A29" s="707">
        <v>1102</v>
      </c>
      <c r="B29" s="432" t="s">
        <v>493</v>
      </c>
      <c r="C29" s="394"/>
      <c r="D29" s="343"/>
      <c r="E29" s="343"/>
      <c r="F29" s="344"/>
      <c r="G29" s="735"/>
      <c r="H29" s="735"/>
      <c r="I29" s="735"/>
      <c r="J29" s="747"/>
      <c r="K29" s="748"/>
      <c r="L29" s="333"/>
      <c r="M29" s="823" t="s">
        <v>333</v>
      </c>
    </row>
    <row r="30" spans="1:13" s="18" customFormat="1" ht="16.5" customHeight="1">
      <c r="A30" s="708"/>
      <c r="B30" s="432" t="s">
        <v>494</v>
      </c>
      <c r="C30" s="394"/>
      <c r="D30" s="343"/>
      <c r="E30" s="343"/>
      <c r="F30" s="344"/>
      <c r="G30" s="752"/>
      <c r="H30" s="753"/>
      <c r="I30" s="754"/>
      <c r="J30" s="468"/>
      <c r="K30" s="469"/>
      <c r="L30" s="333"/>
      <c r="M30" s="824"/>
    </row>
    <row r="31" spans="1:13" s="326" customFormat="1" ht="16.5" customHeight="1">
      <c r="A31" s="332">
        <v>1103</v>
      </c>
      <c r="B31" s="330" t="s">
        <v>328</v>
      </c>
      <c r="C31" s="329"/>
      <c r="D31" s="343"/>
      <c r="E31" s="343"/>
      <c r="F31" s="344"/>
      <c r="G31" s="735"/>
      <c r="H31" s="735"/>
      <c r="I31" s="735"/>
      <c r="J31" s="747"/>
      <c r="K31" s="748"/>
      <c r="L31" s="333"/>
      <c r="M31" s="398" t="s">
        <v>263</v>
      </c>
    </row>
    <row r="32" spans="1:13" s="326" customFormat="1" ht="16.5" customHeight="1">
      <c r="A32" s="332">
        <v>1105</v>
      </c>
      <c r="B32" s="330" t="s">
        <v>516</v>
      </c>
      <c r="C32" s="329"/>
      <c r="D32" s="343"/>
      <c r="E32" s="343"/>
      <c r="F32" s="344"/>
      <c r="G32" s="752"/>
      <c r="H32" s="753"/>
      <c r="I32" s="754"/>
      <c r="J32" s="747"/>
      <c r="K32" s="748"/>
      <c r="L32" s="333"/>
      <c r="M32" s="398" t="s">
        <v>332</v>
      </c>
    </row>
    <row r="33" spans="1:13" s="326" customFormat="1" ht="16.5" customHeight="1">
      <c r="A33" s="332">
        <v>1200</v>
      </c>
      <c r="B33" s="330" t="s">
        <v>517</v>
      </c>
      <c r="C33" s="329"/>
      <c r="D33" s="343"/>
      <c r="E33" s="343"/>
      <c r="F33" s="344"/>
      <c r="G33" s="752"/>
      <c r="H33" s="753"/>
      <c r="I33" s="754"/>
      <c r="J33" s="747"/>
      <c r="K33" s="748"/>
      <c r="L33" s="333"/>
      <c r="M33" s="398" t="s">
        <v>332</v>
      </c>
    </row>
    <row r="34" spans="1:13" s="326" customFormat="1" ht="16.5" customHeight="1">
      <c r="A34" s="395">
        <v>1208</v>
      </c>
      <c r="B34" s="432" t="s">
        <v>518</v>
      </c>
      <c r="C34" s="394"/>
      <c r="D34" s="343"/>
      <c r="E34" s="343"/>
      <c r="F34" s="344"/>
      <c r="G34" s="752"/>
      <c r="H34" s="753"/>
      <c r="I34" s="754"/>
      <c r="J34" s="747"/>
      <c r="K34" s="748"/>
      <c r="L34" s="333"/>
      <c r="M34" s="398" t="s">
        <v>332</v>
      </c>
    </row>
    <row r="35" spans="1:13" s="326" customFormat="1" ht="16.5" customHeight="1">
      <c r="A35" s="332"/>
      <c r="B35" s="825"/>
      <c r="C35" s="826"/>
      <c r="D35" s="826"/>
      <c r="E35" s="826"/>
      <c r="F35" s="827"/>
      <c r="G35" s="470"/>
      <c r="H35" s="471"/>
      <c r="I35" s="472"/>
      <c r="J35" s="468"/>
      <c r="K35" s="469"/>
      <c r="L35" s="333"/>
      <c r="M35" s="398"/>
    </row>
    <row r="36" spans="1:13" s="326" customFormat="1" ht="16.5" customHeight="1">
      <c r="A36" s="332"/>
      <c r="B36" s="825"/>
      <c r="C36" s="826"/>
      <c r="D36" s="826"/>
      <c r="E36" s="826"/>
      <c r="F36" s="827"/>
      <c r="G36" s="752"/>
      <c r="H36" s="753"/>
      <c r="I36" s="754"/>
      <c r="J36" s="747"/>
      <c r="K36" s="748"/>
      <c r="L36" s="333"/>
      <c r="M36" s="398"/>
    </row>
    <row r="37" spans="1:13" s="326" customFormat="1" ht="16.5" customHeight="1">
      <c r="A37" s="395"/>
      <c r="B37" s="825"/>
      <c r="C37" s="826"/>
      <c r="D37" s="826"/>
      <c r="E37" s="826"/>
      <c r="F37" s="827"/>
      <c r="G37" s="470"/>
      <c r="H37" s="471"/>
      <c r="I37" s="472"/>
      <c r="J37" s="468"/>
      <c r="K37" s="469"/>
      <c r="L37" s="333"/>
      <c r="M37" s="398"/>
    </row>
    <row r="38" spans="1:13" s="326" customFormat="1" ht="16.5" customHeight="1">
      <c r="A38" s="332"/>
      <c r="B38" s="825"/>
      <c r="C38" s="826"/>
      <c r="D38" s="826"/>
      <c r="E38" s="826"/>
      <c r="F38" s="827"/>
      <c r="G38" s="470"/>
      <c r="H38" s="471"/>
      <c r="I38" s="472"/>
      <c r="J38" s="468"/>
      <c r="K38" s="469"/>
      <c r="L38" s="333"/>
      <c r="M38" s="398"/>
    </row>
    <row r="39" spans="1:13" s="326" customFormat="1" ht="16.5" customHeight="1">
      <c r="A39" s="332"/>
      <c r="B39" s="825"/>
      <c r="C39" s="826"/>
      <c r="D39" s="826"/>
      <c r="E39" s="826"/>
      <c r="F39" s="827"/>
      <c r="G39" s="470"/>
      <c r="H39" s="471"/>
      <c r="I39" s="472"/>
      <c r="J39" s="468"/>
      <c r="K39" s="469"/>
      <c r="L39" s="333"/>
      <c r="M39" s="398"/>
    </row>
    <row r="40" spans="1:13" s="326" customFormat="1" ht="16.5" customHeight="1">
      <c r="A40" s="332"/>
      <c r="B40" s="825"/>
      <c r="C40" s="826"/>
      <c r="D40" s="826"/>
      <c r="E40" s="826"/>
      <c r="F40" s="827"/>
      <c r="G40" s="470"/>
      <c r="H40" s="471"/>
      <c r="I40" s="472"/>
      <c r="J40" s="468"/>
      <c r="K40" s="469"/>
      <c r="L40" s="333"/>
      <c r="M40" s="398"/>
    </row>
    <row r="41" spans="1:13" s="326" customFormat="1" ht="16.5" customHeight="1">
      <c r="A41" s="332"/>
      <c r="B41" s="825"/>
      <c r="C41" s="826"/>
      <c r="D41" s="826"/>
      <c r="E41" s="826"/>
      <c r="F41" s="827"/>
      <c r="G41" s="470"/>
      <c r="H41" s="471"/>
      <c r="I41" s="472"/>
      <c r="J41" s="747"/>
      <c r="K41" s="748"/>
      <c r="L41" s="333"/>
      <c r="M41" s="398"/>
    </row>
    <row r="42" spans="1:13" s="326" customFormat="1" ht="16.5" customHeight="1">
      <c r="A42" s="395"/>
      <c r="B42" s="825"/>
      <c r="C42" s="826"/>
      <c r="D42" s="826"/>
      <c r="E42" s="826"/>
      <c r="F42" s="827"/>
      <c r="G42" s="470"/>
      <c r="H42" s="471"/>
      <c r="I42" s="472"/>
      <c r="J42" s="747"/>
      <c r="K42" s="748"/>
      <c r="L42" s="333"/>
      <c r="M42" s="398"/>
    </row>
    <row r="43" spans="1:13" s="18" customFormat="1" ht="16.5" customHeight="1" thickBot="1">
      <c r="A43" s="346"/>
      <c r="B43" s="800"/>
      <c r="C43" s="801"/>
      <c r="D43" s="801"/>
      <c r="E43" s="801"/>
      <c r="F43" s="802"/>
      <c r="G43" s="757"/>
      <c r="H43" s="757"/>
      <c r="I43" s="757"/>
      <c r="J43" s="758"/>
      <c r="K43" s="759"/>
      <c r="L43" s="350"/>
      <c r="M43" s="399"/>
    </row>
    <row r="44" spans="1:13" s="18" customFormat="1" ht="16.5" customHeight="1">
      <c r="A44" s="454"/>
      <c r="B44" s="566"/>
      <c r="C44" s="566"/>
      <c r="D44" s="566"/>
      <c r="E44" s="566"/>
      <c r="F44" s="566"/>
      <c r="G44" s="454"/>
      <c r="H44" s="41"/>
      <c r="I44" s="41"/>
      <c r="J44" s="42"/>
      <c r="K44" s="42"/>
      <c r="L44" s="43"/>
      <c r="M44" s="3"/>
    </row>
    <row r="45" spans="1:13" s="18" customFormat="1" ht="16.5" customHeight="1">
      <c r="A45" s="26" t="s">
        <v>23</v>
      </c>
      <c r="B45" s="456"/>
      <c r="C45" s="456"/>
      <c r="D45" s="456"/>
      <c r="E45" s="456"/>
      <c r="F45" s="17"/>
      <c r="G45" s="17"/>
      <c r="H45" s="17"/>
      <c r="I45" s="17"/>
      <c r="J45" s="17"/>
      <c r="K45" s="17"/>
      <c r="L45" s="3"/>
      <c r="M45" s="3"/>
    </row>
    <row r="46" spans="1:13" s="25" customFormat="1" ht="16.5" customHeight="1">
      <c r="A46" s="19" t="s">
        <v>13</v>
      </c>
      <c r="B46" s="567" t="s">
        <v>14</v>
      </c>
      <c r="C46" s="567"/>
      <c r="D46" s="567"/>
      <c r="E46" s="567"/>
      <c r="F46" s="567"/>
      <c r="G46" s="568" t="s">
        <v>24</v>
      </c>
      <c r="H46" s="568"/>
      <c r="I46" s="455" t="s">
        <v>17</v>
      </c>
      <c r="J46" s="733" t="s">
        <v>25</v>
      </c>
      <c r="K46" s="734"/>
      <c r="L46" s="450" t="s">
        <v>26</v>
      </c>
      <c r="M46" s="450" t="s">
        <v>27</v>
      </c>
    </row>
    <row r="47" spans="1:13" s="18" customFormat="1" ht="16.5" customHeight="1">
      <c r="A47" s="317"/>
      <c r="B47" s="563"/>
      <c r="C47" s="563"/>
      <c r="D47" s="563"/>
      <c r="E47" s="563"/>
      <c r="F47" s="563"/>
      <c r="G47" s="564"/>
      <c r="H47" s="564"/>
      <c r="I47" s="453"/>
      <c r="J47" s="755"/>
      <c r="K47" s="756"/>
      <c r="L47" s="460"/>
      <c r="M47" s="460"/>
    </row>
    <row r="48" spans="1:13" s="52" customFormat="1" ht="16.5" customHeight="1">
      <c r="A48" s="452"/>
      <c r="B48" s="563"/>
      <c r="C48" s="563"/>
      <c r="D48" s="563"/>
      <c r="E48" s="563"/>
      <c r="F48" s="563"/>
      <c r="G48" s="564"/>
      <c r="H48" s="564"/>
      <c r="I48" s="453"/>
      <c r="J48" s="755"/>
      <c r="K48" s="756"/>
      <c r="L48" s="460"/>
      <c r="M48" s="460"/>
    </row>
    <row r="49" spans="1:13" s="52" customFormat="1" ht="16.5" customHeight="1">
      <c r="A49" s="452"/>
      <c r="B49" s="563"/>
      <c r="C49" s="563"/>
      <c r="D49" s="563"/>
      <c r="E49" s="563"/>
      <c r="F49" s="563"/>
      <c r="G49" s="564"/>
      <c r="H49" s="564"/>
      <c r="I49" s="453"/>
      <c r="J49" s="755"/>
      <c r="K49" s="756"/>
      <c r="L49" s="460"/>
      <c r="M49" s="460"/>
    </row>
    <row r="50" spans="1:13" s="52" customFormat="1" ht="16.5" customHeight="1">
      <c r="A50" s="452"/>
      <c r="B50" s="563"/>
      <c r="C50" s="563"/>
      <c r="D50" s="563"/>
      <c r="E50" s="563"/>
      <c r="F50" s="563"/>
      <c r="G50" s="564"/>
      <c r="H50" s="564"/>
      <c r="I50" s="453"/>
      <c r="J50" s="755"/>
      <c r="K50" s="756"/>
      <c r="L50" s="460"/>
      <c r="M50" s="460"/>
    </row>
    <row r="51" spans="1:13" s="52" customFormat="1" ht="16.5" customHeight="1">
      <c r="A51" s="32"/>
      <c r="B51" s="565"/>
      <c r="C51" s="565"/>
      <c r="D51" s="565"/>
      <c r="E51" s="565"/>
      <c r="F51" s="565"/>
      <c r="G51" s="565"/>
      <c r="H51" s="565"/>
      <c r="I51" s="565"/>
      <c r="J51" s="17"/>
      <c r="K51" s="17"/>
      <c r="L51" s="3"/>
      <c r="M51" s="3"/>
    </row>
    <row r="52" spans="1:13" s="51" customFormat="1" ht="16.5" customHeight="1">
      <c r="A52" s="34" t="s">
        <v>28</v>
      </c>
      <c r="B52" s="34"/>
      <c r="C52" s="34"/>
      <c r="D52" s="34"/>
      <c r="E52" s="34"/>
      <c r="F52" s="17"/>
      <c r="G52" s="38"/>
      <c r="H52" s="36" t="s">
        <v>29</v>
      </c>
      <c r="I52" s="34"/>
      <c r="J52" s="34"/>
      <c r="K52" s="34"/>
      <c r="L52" s="34"/>
      <c r="M52" s="34"/>
    </row>
    <row r="53" spans="1:13" s="51" customFormat="1" ht="16.5" customHeight="1">
      <c r="A53" s="569"/>
      <c r="B53" s="569"/>
      <c r="C53" s="569"/>
      <c r="D53" s="569"/>
      <c r="E53" s="569"/>
      <c r="F53" s="569"/>
      <c r="G53" s="457"/>
      <c r="H53" s="569"/>
      <c r="I53" s="569"/>
      <c r="J53" s="569"/>
      <c r="K53" s="569"/>
      <c r="L53" s="569"/>
      <c r="M53" s="569"/>
    </row>
    <row r="54" spans="1:13" s="51" customFormat="1" ht="16.5" customHeight="1">
      <c r="A54" s="571"/>
      <c r="B54" s="571"/>
      <c r="C54" s="571"/>
      <c r="D54" s="571"/>
      <c r="E54" s="571"/>
      <c r="F54" s="571"/>
      <c r="G54" s="457"/>
      <c r="H54" s="571"/>
      <c r="I54" s="571"/>
      <c r="J54" s="571"/>
      <c r="K54" s="571"/>
      <c r="L54" s="571"/>
      <c r="M54" s="571"/>
    </row>
    <row r="55" spans="1:13" s="51" customFormat="1" ht="16.5" customHeight="1">
      <c r="A55" s="571"/>
      <c r="B55" s="571"/>
      <c r="C55" s="571"/>
      <c r="D55" s="571"/>
      <c r="E55" s="571"/>
      <c r="F55" s="571"/>
      <c r="G55" s="57"/>
      <c r="H55" s="569"/>
      <c r="I55" s="569"/>
      <c r="J55" s="569"/>
      <c r="K55" s="569"/>
      <c r="L55" s="569"/>
      <c r="M55" s="569"/>
    </row>
    <row r="56" spans="1:13" s="51" customFormat="1" ht="16.5" customHeight="1">
      <c r="A56" s="569"/>
      <c r="B56" s="569"/>
      <c r="C56" s="569"/>
      <c r="D56" s="569"/>
      <c r="E56" s="569"/>
      <c r="F56" s="569"/>
      <c r="G56" s="57"/>
      <c r="H56" s="569"/>
      <c r="I56" s="569"/>
      <c r="J56" s="569"/>
      <c r="K56" s="569"/>
      <c r="L56" s="569"/>
      <c r="M56" s="569"/>
    </row>
    <row r="57" spans="1:13" s="51" customFormat="1" ht="16.5" customHeight="1">
      <c r="A57" s="570"/>
      <c r="B57" s="570"/>
      <c r="C57" s="570"/>
      <c r="D57" s="570"/>
      <c r="E57" s="570"/>
      <c r="F57" s="570"/>
      <c r="G57" s="39"/>
      <c r="H57" s="569"/>
      <c r="I57" s="569"/>
      <c r="J57" s="569"/>
      <c r="K57" s="569"/>
      <c r="L57" s="569"/>
      <c r="M57" s="569"/>
    </row>
    <row r="58" spans="1:13" s="3" customFormat="1" ht="16.5" customHeight="1">
      <c r="A58" s="571"/>
      <c r="B58" s="571"/>
      <c r="C58" s="571"/>
      <c r="D58" s="571"/>
      <c r="E58" s="571"/>
      <c r="F58" s="571"/>
      <c r="G58" s="457"/>
      <c r="H58" s="569"/>
      <c r="I58" s="569"/>
      <c r="J58" s="569"/>
      <c r="K58" s="569"/>
      <c r="L58" s="569"/>
      <c r="M58" s="569"/>
    </row>
    <row r="59" spans="1:13" s="3" customFormat="1" ht="16.5" customHeight="1">
      <c r="A59" s="571"/>
      <c r="B59" s="571"/>
      <c r="C59" s="571"/>
      <c r="D59" s="571"/>
      <c r="E59" s="571"/>
      <c r="F59" s="571"/>
      <c r="G59" s="57"/>
      <c r="H59" s="569"/>
      <c r="I59" s="569"/>
      <c r="J59" s="569"/>
      <c r="K59" s="569"/>
      <c r="L59" s="569"/>
      <c r="M59" s="569"/>
    </row>
    <row r="60" spans="1:13" s="3" customFormat="1" ht="16.5" customHeight="1">
      <c r="A60" s="571"/>
      <c r="B60" s="571"/>
      <c r="C60" s="571"/>
      <c r="D60" s="571"/>
      <c r="E60" s="571"/>
      <c r="F60" s="571"/>
      <c r="G60" s="457"/>
      <c r="H60" s="569"/>
      <c r="I60" s="569"/>
      <c r="J60" s="569"/>
      <c r="K60" s="569"/>
      <c r="L60" s="569"/>
      <c r="M60" s="569"/>
    </row>
    <row r="61" spans="1:13" s="3" customFormat="1" ht="16.5" customHeight="1">
      <c r="A61" s="571"/>
      <c r="B61" s="571"/>
      <c r="C61" s="571"/>
      <c r="D61" s="571"/>
      <c r="E61" s="571"/>
      <c r="F61" s="571"/>
      <c r="G61" s="457"/>
      <c r="H61" s="569"/>
      <c r="I61" s="569"/>
      <c r="J61" s="569"/>
      <c r="K61" s="569"/>
      <c r="L61" s="569"/>
      <c r="M61" s="569"/>
    </row>
    <row r="62" spans="1:13" s="3" customFormat="1" ht="16.5" customHeight="1">
      <c r="A62" s="571"/>
      <c r="B62" s="571"/>
      <c r="C62" s="571"/>
      <c r="D62" s="571"/>
      <c r="E62" s="571"/>
      <c r="F62" s="571"/>
      <c r="G62" s="57"/>
      <c r="H62" s="569"/>
      <c r="I62" s="569"/>
      <c r="J62" s="569"/>
      <c r="K62" s="569"/>
      <c r="L62" s="569"/>
      <c r="M62" s="569"/>
    </row>
    <row r="63" spans="1:13" s="3" customFormat="1" ht="16.5" customHeight="1">
      <c r="A63" s="572"/>
      <c r="B63" s="572"/>
      <c r="C63" s="572"/>
      <c r="D63" s="572"/>
      <c r="E63" s="572"/>
      <c r="F63" s="572"/>
      <c r="G63" s="57"/>
      <c r="H63" s="572"/>
      <c r="I63" s="572"/>
      <c r="J63" s="572"/>
      <c r="K63" s="572"/>
      <c r="L63" s="572"/>
      <c r="M63" s="572"/>
    </row>
    <row r="64" spans="1:13" s="3" customFormat="1" ht="16.5" customHeight="1">
      <c r="A64" s="70" t="s">
        <v>34</v>
      </c>
      <c r="B64" s="5"/>
      <c r="C64" s="4"/>
      <c r="H64" s="760" t="s">
        <v>35</v>
      </c>
      <c r="I64" s="761"/>
      <c r="J64" s="761"/>
      <c r="K64" s="762"/>
      <c r="L64" s="573" t="s">
        <v>36</v>
      </c>
      <c r="M64" s="573"/>
    </row>
    <row r="65" spans="1:13" s="3" customFormat="1" ht="16.5" customHeight="1">
      <c r="A65" s="576"/>
      <c r="B65" s="576"/>
      <c r="C65" s="576"/>
      <c r="D65" s="576"/>
      <c r="E65" s="576"/>
      <c r="F65" s="576"/>
      <c r="G65" s="71"/>
      <c r="H65" s="577" t="s">
        <v>14</v>
      </c>
      <c r="I65" s="577"/>
      <c r="J65" s="763" t="s">
        <v>24</v>
      </c>
      <c r="K65" s="764"/>
      <c r="L65" s="461" t="s">
        <v>14</v>
      </c>
      <c r="M65" s="461" t="s">
        <v>24</v>
      </c>
    </row>
    <row r="66" spans="1:13" s="3" customFormat="1" ht="16.5" customHeight="1">
      <c r="A66" s="576"/>
      <c r="B66" s="576"/>
      <c r="C66" s="576"/>
      <c r="D66" s="576"/>
      <c r="E66" s="576"/>
      <c r="F66" s="576"/>
      <c r="G66" s="72"/>
      <c r="H66" s="575"/>
      <c r="I66" s="575"/>
      <c r="J66" s="765"/>
      <c r="K66" s="766"/>
      <c r="L66" s="76"/>
      <c r="M66" s="460"/>
    </row>
    <row r="67" spans="1:13" s="3" customFormat="1" ht="16.5" customHeight="1">
      <c r="A67" s="459"/>
      <c r="B67" s="459"/>
      <c r="C67" s="459"/>
      <c r="D67" s="459"/>
      <c r="E67" s="459"/>
      <c r="F67" s="459"/>
      <c r="G67" s="72"/>
      <c r="H67" s="575"/>
      <c r="I67" s="575"/>
      <c r="J67" s="765"/>
      <c r="K67" s="766"/>
      <c r="L67" s="76"/>
      <c r="M67" s="460"/>
    </row>
    <row r="68" spans="1:13" s="3" customFormat="1" ht="16.5" customHeight="1">
      <c r="A68" s="574"/>
      <c r="B68" s="574"/>
      <c r="C68" s="574"/>
      <c r="D68" s="574"/>
      <c r="E68" s="574"/>
      <c r="F68" s="574"/>
      <c r="G68" s="72"/>
      <c r="H68" s="575"/>
      <c r="I68" s="575"/>
      <c r="J68" s="765"/>
      <c r="K68" s="766"/>
      <c r="L68" s="76"/>
      <c r="M68" s="460"/>
    </row>
    <row r="69" spans="1:13" s="3" customFormat="1" ht="16.5" customHeight="1">
      <c r="A69" s="767"/>
      <c r="B69" s="767"/>
      <c r="C69" s="767"/>
      <c r="D69" s="767"/>
      <c r="E69" s="767"/>
      <c r="F69" s="767"/>
      <c r="G69" s="72"/>
      <c r="H69" s="765"/>
      <c r="I69" s="766"/>
      <c r="J69" s="765"/>
      <c r="K69" s="766"/>
      <c r="L69" s="76"/>
      <c r="M69" s="460"/>
    </row>
    <row r="70" spans="1:13" s="3" customFormat="1" ht="16.5" customHeight="1">
      <c r="A70" s="767"/>
      <c r="B70" s="767"/>
      <c r="C70" s="767"/>
      <c r="D70" s="767"/>
      <c r="E70" s="767"/>
      <c r="F70" s="767"/>
      <c r="G70" s="72"/>
      <c r="H70" s="765"/>
      <c r="I70" s="766"/>
      <c r="J70" s="765"/>
      <c r="K70" s="766"/>
      <c r="L70" s="77"/>
      <c r="M70" s="460"/>
    </row>
    <row r="71" spans="1:13" s="3" customFormat="1" ht="70.8" customHeight="1">
      <c r="A71" s="767"/>
      <c r="B71" s="767"/>
      <c r="C71" s="767"/>
      <c r="D71" s="767"/>
      <c r="E71" s="767"/>
      <c r="F71" s="767"/>
      <c r="G71" s="72"/>
      <c r="H71" s="765"/>
      <c r="I71" s="766"/>
      <c r="J71" s="765"/>
      <c r="K71" s="766"/>
      <c r="M71" s="73"/>
    </row>
    <row r="72" spans="1:13" s="3" customFormat="1" ht="16.5" customHeight="1">
      <c r="A72" s="574"/>
      <c r="B72" s="574"/>
      <c r="C72" s="574"/>
      <c r="D72" s="574"/>
      <c r="E72" s="574"/>
      <c r="F72" s="574"/>
      <c r="G72" s="72"/>
      <c r="H72" s="575"/>
      <c r="I72" s="575"/>
      <c r="J72" s="765"/>
      <c r="K72" s="766"/>
      <c r="L72" s="77"/>
      <c r="M72" s="73"/>
    </row>
    <row r="73" spans="1:13" s="3" customFormat="1" ht="16.5" customHeight="1">
      <c r="A73" s="574"/>
      <c r="B73" s="574"/>
      <c r="C73" s="574"/>
      <c r="D73" s="574"/>
      <c r="E73" s="574"/>
      <c r="F73" s="574"/>
      <c r="G73" s="72"/>
      <c r="H73" s="575"/>
      <c r="I73" s="575"/>
      <c r="J73" s="765"/>
      <c r="K73" s="766"/>
      <c r="L73" s="77"/>
      <c r="M73" s="73"/>
    </row>
    <row r="74" spans="1:13" s="3" customFormat="1" ht="16.5" customHeight="1">
      <c r="A74" s="574"/>
      <c r="B74" s="574"/>
      <c r="C74" s="574"/>
      <c r="D74" s="574"/>
      <c r="E74" s="574"/>
      <c r="F74" s="574"/>
      <c r="G74" s="72"/>
      <c r="H74" s="575"/>
      <c r="I74" s="575"/>
      <c r="J74" s="765"/>
      <c r="K74" s="766"/>
      <c r="L74" s="77"/>
      <c r="M74" s="73"/>
    </row>
    <row r="75" spans="1:13" s="3" customFormat="1" ht="16.5" customHeight="1">
      <c r="A75" s="574"/>
      <c r="B75" s="574"/>
      <c r="C75" s="574"/>
      <c r="D75" s="574"/>
      <c r="E75" s="574"/>
      <c r="F75" s="574"/>
      <c r="G75" s="72"/>
      <c r="H75" s="575"/>
      <c r="I75" s="575"/>
      <c r="J75" s="765"/>
      <c r="K75" s="766"/>
      <c r="L75" s="77"/>
      <c r="M75" s="73"/>
    </row>
    <row r="76" spans="1:13" s="3" customFormat="1" ht="16.5" customHeight="1">
      <c r="A76" s="45"/>
      <c r="B76" s="46"/>
      <c r="C76" s="46"/>
      <c r="D76" s="46"/>
      <c r="E76" s="44"/>
      <c r="F76" s="46"/>
      <c r="G76" s="46"/>
      <c r="H76" s="46"/>
      <c r="I76" s="46"/>
      <c r="J76" s="46"/>
      <c r="K76" s="46"/>
      <c r="L76" s="47"/>
      <c r="M76" s="46"/>
    </row>
    <row r="77" spans="1:13" s="3" customFormat="1" ht="16.5" customHeight="1">
      <c r="A77" s="45" t="s">
        <v>45</v>
      </c>
      <c r="B77" s="46"/>
      <c r="C77" s="46"/>
      <c r="D77" s="46"/>
      <c r="E77" s="44"/>
      <c r="F77" s="46"/>
      <c r="G77" s="46"/>
      <c r="H77" s="46"/>
      <c r="I77" s="46"/>
      <c r="J77" s="46"/>
      <c r="K77" s="46"/>
      <c r="L77" s="47"/>
      <c r="M77" s="46"/>
    </row>
    <row r="78" spans="1:13" s="3" customFormat="1" ht="16.5" customHeight="1">
      <c r="A78" s="45"/>
      <c r="B78" s="46"/>
      <c r="C78" s="46"/>
      <c r="D78" s="46"/>
      <c r="E78" s="44"/>
      <c r="F78" s="46"/>
      <c r="G78" s="46"/>
      <c r="H78" s="46"/>
      <c r="I78" s="48"/>
      <c r="J78" s="48"/>
      <c r="K78" s="48"/>
      <c r="L78" s="47"/>
      <c r="M78" s="46"/>
    </row>
    <row r="79" spans="1:13" s="3" customFormat="1" ht="31.5" customHeight="1">
      <c r="A79" s="46" t="s">
        <v>46</v>
      </c>
      <c r="B79" s="578" t="s">
        <v>47</v>
      </c>
      <c r="C79" s="579"/>
      <c r="D79" s="578" t="s">
        <v>48</v>
      </c>
      <c r="E79" s="579"/>
      <c r="F79" s="578" t="s">
        <v>49</v>
      </c>
      <c r="G79" s="579"/>
      <c r="H79" s="578" t="s">
        <v>50</v>
      </c>
      <c r="I79" s="579"/>
      <c r="J79" s="578" t="s">
        <v>51</v>
      </c>
      <c r="K79" s="769"/>
      <c r="L79" s="579"/>
      <c r="M79" s="49"/>
    </row>
    <row r="80" spans="1:13" s="3" customFormat="1" ht="16.5" customHeight="1">
      <c r="A80" s="50"/>
      <c r="B80" s="583"/>
      <c r="C80" s="584"/>
      <c r="D80" s="587"/>
      <c r="E80" s="588"/>
      <c r="F80" s="665"/>
      <c r="G80" s="666"/>
      <c r="H80" s="665"/>
      <c r="I80" s="666"/>
      <c r="J80" s="587"/>
      <c r="K80" s="770"/>
      <c r="L80" s="588"/>
      <c r="M80" s="49"/>
    </row>
    <row r="81" spans="1:15" s="22" customFormat="1" ht="16.5" customHeight="1">
      <c r="A81" s="50"/>
      <c r="B81" s="585"/>
      <c r="C81" s="586"/>
      <c r="D81" s="589"/>
      <c r="E81" s="590"/>
      <c r="F81" s="667"/>
      <c r="G81" s="668"/>
      <c r="H81" s="667"/>
      <c r="I81" s="668"/>
      <c r="J81" s="589"/>
      <c r="K81" s="771"/>
      <c r="L81" s="590"/>
      <c r="M81" s="49"/>
    </row>
    <row r="82" spans="1:15" s="22" customFormat="1" ht="16.5" customHeight="1">
      <c r="A82" s="35"/>
      <c r="B82" s="27"/>
      <c r="C82" s="27"/>
      <c r="D82" s="27"/>
      <c r="E82" s="35"/>
      <c r="F82" s="58"/>
      <c r="G82" s="58"/>
      <c r="H82" s="58"/>
      <c r="I82" s="58"/>
      <c r="J82" s="68"/>
      <c r="K82" s="68"/>
      <c r="L82" s="68"/>
      <c r="M82" s="3"/>
    </row>
    <row r="83" spans="1:15" s="22" customFormat="1" ht="16.5" customHeight="1">
      <c r="A83" s="35" t="s">
        <v>53</v>
      </c>
      <c r="B83" s="27"/>
      <c r="C83" s="27"/>
      <c r="D83" s="35" t="s">
        <v>54</v>
      </c>
      <c r="F83" s="58"/>
      <c r="H83" s="35" t="s">
        <v>250</v>
      </c>
      <c r="I83" s="58"/>
      <c r="L83" s="68" t="s">
        <v>266</v>
      </c>
      <c r="M83" s="3"/>
    </row>
    <row r="84" spans="1:15" s="22" customFormat="1" ht="16.5" customHeight="1">
      <c r="A84" s="29"/>
      <c r="B84" s="29"/>
      <c r="C84" s="29"/>
      <c r="D84" s="29"/>
      <c r="E84" s="29"/>
      <c r="F84" s="29"/>
      <c r="H84" s="29"/>
      <c r="I84" s="29"/>
      <c r="J84" s="3"/>
      <c r="K84" s="3"/>
      <c r="L84" s="3"/>
      <c r="M84" s="3"/>
    </row>
    <row r="85" spans="1:15" s="22" customFormat="1" ht="16.5" customHeight="1">
      <c r="A85" s="673" t="s">
        <v>371</v>
      </c>
      <c r="B85" s="673"/>
      <c r="C85" s="318"/>
      <c r="D85" s="674" t="s">
        <v>296</v>
      </c>
      <c r="E85" s="674"/>
      <c r="F85" s="674"/>
      <c r="H85" s="675" t="s">
        <v>247</v>
      </c>
      <c r="I85" s="675"/>
      <c r="J85" s="675"/>
      <c r="K85" s="463"/>
      <c r="L85" s="768"/>
      <c r="M85" s="768"/>
      <c r="O85" s="218"/>
    </row>
    <row r="86" spans="1:15" s="3" customFormat="1" ht="16.5" customHeight="1">
      <c r="A86" s="663" t="s">
        <v>59</v>
      </c>
      <c r="B86" s="663"/>
      <c r="C86" s="319"/>
      <c r="D86" s="664" t="s">
        <v>60</v>
      </c>
      <c r="E86" s="664"/>
      <c r="F86" s="664"/>
      <c r="H86" s="663" t="s">
        <v>252</v>
      </c>
      <c r="I86" s="663"/>
      <c r="J86" s="663"/>
      <c r="K86" s="463"/>
      <c r="L86" s="320" t="s">
        <v>253</v>
      </c>
      <c r="M86" s="320"/>
    </row>
    <row r="87" spans="1:15" s="3" customFormat="1" ht="16.5" customHeight="1">
      <c r="A87" s="463"/>
      <c r="B87" s="463"/>
      <c r="C87" s="319"/>
      <c r="D87" s="464"/>
      <c r="E87" s="464"/>
      <c r="F87" s="464"/>
      <c r="H87" s="463"/>
      <c r="I87" s="463"/>
      <c r="J87" s="463"/>
      <c r="K87" s="463"/>
      <c r="L87" s="320"/>
      <c r="M87" s="320"/>
    </row>
    <row r="88" spans="1:15" s="3" customFormat="1" ht="16.5" customHeight="1">
      <c r="A88" s="37"/>
      <c r="B88" s="27"/>
      <c r="C88" s="27"/>
      <c r="D88" s="27"/>
      <c r="E88" s="27"/>
      <c r="F88" s="29"/>
      <c r="G88" s="29"/>
      <c r="H88" s="29"/>
      <c r="I88" s="29"/>
      <c r="J88" s="29"/>
      <c r="K88" s="29"/>
    </row>
    <row r="89" spans="1:15" s="3" customFormat="1" ht="16.5" customHeight="1">
      <c r="A89" s="37"/>
      <c r="B89" s="27"/>
      <c r="C89" s="27"/>
      <c r="D89" s="27"/>
      <c r="E89" s="27"/>
      <c r="F89" s="29"/>
      <c r="G89" s="29"/>
      <c r="H89" s="29"/>
      <c r="I89" s="29"/>
      <c r="J89" s="29"/>
      <c r="K89" s="29"/>
    </row>
    <row r="90" spans="1:15" s="3" customFormat="1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5" s="3" customFormat="1" ht="16.5" customHeight="1">
      <c r="A91" s="40"/>
      <c r="B91" s="40"/>
      <c r="C91" s="40"/>
      <c r="D91" s="40"/>
      <c r="E91" s="40"/>
      <c r="F91" s="1"/>
      <c r="G91" s="1"/>
      <c r="H91" s="1"/>
      <c r="I91" s="1"/>
      <c r="J91" s="1"/>
      <c r="K91" s="1"/>
      <c r="L91" s="1"/>
      <c r="M91" s="1"/>
    </row>
    <row r="92" spans="1:15" s="3" customFormat="1" ht="16.5" customHeight="1">
      <c r="A92" s="21" t="s">
        <v>0</v>
      </c>
      <c r="B92" s="554"/>
      <c r="C92" s="554"/>
      <c r="D92" s="554"/>
      <c r="E92" s="554"/>
      <c r="F92" s="554"/>
      <c r="G92" s="554"/>
      <c r="H92" s="554"/>
      <c r="I92" s="16"/>
      <c r="J92" s="22"/>
      <c r="K92" s="22"/>
      <c r="L92" s="555"/>
      <c r="M92" s="555"/>
    </row>
    <row r="93" spans="1:15" s="3" customFormat="1" ht="15" customHeight="1">
      <c r="A93" s="21" t="s">
        <v>2</v>
      </c>
      <c r="B93" s="556" t="s">
        <v>269</v>
      </c>
      <c r="C93" s="556"/>
      <c r="D93" s="556"/>
      <c r="E93" s="556"/>
      <c r="F93" s="556"/>
      <c r="G93" s="556"/>
      <c r="H93" s="556"/>
      <c r="I93" s="16"/>
      <c r="J93" s="22"/>
      <c r="K93" s="22"/>
      <c r="L93" s="555"/>
      <c r="M93" s="555"/>
    </row>
    <row r="94" spans="1:15" s="3" customFormat="1" ht="15" customHeight="1">
      <c r="A94" s="69"/>
      <c r="B94" s="554" t="s">
        <v>270</v>
      </c>
      <c r="C94" s="554"/>
      <c r="D94" s="554"/>
      <c r="E94" s="554"/>
      <c r="F94" s="554"/>
      <c r="G94" s="554"/>
      <c r="H94" s="554"/>
      <c r="I94" s="21" t="s">
        <v>5</v>
      </c>
      <c r="J94" s="22"/>
      <c r="K94" s="22"/>
      <c r="L94" s="557" t="s">
        <v>271</v>
      </c>
      <c r="M94" s="557"/>
    </row>
    <row r="95" spans="1:15" s="3" customFormat="1" ht="15" customHeight="1">
      <c r="A95" s="22" t="s">
        <v>10</v>
      </c>
      <c r="B95" s="556" t="s">
        <v>272</v>
      </c>
      <c r="C95" s="556"/>
      <c r="D95" s="556"/>
      <c r="E95" s="556"/>
      <c r="F95" s="556"/>
      <c r="G95" s="556"/>
      <c r="H95" s="556"/>
      <c r="I95" s="21" t="s">
        <v>8</v>
      </c>
      <c r="J95" s="21"/>
      <c r="K95" s="21"/>
      <c r="L95" s="669" t="s">
        <v>273</v>
      </c>
      <c r="M95" s="669"/>
    </row>
    <row r="96" spans="1:15" s="3" customFormat="1" ht="15" customHeight="1">
      <c r="A96" s="22"/>
      <c r="B96" s="16"/>
      <c r="C96" s="16"/>
      <c r="D96" s="16"/>
      <c r="E96" s="16"/>
      <c r="F96" s="16"/>
      <c r="G96" s="16"/>
      <c r="H96" s="16"/>
      <c r="I96" s="16"/>
      <c r="J96" s="59"/>
      <c r="K96" s="59"/>
      <c r="L96" s="451"/>
      <c r="M96" s="451"/>
    </row>
    <row r="97" spans="1:13" s="3" customFormat="1" ht="15" customHeight="1">
      <c r="A97" s="24" t="s">
        <v>12</v>
      </c>
      <c r="L97" s="555"/>
      <c r="M97" s="555"/>
    </row>
    <row r="98" spans="1:13" s="3" customFormat="1" ht="17.399999999999999">
      <c r="A98" s="552" t="s">
        <v>13</v>
      </c>
      <c r="B98" s="552" t="s">
        <v>14</v>
      </c>
      <c r="C98" s="552"/>
      <c r="D98" s="552"/>
      <c r="E98" s="552"/>
      <c r="F98" s="552"/>
      <c r="G98" s="552" t="s">
        <v>15</v>
      </c>
      <c r="H98" s="552"/>
      <c r="I98" s="552"/>
      <c r="J98" s="553" t="s">
        <v>16</v>
      </c>
      <c r="K98" s="553"/>
      <c r="L98" s="553"/>
      <c r="M98" s="552" t="s">
        <v>17</v>
      </c>
    </row>
    <row r="99" spans="1:13" s="3" customFormat="1" ht="21.9" customHeight="1">
      <c r="A99" s="552"/>
      <c r="B99" s="552"/>
      <c r="C99" s="552"/>
      <c r="D99" s="552"/>
      <c r="E99" s="552"/>
      <c r="F99" s="552"/>
      <c r="G99" s="552"/>
      <c r="H99" s="552"/>
      <c r="I99" s="552"/>
      <c r="J99" s="450" t="s">
        <v>18</v>
      </c>
      <c r="K99" s="450"/>
      <c r="L99" s="20" t="s">
        <v>19</v>
      </c>
      <c r="M99" s="552"/>
    </row>
    <row r="100" spans="1:13" s="3" customFormat="1" ht="21.9" customHeight="1">
      <c r="A100" s="452"/>
      <c r="B100" s="558"/>
      <c r="C100" s="558"/>
      <c r="D100" s="558"/>
      <c r="E100" s="558"/>
      <c r="F100" s="558"/>
      <c r="G100" s="559"/>
      <c r="H100" s="559"/>
      <c r="I100" s="559"/>
      <c r="J100" s="216"/>
      <c r="K100" s="216"/>
      <c r="L100" s="53"/>
      <c r="M100" s="460"/>
    </row>
    <row r="101" spans="1:13" s="3" customFormat="1" ht="21.9" customHeight="1">
      <c r="A101" s="215"/>
      <c r="B101" s="558"/>
      <c r="C101" s="558"/>
      <c r="D101" s="558"/>
      <c r="E101" s="558"/>
      <c r="F101" s="558"/>
      <c r="G101" s="559"/>
      <c r="H101" s="559"/>
      <c r="I101" s="559"/>
      <c r="J101" s="216"/>
      <c r="K101" s="216"/>
      <c r="L101" s="53"/>
      <c r="M101" s="460"/>
    </row>
    <row r="102" spans="1:13" s="3" customFormat="1" ht="21.9" customHeight="1">
      <c r="A102" s="215"/>
      <c r="B102" s="558"/>
      <c r="C102" s="558"/>
      <c r="D102" s="558"/>
      <c r="E102" s="558"/>
      <c r="F102" s="558"/>
      <c r="G102" s="559"/>
      <c r="H102" s="559"/>
      <c r="I102" s="559"/>
      <c r="J102" s="216"/>
      <c r="K102" s="216"/>
      <c r="L102" s="53"/>
      <c r="M102" s="460"/>
    </row>
    <row r="103" spans="1:13" s="3" customFormat="1" ht="21.9" customHeight="1">
      <c r="A103" s="215"/>
      <c r="B103" s="558"/>
      <c r="C103" s="558"/>
      <c r="D103" s="558"/>
      <c r="E103" s="558"/>
      <c r="F103" s="558"/>
      <c r="G103" s="559"/>
      <c r="H103" s="559"/>
      <c r="I103" s="559"/>
      <c r="J103" s="216"/>
      <c r="K103" s="216"/>
      <c r="L103" s="53"/>
      <c r="M103" s="460"/>
    </row>
    <row r="104" spans="1:13" s="3" customFormat="1" ht="21.9" customHeight="1">
      <c r="A104" s="215"/>
      <c r="B104" s="558"/>
      <c r="C104" s="558"/>
      <c r="D104" s="558"/>
      <c r="E104" s="558"/>
      <c r="F104" s="558"/>
      <c r="G104" s="559"/>
      <c r="H104" s="559"/>
      <c r="I104" s="559"/>
      <c r="J104" s="53"/>
      <c r="K104" s="53"/>
      <c r="L104" s="53"/>
      <c r="M104" s="460"/>
    </row>
    <row r="105" spans="1:13" s="3" customFormat="1" ht="21.9" customHeight="1">
      <c r="A105" s="54"/>
      <c r="B105" s="558"/>
      <c r="C105" s="558"/>
      <c r="D105" s="558"/>
      <c r="E105" s="558"/>
      <c r="F105" s="558"/>
      <c r="G105" s="559"/>
      <c r="H105" s="559"/>
      <c r="I105" s="559"/>
      <c r="J105" s="53"/>
      <c r="K105" s="53"/>
      <c r="L105" s="53"/>
      <c r="M105" s="460"/>
    </row>
    <row r="106" spans="1:13" s="3" customFormat="1" ht="21.9" customHeight="1">
      <c r="A106" s="54"/>
      <c r="B106" s="562"/>
      <c r="C106" s="562"/>
      <c r="D106" s="562"/>
      <c r="E106" s="562"/>
      <c r="F106" s="562"/>
      <c r="G106" s="559"/>
      <c r="H106" s="559"/>
      <c r="I106" s="559"/>
      <c r="J106" s="53"/>
      <c r="K106" s="53"/>
      <c r="L106" s="53"/>
      <c r="M106" s="460"/>
    </row>
    <row r="107" spans="1:13" s="3" customFormat="1" ht="21.9" customHeight="1">
      <c r="A107" s="54"/>
      <c r="B107" s="562"/>
      <c r="C107" s="562"/>
      <c r="D107" s="562"/>
      <c r="E107" s="562"/>
      <c r="F107" s="562"/>
      <c r="G107" s="559"/>
      <c r="H107" s="559"/>
      <c r="I107" s="559"/>
      <c r="J107" s="53"/>
      <c r="K107" s="53"/>
      <c r="L107" s="53"/>
      <c r="M107" s="460"/>
    </row>
    <row r="108" spans="1:13" s="3" customFormat="1" ht="21.9" customHeight="1">
      <c r="A108" s="61"/>
      <c r="B108" s="562"/>
      <c r="C108" s="562"/>
      <c r="D108" s="562"/>
      <c r="E108" s="562"/>
      <c r="F108" s="562"/>
      <c r="G108" s="559"/>
      <c r="H108" s="559"/>
      <c r="I108" s="559"/>
      <c r="J108" s="53"/>
      <c r="K108" s="53"/>
      <c r="L108" s="53"/>
      <c r="M108" s="460"/>
    </row>
    <row r="109" spans="1:13" s="3" customFormat="1" ht="21.9" customHeight="1">
      <c r="A109" s="61"/>
      <c r="B109" s="562"/>
      <c r="C109" s="562"/>
      <c r="D109" s="562"/>
      <c r="E109" s="562"/>
      <c r="F109" s="562"/>
      <c r="G109" s="559"/>
      <c r="H109" s="559"/>
      <c r="I109" s="559"/>
      <c r="J109" s="53"/>
      <c r="K109" s="53"/>
      <c r="L109" s="53"/>
      <c r="M109" s="460"/>
    </row>
    <row r="110" spans="1:13" s="3" customFormat="1" ht="21.9" customHeight="1">
      <c r="A110" s="61"/>
      <c r="B110" s="562"/>
      <c r="C110" s="562"/>
      <c r="D110" s="562"/>
      <c r="E110" s="562"/>
      <c r="F110" s="562"/>
      <c r="G110" s="559"/>
      <c r="H110" s="559"/>
      <c r="I110" s="559"/>
      <c r="J110" s="53"/>
      <c r="K110" s="53"/>
      <c r="L110" s="53"/>
      <c r="M110" s="460"/>
    </row>
    <row r="111" spans="1:13" s="3" customFormat="1" ht="21.9" customHeight="1">
      <c r="A111" s="61"/>
      <c r="B111" s="562"/>
      <c r="C111" s="562"/>
      <c r="D111" s="562"/>
      <c r="E111" s="562"/>
      <c r="F111" s="562"/>
      <c r="G111" s="559"/>
      <c r="H111" s="559"/>
      <c r="I111" s="559"/>
      <c r="J111" s="53"/>
      <c r="K111" s="53"/>
      <c r="L111" s="53"/>
      <c r="M111" s="460"/>
    </row>
    <row r="112" spans="1:13" s="3" customFormat="1" ht="21.9" customHeight="1">
      <c r="A112" s="61"/>
      <c r="B112" s="562"/>
      <c r="C112" s="562"/>
      <c r="D112" s="562"/>
      <c r="E112" s="562"/>
      <c r="F112" s="562"/>
      <c r="G112" s="559"/>
      <c r="H112" s="559"/>
      <c r="I112" s="559"/>
      <c r="J112" s="53"/>
      <c r="K112" s="53"/>
      <c r="L112" s="53"/>
      <c r="M112" s="460"/>
    </row>
    <row r="113" spans="1:13" s="3" customFormat="1" ht="21.9" customHeight="1">
      <c r="A113" s="61"/>
      <c r="B113" s="562"/>
      <c r="C113" s="562"/>
      <c r="D113" s="562"/>
      <c r="E113" s="562"/>
      <c r="F113" s="562"/>
      <c r="G113" s="559"/>
      <c r="H113" s="559"/>
      <c r="I113" s="559"/>
      <c r="J113" s="53"/>
      <c r="K113" s="53"/>
      <c r="L113" s="53"/>
      <c r="M113" s="460"/>
    </row>
    <row r="114" spans="1:13" s="3" customFormat="1" ht="21.9" customHeight="1">
      <c r="A114" s="61"/>
      <c r="B114" s="562"/>
      <c r="C114" s="562"/>
      <c r="D114" s="562"/>
      <c r="E114" s="562"/>
      <c r="F114" s="562"/>
      <c r="G114" s="559"/>
      <c r="H114" s="559"/>
      <c r="I114" s="559"/>
      <c r="J114" s="53"/>
      <c r="K114" s="53"/>
      <c r="L114" s="53"/>
      <c r="M114" s="460"/>
    </row>
    <row r="115" spans="1:13" s="3" customFormat="1" ht="21.9" customHeight="1">
      <c r="A115" s="61"/>
      <c r="B115" s="562"/>
      <c r="C115" s="562"/>
      <c r="D115" s="562"/>
      <c r="E115" s="562"/>
      <c r="F115" s="562"/>
      <c r="G115" s="559"/>
      <c r="H115" s="559"/>
      <c r="I115" s="559"/>
      <c r="J115" s="53"/>
      <c r="K115" s="53"/>
      <c r="L115" s="53"/>
      <c r="M115" s="460"/>
    </row>
    <row r="116" spans="1:13" s="3" customFormat="1" ht="21.9" customHeight="1">
      <c r="A116" s="61"/>
      <c r="B116" s="562"/>
      <c r="C116" s="562"/>
      <c r="D116" s="562"/>
      <c r="E116" s="562"/>
      <c r="F116" s="562"/>
      <c r="G116" s="559"/>
      <c r="H116" s="559"/>
      <c r="I116" s="559"/>
      <c r="J116" s="53"/>
      <c r="K116" s="53"/>
      <c r="L116" s="53"/>
      <c r="M116" s="460"/>
    </row>
    <row r="117" spans="1:13" s="3" customFormat="1" ht="21.9" customHeight="1">
      <c r="A117" s="61"/>
      <c r="B117" s="562"/>
      <c r="C117" s="562"/>
      <c r="D117" s="562"/>
      <c r="E117" s="562"/>
      <c r="F117" s="562"/>
      <c r="G117" s="559"/>
      <c r="H117" s="559"/>
      <c r="I117" s="559"/>
      <c r="J117" s="53"/>
      <c r="K117" s="53"/>
      <c r="L117" s="53"/>
      <c r="M117" s="460"/>
    </row>
    <row r="118" spans="1:13" s="3" customFormat="1" ht="21.9" customHeight="1">
      <c r="A118" s="61"/>
      <c r="B118" s="562"/>
      <c r="C118" s="562"/>
      <c r="D118" s="562"/>
      <c r="E118" s="562"/>
      <c r="F118" s="562"/>
      <c r="G118" s="559"/>
      <c r="H118" s="559"/>
      <c r="I118" s="559"/>
      <c r="J118" s="53"/>
      <c r="K118" s="53"/>
      <c r="L118" s="53"/>
      <c r="M118" s="460"/>
    </row>
    <row r="119" spans="1:13" s="3" customFormat="1" ht="21.9" customHeight="1">
      <c r="A119" s="61"/>
      <c r="B119" s="562"/>
      <c r="C119" s="562"/>
      <c r="D119" s="562"/>
      <c r="E119" s="562"/>
      <c r="F119" s="562"/>
      <c r="G119" s="559"/>
      <c r="H119" s="559"/>
      <c r="I119" s="559"/>
      <c r="J119" s="53"/>
      <c r="K119" s="53"/>
      <c r="L119" s="53"/>
      <c r="M119" s="460"/>
    </row>
    <row r="120" spans="1:13" s="3" customFormat="1" ht="21.9" customHeight="1">
      <c r="A120" s="454"/>
      <c r="B120" s="566"/>
      <c r="C120" s="566"/>
      <c r="D120" s="566"/>
      <c r="E120" s="566"/>
      <c r="F120" s="566"/>
      <c r="G120" s="454"/>
      <c r="H120" s="41"/>
      <c r="I120" s="41"/>
      <c r="J120" s="42"/>
      <c r="K120" s="42"/>
      <c r="L120" s="43"/>
    </row>
    <row r="121" spans="1:13" s="3" customFormat="1" ht="21.9" customHeight="1">
      <c r="A121" s="26" t="s">
        <v>23</v>
      </c>
      <c r="B121" s="456"/>
      <c r="C121" s="456"/>
      <c r="D121" s="456"/>
      <c r="E121" s="456"/>
      <c r="F121" s="17"/>
      <c r="G121" s="17"/>
      <c r="H121" s="17"/>
      <c r="I121" s="17"/>
      <c r="J121" s="17"/>
      <c r="K121" s="17"/>
    </row>
    <row r="122" spans="1:13" s="3" customFormat="1" ht="21.9" customHeight="1">
      <c r="A122" s="19" t="s">
        <v>13</v>
      </c>
      <c r="B122" s="567" t="s">
        <v>14</v>
      </c>
      <c r="C122" s="567"/>
      <c r="D122" s="567"/>
      <c r="E122" s="567"/>
      <c r="F122" s="567"/>
      <c r="G122" s="568" t="s">
        <v>24</v>
      </c>
      <c r="H122" s="568"/>
      <c r="I122" s="455" t="s">
        <v>17</v>
      </c>
      <c r="J122" s="450" t="s">
        <v>25</v>
      </c>
      <c r="K122" s="450"/>
      <c r="L122" s="450" t="s">
        <v>26</v>
      </c>
      <c r="M122" s="450" t="s">
        <v>27</v>
      </c>
    </row>
    <row r="123" spans="1:13" s="3" customFormat="1" ht="21.9" customHeight="1">
      <c r="A123" s="317"/>
      <c r="B123" s="563"/>
      <c r="C123" s="563"/>
      <c r="D123" s="563"/>
      <c r="E123" s="563"/>
      <c r="F123" s="563"/>
      <c r="G123" s="564"/>
      <c r="H123" s="564"/>
      <c r="I123" s="453"/>
      <c r="J123" s="453"/>
      <c r="K123" s="453"/>
      <c r="L123" s="460"/>
      <c r="M123" s="460"/>
    </row>
    <row r="124" spans="1:13" s="3" customFormat="1" ht="21.9" customHeight="1">
      <c r="A124" s="452"/>
      <c r="B124" s="563"/>
      <c r="C124" s="563"/>
      <c r="D124" s="563"/>
      <c r="E124" s="563"/>
      <c r="F124" s="563"/>
      <c r="G124" s="564"/>
      <c r="H124" s="564"/>
      <c r="I124" s="453"/>
      <c r="J124" s="453"/>
      <c r="K124" s="453"/>
      <c r="L124" s="460"/>
      <c r="M124" s="460"/>
    </row>
    <row r="125" spans="1:13" s="3" customFormat="1" ht="21.9" customHeight="1">
      <c r="A125" s="452"/>
      <c r="B125" s="563"/>
      <c r="C125" s="563"/>
      <c r="D125" s="563"/>
      <c r="E125" s="563"/>
      <c r="F125" s="563"/>
      <c r="G125" s="564"/>
      <c r="H125" s="564"/>
      <c r="I125" s="453"/>
      <c r="J125" s="453"/>
      <c r="K125" s="453"/>
      <c r="L125" s="460"/>
      <c r="M125" s="460"/>
    </row>
    <row r="126" spans="1:13" s="3" customFormat="1" ht="21.9" customHeight="1">
      <c r="A126" s="452"/>
      <c r="B126" s="563"/>
      <c r="C126" s="563"/>
      <c r="D126" s="563"/>
      <c r="E126" s="563"/>
      <c r="F126" s="563"/>
      <c r="G126" s="564"/>
      <c r="H126" s="564"/>
      <c r="I126" s="453"/>
      <c r="J126" s="453"/>
      <c r="K126" s="453"/>
      <c r="L126" s="460"/>
      <c r="M126" s="460"/>
    </row>
    <row r="127" spans="1:13" s="3" customFormat="1" ht="21.9" customHeight="1">
      <c r="A127" s="32"/>
      <c r="B127" s="565"/>
      <c r="C127" s="565"/>
      <c r="D127" s="565"/>
      <c r="E127" s="565"/>
      <c r="F127" s="565"/>
      <c r="G127" s="565"/>
      <c r="H127" s="565"/>
      <c r="I127" s="565"/>
      <c r="J127" s="17"/>
      <c r="K127" s="17"/>
    </row>
    <row r="128" spans="1:13" s="3" customFormat="1" ht="21.9" customHeight="1">
      <c r="A128" s="34" t="s">
        <v>28</v>
      </c>
      <c r="B128" s="34"/>
      <c r="C128" s="34"/>
      <c r="D128" s="34"/>
      <c r="E128" s="34"/>
      <c r="F128" s="17"/>
      <c r="G128" s="38"/>
      <c r="H128" s="36" t="s">
        <v>29</v>
      </c>
      <c r="I128" s="34"/>
      <c r="J128" s="34"/>
      <c r="K128" s="34"/>
      <c r="L128" s="34"/>
      <c r="M128" s="34"/>
    </row>
    <row r="129" spans="1:13" s="3" customFormat="1" ht="21.9" customHeight="1">
      <c r="A129" s="569"/>
      <c r="B129" s="569"/>
      <c r="C129" s="569"/>
      <c r="D129" s="569"/>
      <c r="E129" s="569"/>
      <c r="F129" s="569"/>
      <c r="G129" s="457"/>
      <c r="H129" s="569"/>
      <c r="I129" s="569"/>
      <c r="J129" s="569"/>
      <c r="K129" s="569"/>
      <c r="L129" s="569"/>
      <c r="M129" s="569"/>
    </row>
    <row r="130" spans="1:13" s="3" customFormat="1" ht="21.9" customHeight="1">
      <c r="A130" s="571"/>
      <c r="B130" s="571"/>
      <c r="C130" s="571"/>
      <c r="D130" s="571"/>
      <c r="E130" s="571"/>
      <c r="F130" s="571"/>
      <c r="G130" s="457"/>
      <c r="H130" s="569"/>
      <c r="I130" s="569"/>
      <c r="J130" s="569"/>
      <c r="K130" s="569"/>
      <c r="L130" s="569"/>
      <c r="M130" s="569"/>
    </row>
    <row r="131" spans="1:13" s="3" customFormat="1" ht="21.9" customHeight="1">
      <c r="A131" s="571"/>
      <c r="B131" s="571"/>
      <c r="C131" s="571"/>
      <c r="D131" s="571"/>
      <c r="E131" s="571"/>
      <c r="F131" s="571"/>
      <c r="G131" s="57"/>
      <c r="H131" s="569"/>
      <c r="I131" s="569"/>
      <c r="J131" s="569"/>
      <c r="K131" s="569"/>
      <c r="L131" s="569"/>
      <c r="M131" s="569"/>
    </row>
    <row r="132" spans="1:13" s="3" customFormat="1" ht="21.9" customHeight="1">
      <c r="A132" s="569"/>
      <c r="B132" s="569"/>
      <c r="C132" s="569"/>
      <c r="D132" s="569"/>
      <c r="E132" s="569"/>
      <c r="F132" s="569"/>
      <c r="G132" s="57"/>
      <c r="H132" s="569"/>
      <c r="I132" s="569"/>
      <c r="J132" s="569"/>
      <c r="K132" s="569"/>
      <c r="L132" s="569"/>
      <c r="M132" s="569"/>
    </row>
    <row r="133" spans="1:13" s="3" customFormat="1" ht="21.9" customHeight="1">
      <c r="A133" s="570"/>
      <c r="B133" s="570"/>
      <c r="C133" s="570"/>
      <c r="D133" s="570"/>
      <c r="E133" s="570"/>
      <c r="F133" s="570"/>
      <c r="G133" s="39"/>
      <c r="H133" s="569"/>
      <c r="I133" s="569"/>
      <c r="J133" s="569"/>
      <c r="K133" s="569"/>
      <c r="L133" s="569"/>
      <c r="M133" s="569"/>
    </row>
    <row r="134" spans="1:13" s="3" customFormat="1" ht="21.9" customHeight="1">
      <c r="A134" s="571"/>
      <c r="B134" s="571"/>
      <c r="C134" s="571"/>
      <c r="D134" s="571"/>
      <c r="E134" s="571"/>
      <c r="F134" s="571"/>
      <c r="G134" s="457"/>
      <c r="H134" s="569"/>
      <c r="I134" s="569"/>
      <c r="J134" s="569"/>
      <c r="K134" s="569"/>
      <c r="L134" s="569"/>
      <c r="M134" s="569"/>
    </row>
    <row r="135" spans="1:13" s="3" customFormat="1" ht="21.9" customHeight="1">
      <c r="A135" s="571"/>
      <c r="B135" s="571"/>
      <c r="C135" s="571"/>
      <c r="D135" s="571"/>
      <c r="E135" s="571"/>
      <c r="F135" s="571"/>
      <c r="G135" s="57"/>
      <c r="H135" s="569"/>
      <c r="I135" s="569"/>
      <c r="J135" s="569"/>
      <c r="K135" s="569"/>
      <c r="L135" s="569"/>
      <c r="M135" s="569"/>
    </row>
    <row r="136" spans="1:13" s="3" customFormat="1" ht="21.9" customHeight="1">
      <c r="A136" s="571"/>
      <c r="B136" s="571"/>
      <c r="C136" s="571"/>
      <c r="D136" s="571"/>
      <c r="E136" s="571"/>
      <c r="F136" s="571"/>
      <c r="G136" s="457"/>
      <c r="H136" s="569"/>
      <c r="I136" s="569"/>
      <c r="J136" s="569"/>
      <c r="K136" s="569"/>
      <c r="L136" s="569"/>
      <c r="M136" s="569"/>
    </row>
    <row r="137" spans="1:13" s="3" customFormat="1" ht="21.9" customHeight="1">
      <c r="A137" s="571"/>
      <c r="B137" s="571"/>
      <c r="C137" s="571"/>
      <c r="D137" s="571"/>
      <c r="E137" s="571"/>
      <c r="F137" s="571"/>
      <c r="G137" s="457"/>
      <c r="H137" s="569"/>
      <c r="I137" s="569"/>
      <c r="J137" s="569"/>
      <c r="K137" s="569"/>
      <c r="L137" s="569"/>
      <c r="M137" s="569"/>
    </row>
    <row r="138" spans="1:13" s="3" customFormat="1" ht="21.9" customHeight="1">
      <c r="A138" s="571"/>
      <c r="B138" s="571"/>
      <c r="C138" s="571"/>
      <c r="D138" s="571"/>
      <c r="E138" s="571"/>
      <c r="F138" s="571"/>
      <c r="G138" s="57"/>
      <c r="H138" s="569"/>
      <c r="I138" s="569"/>
      <c r="J138" s="569"/>
      <c r="K138" s="569"/>
      <c r="L138" s="569"/>
      <c r="M138" s="569"/>
    </row>
    <row r="139" spans="1:13" s="3" customFormat="1" ht="21.9" customHeight="1">
      <c r="A139" s="572"/>
      <c r="B139" s="572"/>
      <c r="C139" s="572"/>
      <c r="D139" s="572"/>
      <c r="E139" s="572"/>
      <c r="F139" s="572"/>
      <c r="G139" s="57"/>
      <c r="H139" s="572"/>
      <c r="I139" s="572"/>
      <c r="J139" s="572"/>
      <c r="K139" s="572"/>
      <c r="L139" s="572"/>
      <c r="M139" s="572"/>
    </row>
    <row r="140" spans="1:13" s="3" customFormat="1" ht="21.9" customHeight="1">
      <c r="A140" s="70" t="s">
        <v>34</v>
      </c>
      <c r="B140" s="5"/>
      <c r="C140" s="4"/>
      <c r="H140" s="573" t="s">
        <v>35</v>
      </c>
      <c r="I140" s="573"/>
      <c r="J140" s="573"/>
      <c r="K140" s="458"/>
      <c r="L140" s="573" t="s">
        <v>36</v>
      </c>
      <c r="M140" s="573"/>
    </row>
    <row r="141" spans="1:13" s="3" customFormat="1" ht="21.9" customHeight="1">
      <c r="A141" s="576"/>
      <c r="B141" s="576"/>
      <c r="C141" s="576"/>
      <c r="D141" s="576"/>
      <c r="E141" s="576"/>
      <c r="F141" s="576"/>
      <c r="G141" s="71"/>
      <c r="H141" s="577" t="s">
        <v>14</v>
      </c>
      <c r="I141" s="577"/>
      <c r="J141" s="461" t="s">
        <v>24</v>
      </c>
      <c r="K141" s="461"/>
      <c r="L141" s="461" t="s">
        <v>14</v>
      </c>
      <c r="M141" s="461" t="s">
        <v>24</v>
      </c>
    </row>
    <row r="142" spans="1:13" s="3" customFormat="1" ht="21.9" customHeight="1">
      <c r="A142" s="574"/>
      <c r="B142" s="574"/>
      <c r="C142" s="574"/>
      <c r="D142" s="574"/>
      <c r="E142" s="574"/>
      <c r="F142" s="574"/>
      <c r="G142" s="72"/>
      <c r="H142" s="575"/>
      <c r="I142" s="575"/>
      <c r="J142" s="460"/>
      <c r="K142" s="460"/>
      <c r="L142" s="76"/>
      <c r="M142" s="460"/>
    </row>
    <row r="143" spans="1:13" s="3" customFormat="1" ht="21.9" customHeight="1">
      <c r="A143" s="574"/>
      <c r="B143" s="574"/>
      <c r="C143" s="574"/>
      <c r="D143" s="574"/>
      <c r="E143" s="574"/>
      <c r="F143" s="574"/>
      <c r="G143" s="72"/>
      <c r="H143" s="575"/>
      <c r="I143" s="575"/>
      <c r="J143" s="460"/>
      <c r="K143" s="460"/>
      <c r="L143" s="76"/>
      <c r="M143" s="460"/>
    </row>
    <row r="144" spans="1:13" s="3" customFormat="1" ht="21.9" customHeight="1">
      <c r="A144" s="574"/>
      <c r="B144" s="574"/>
      <c r="C144" s="574"/>
      <c r="D144" s="574"/>
      <c r="E144" s="574"/>
      <c r="F144" s="574"/>
      <c r="G144" s="72"/>
      <c r="H144" s="575"/>
      <c r="I144" s="575"/>
      <c r="J144" s="460"/>
      <c r="K144" s="460"/>
      <c r="L144" s="76"/>
      <c r="M144" s="460"/>
    </row>
    <row r="145" spans="1:13" s="3" customFormat="1" ht="21.9" customHeight="1">
      <c r="A145" s="574"/>
      <c r="B145" s="574"/>
      <c r="C145" s="574"/>
      <c r="D145" s="574"/>
      <c r="E145" s="574"/>
      <c r="F145" s="574"/>
      <c r="G145" s="72"/>
      <c r="H145" s="575"/>
      <c r="I145" s="575"/>
      <c r="J145" s="460"/>
      <c r="K145" s="460"/>
      <c r="L145" s="76"/>
      <c r="M145" s="460"/>
    </row>
    <row r="146" spans="1:13" s="3" customFormat="1" ht="21.9" customHeight="1">
      <c r="A146" s="574"/>
      <c r="B146" s="574"/>
      <c r="C146" s="574"/>
      <c r="D146" s="574"/>
      <c r="E146" s="574"/>
      <c r="F146" s="574"/>
      <c r="G146" s="72"/>
      <c r="H146" s="575"/>
      <c r="I146" s="575"/>
      <c r="J146" s="460"/>
      <c r="K146" s="460"/>
      <c r="L146" s="77"/>
      <c r="M146" s="460"/>
    </row>
    <row r="147" spans="1:13" s="3" customFormat="1" ht="21.9" customHeight="1">
      <c r="A147" s="574"/>
      <c r="B147" s="574"/>
      <c r="C147" s="574"/>
      <c r="D147" s="574"/>
      <c r="E147" s="574"/>
      <c r="F147" s="574"/>
      <c r="G147" s="72"/>
      <c r="H147" s="575"/>
      <c r="I147" s="575"/>
      <c r="J147" s="73"/>
      <c r="K147" s="72"/>
      <c r="M147" s="73"/>
    </row>
    <row r="148" spans="1:13" s="3" customFormat="1" ht="21.9" customHeight="1">
      <c r="A148" s="574"/>
      <c r="B148" s="574"/>
      <c r="C148" s="574"/>
      <c r="D148" s="574"/>
      <c r="E148" s="574"/>
      <c r="F148" s="574"/>
      <c r="G148" s="72"/>
      <c r="H148" s="575"/>
      <c r="I148" s="575"/>
      <c r="J148" s="73"/>
      <c r="K148" s="73"/>
      <c r="L148" s="77"/>
      <c r="M148" s="73"/>
    </row>
    <row r="149" spans="1:13" s="3" customFormat="1" ht="21.9" customHeight="1">
      <c r="A149" s="574"/>
      <c r="B149" s="574"/>
      <c r="C149" s="574"/>
      <c r="D149" s="574"/>
      <c r="E149" s="574"/>
      <c r="F149" s="574"/>
      <c r="G149" s="72"/>
      <c r="H149" s="575"/>
      <c r="I149" s="575"/>
      <c r="J149" s="73"/>
      <c r="K149" s="73"/>
      <c r="L149" s="77"/>
      <c r="M149" s="73"/>
    </row>
    <row r="150" spans="1:13" s="3" customFormat="1" ht="21.9" customHeight="1">
      <c r="A150" s="574"/>
      <c r="B150" s="574"/>
      <c r="C150" s="574"/>
      <c r="D150" s="574"/>
      <c r="E150" s="574"/>
      <c r="F150" s="574"/>
      <c r="G150" s="72"/>
      <c r="H150" s="575"/>
      <c r="I150" s="575"/>
      <c r="J150" s="73"/>
      <c r="K150" s="73"/>
      <c r="L150" s="77"/>
      <c r="M150" s="73"/>
    </row>
    <row r="151" spans="1:13" s="3" customFormat="1" ht="21.9" customHeight="1">
      <c r="A151" s="574"/>
      <c r="B151" s="574"/>
      <c r="C151" s="574"/>
      <c r="D151" s="574"/>
      <c r="E151" s="574"/>
      <c r="F151" s="574"/>
      <c r="G151" s="72"/>
      <c r="H151" s="575"/>
      <c r="I151" s="575"/>
      <c r="J151" s="73"/>
      <c r="K151" s="73"/>
      <c r="L151" s="77"/>
      <c r="M151" s="73"/>
    </row>
    <row r="152" spans="1:13" s="3" customFormat="1" ht="21.9" customHeight="1">
      <c r="A152" s="45"/>
      <c r="B152" s="46"/>
      <c r="C152" s="46"/>
      <c r="D152" s="46"/>
      <c r="E152" s="44"/>
      <c r="F152" s="46"/>
      <c r="G152" s="46"/>
      <c r="H152" s="46"/>
      <c r="I152" s="46"/>
      <c r="J152" s="46"/>
      <c r="K152" s="46"/>
      <c r="L152" s="47"/>
      <c r="M152" s="46"/>
    </row>
    <row r="153" spans="1:13" s="3" customFormat="1" ht="21.9" customHeight="1">
      <c r="A153" s="45" t="s">
        <v>45</v>
      </c>
      <c r="B153" s="46"/>
      <c r="C153" s="46"/>
      <c r="D153" s="46"/>
      <c r="E153" s="44"/>
      <c r="F153" s="46"/>
      <c r="G153" s="46"/>
      <c r="H153" s="46"/>
      <c r="I153" s="46"/>
      <c r="J153" s="46"/>
      <c r="K153" s="46"/>
      <c r="L153" s="47"/>
      <c r="M153" s="46"/>
    </row>
    <row r="154" spans="1:13" s="3" customFormat="1" ht="21.9" customHeight="1">
      <c r="A154" s="45"/>
      <c r="B154" s="46"/>
      <c r="C154" s="46"/>
      <c r="D154" s="46"/>
      <c r="E154" s="44"/>
      <c r="F154" s="46"/>
      <c r="G154" s="46"/>
      <c r="H154" s="46"/>
      <c r="I154" s="48"/>
      <c r="J154" s="48"/>
      <c r="K154" s="48"/>
      <c r="L154" s="47"/>
      <c r="M154" s="46"/>
    </row>
    <row r="155" spans="1:13" s="3" customFormat="1" ht="21.9" customHeight="1">
      <c r="A155" s="46" t="s">
        <v>46</v>
      </c>
      <c r="B155" s="578" t="s">
        <v>47</v>
      </c>
      <c r="C155" s="579"/>
      <c r="D155" s="578" t="s">
        <v>48</v>
      </c>
      <c r="E155" s="579"/>
      <c r="F155" s="578" t="s">
        <v>49</v>
      </c>
      <c r="G155" s="579"/>
      <c r="H155" s="578" t="s">
        <v>50</v>
      </c>
      <c r="I155" s="579"/>
      <c r="J155" s="578" t="s">
        <v>51</v>
      </c>
      <c r="K155" s="769"/>
      <c r="L155" s="579"/>
      <c r="M155" s="49"/>
    </row>
    <row r="156" spans="1:13" s="3" customFormat="1" ht="21.9" customHeight="1">
      <c r="A156" s="50"/>
      <c r="B156" s="583"/>
      <c r="C156" s="584"/>
      <c r="D156" s="587"/>
      <c r="E156" s="588"/>
      <c r="F156" s="665"/>
      <c r="G156" s="666"/>
      <c r="H156" s="665"/>
      <c r="I156" s="666"/>
      <c r="J156" s="587"/>
      <c r="K156" s="770"/>
      <c r="L156" s="588"/>
      <c r="M156" s="49"/>
    </row>
    <row r="157" spans="1:13" s="3" customFormat="1" ht="21.9" customHeight="1">
      <c r="A157" s="50"/>
      <c r="B157" s="585"/>
      <c r="C157" s="586"/>
      <c r="D157" s="589"/>
      <c r="E157" s="590"/>
      <c r="F157" s="667"/>
      <c r="G157" s="668"/>
      <c r="H157" s="667"/>
      <c r="I157" s="668"/>
      <c r="J157" s="589"/>
      <c r="K157" s="771"/>
      <c r="L157" s="590"/>
      <c r="M157" s="49"/>
    </row>
    <row r="158" spans="1:13" s="3" customFormat="1" ht="21.9" customHeight="1">
      <c r="A158" s="35"/>
      <c r="B158" s="27"/>
      <c r="C158" s="27"/>
      <c r="D158" s="27"/>
      <c r="E158" s="35"/>
      <c r="F158" s="58"/>
      <c r="G158" s="58"/>
      <c r="H158" s="58"/>
      <c r="I158" s="58"/>
      <c r="J158" s="68"/>
      <c r="K158" s="68"/>
      <c r="L158" s="68"/>
    </row>
    <row r="159" spans="1:13" s="3" customFormat="1" ht="21.9" customHeight="1">
      <c r="A159" s="35" t="s">
        <v>53</v>
      </c>
      <c r="B159" s="27"/>
      <c r="C159" s="27"/>
      <c r="D159" s="35" t="s">
        <v>54</v>
      </c>
      <c r="E159" s="22"/>
      <c r="F159" s="58"/>
      <c r="G159" s="22"/>
      <c r="H159" s="35" t="s">
        <v>250</v>
      </c>
      <c r="I159" s="58"/>
      <c r="J159" s="22"/>
      <c r="K159" s="22"/>
      <c r="L159" s="68" t="s">
        <v>266</v>
      </c>
    </row>
    <row r="160" spans="1:13" s="3" customFormat="1" ht="21.9" customHeight="1">
      <c r="A160" s="29"/>
      <c r="B160" s="29"/>
      <c r="C160" s="29"/>
      <c r="D160" s="29"/>
      <c r="E160" s="29"/>
      <c r="F160" s="29"/>
      <c r="G160" s="22"/>
      <c r="H160" s="29"/>
      <c r="I160" s="29"/>
    </row>
    <row r="161" spans="1:13" s="3" customFormat="1" ht="21.9" customHeight="1">
      <c r="A161" s="580"/>
      <c r="B161" s="580"/>
      <c r="C161" s="318"/>
      <c r="D161" s="671" t="s">
        <v>267</v>
      </c>
      <c r="E161" s="671"/>
      <c r="F161" s="671"/>
      <c r="G161" s="22"/>
      <c r="H161" s="672" t="s">
        <v>247</v>
      </c>
      <c r="I161" s="672"/>
      <c r="J161" s="672"/>
      <c r="K161" s="462"/>
      <c r="L161" s="662" t="s">
        <v>268</v>
      </c>
      <c r="M161" s="662"/>
    </row>
    <row r="162" spans="1:13" s="3" customFormat="1" ht="21.9" customHeight="1">
      <c r="A162" s="663" t="s">
        <v>59</v>
      </c>
      <c r="B162" s="663"/>
      <c r="C162" s="319"/>
      <c r="D162" s="664" t="s">
        <v>60</v>
      </c>
      <c r="E162" s="664"/>
      <c r="F162" s="664"/>
      <c r="H162" s="663" t="s">
        <v>252</v>
      </c>
      <c r="I162" s="663"/>
      <c r="J162" s="663"/>
      <c r="K162" s="463"/>
      <c r="L162" s="320" t="s">
        <v>253</v>
      </c>
      <c r="M162" s="320"/>
    </row>
    <row r="163" spans="1:13" s="3" customFormat="1" ht="21.9" customHeight="1">
      <c r="A163" s="32"/>
      <c r="B163" s="32"/>
      <c r="C163" s="32"/>
      <c r="D163" s="32"/>
      <c r="E163" s="32"/>
      <c r="F163" s="31"/>
      <c r="G163" s="31"/>
      <c r="H163" s="31"/>
      <c r="I163" s="31"/>
      <c r="J163" s="31"/>
      <c r="K163" s="31"/>
    </row>
    <row r="164" spans="1:13" s="3" customFormat="1" ht="21.9" customHeight="1">
      <c r="A164" s="32"/>
      <c r="B164" s="32"/>
      <c r="C164" s="32"/>
      <c r="D164" s="32"/>
      <c r="E164" s="32"/>
      <c r="F164" s="31"/>
      <c r="G164" s="31"/>
      <c r="H164" s="31"/>
      <c r="I164" s="31"/>
      <c r="J164" s="31"/>
      <c r="K164" s="31"/>
    </row>
    <row r="165" spans="1:13" s="3" customFormat="1" ht="21.9" customHeight="1">
      <c r="A165" s="32"/>
      <c r="B165" s="32"/>
      <c r="C165" s="32"/>
      <c r="D165" s="32"/>
      <c r="E165" s="32"/>
      <c r="F165" s="33"/>
      <c r="G165" s="33"/>
      <c r="H165" s="33"/>
      <c r="I165" s="33"/>
      <c r="J165" s="33"/>
      <c r="K165" s="33"/>
    </row>
    <row r="166" spans="1:13" s="3" customFormat="1" ht="21.9" customHeight="1">
      <c r="A166" s="32"/>
      <c r="B166" s="32"/>
      <c r="C166" s="32"/>
      <c r="D166" s="32"/>
      <c r="E166" s="32"/>
      <c r="F166" s="33"/>
      <c r="G166" s="33"/>
      <c r="H166" s="33"/>
      <c r="I166" s="33"/>
      <c r="J166" s="33"/>
      <c r="K166" s="33"/>
    </row>
    <row r="167" spans="1:13" s="3" customFormat="1" ht="21.9" customHeight="1">
      <c r="A167" s="13"/>
      <c r="B167" s="13"/>
      <c r="C167" s="13"/>
      <c r="D167" s="13"/>
      <c r="E167" s="13"/>
      <c r="F167" s="14"/>
      <c r="G167" s="14"/>
      <c r="H167" s="14"/>
      <c r="I167" s="14"/>
      <c r="J167" s="14"/>
      <c r="K167" s="14"/>
      <c r="L167" s="9"/>
      <c r="M167" s="9"/>
    </row>
    <row r="168" spans="1:13" s="3" customFormat="1" ht="21.9" customHeight="1">
      <c r="A168" s="13"/>
      <c r="B168" s="13"/>
      <c r="C168" s="13"/>
      <c r="D168" s="13"/>
      <c r="E168" s="13"/>
      <c r="F168" s="14"/>
      <c r="G168" s="14"/>
      <c r="H168" s="14"/>
      <c r="I168" s="14"/>
      <c r="J168" s="14"/>
      <c r="K168" s="14"/>
      <c r="L168" s="9"/>
      <c r="M168" s="9"/>
    </row>
    <row r="169" spans="1:13" s="3" customFormat="1" ht="21.9" customHeight="1">
      <c r="A169" s="13"/>
      <c r="B169" s="13"/>
      <c r="C169" s="13"/>
      <c r="D169" s="13"/>
      <c r="E169" s="13"/>
      <c r="F169" s="14"/>
      <c r="G169" s="14"/>
      <c r="H169" s="14"/>
      <c r="I169" s="14"/>
      <c r="J169" s="14"/>
      <c r="K169" s="14"/>
      <c r="L169" s="9"/>
      <c r="M169" s="9"/>
    </row>
    <row r="170" spans="1:13" s="3" customFormat="1" ht="21.9" customHeight="1">
      <c r="A170" s="13"/>
      <c r="B170" s="13"/>
      <c r="C170" s="13"/>
      <c r="D170" s="13"/>
      <c r="E170" s="13"/>
      <c r="F170" s="14"/>
      <c r="G170" s="14"/>
      <c r="H170" s="14"/>
      <c r="I170" s="14"/>
      <c r="J170" s="14"/>
      <c r="K170" s="14"/>
      <c r="L170" s="9"/>
      <c r="M170" s="9"/>
    </row>
    <row r="171" spans="1:13" s="3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  <c r="K171" s="14"/>
      <c r="L171" s="9"/>
      <c r="M171" s="9"/>
    </row>
    <row r="172" spans="1:13" s="3" customFormat="1" ht="21.9" customHeight="1">
      <c r="A172" s="13"/>
      <c r="B172" s="13"/>
      <c r="C172" s="13"/>
      <c r="D172" s="13"/>
      <c r="E172" s="13"/>
      <c r="F172" s="10"/>
      <c r="G172" s="10"/>
      <c r="H172" s="10"/>
      <c r="I172" s="10"/>
      <c r="J172" s="10"/>
      <c r="K172" s="10"/>
      <c r="L172" s="9"/>
      <c r="M172" s="9"/>
    </row>
    <row r="173" spans="1:13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  <c r="K173" s="14"/>
    </row>
    <row r="174" spans="1:13" s="9" customFormat="1" ht="21.9" customHeight="1">
      <c r="A174" s="13"/>
      <c r="B174" s="13"/>
      <c r="C174" s="13"/>
      <c r="D174" s="13"/>
      <c r="E174" s="13"/>
      <c r="F174" s="14"/>
      <c r="G174" s="14"/>
      <c r="H174" s="14"/>
      <c r="I174" s="14"/>
      <c r="J174" s="14"/>
      <c r="K174" s="14"/>
    </row>
    <row r="175" spans="1:13" s="9" customFormat="1" ht="21.9" customHeight="1">
      <c r="A175" s="13"/>
      <c r="B175" s="13"/>
      <c r="C175" s="13"/>
      <c r="D175" s="13"/>
      <c r="E175" s="13"/>
      <c r="F175" s="14"/>
      <c r="G175" s="14"/>
      <c r="H175" s="14"/>
      <c r="I175" s="14"/>
      <c r="J175" s="14"/>
      <c r="K175" s="14"/>
    </row>
    <row r="176" spans="1:13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  <c r="K176" s="8"/>
    </row>
    <row r="177" spans="1:11" s="9" customFormat="1" ht="21.9" customHeight="1">
      <c r="A177" s="13"/>
      <c r="B177" s="13"/>
      <c r="C177" s="13"/>
      <c r="D177" s="13"/>
      <c r="E177" s="13"/>
      <c r="F177" s="14"/>
      <c r="G177" s="14"/>
      <c r="H177" s="14"/>
      <c r="I177" s="14"/>
      <c r="J177" s="14"/>
      <c r="K177" s="14"/>
    </row>
    <row r="178" spans="1:11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  <c r="K178" s="10"/>
    </row>
    <row r="179" spans="1:11" s="9" customFormat="1" ht="21.9" customHeight="1">
      <c r="A179" s="13"/>
      <c r="B179" s="13"/>
      <c r="C179" s="13"/>
      <c r="D179" s="13"/>
      <c r="E179" s="13"/>
      <c r="F179" s="12"/>
      <c r="G179" s="12"/>
      <c r="H179" s="12"/>
      <c r="I179" s="12"/>
      <c r="J179" s="12"/>
      <c r="K179" s="12"/>
    </row>
    <row r="180" spans="1:11" s="9" customFormat="1" ht="21.9" customHeight="1">
      <c r="A180" s="13"/>
      <c r="B180" s="13"/>
      <c r="C180" s="13"/>
      <c r="D180" s="13"/>
      <c r="E180" s="13"/>
      <c r="F180" s="12"/>
      <c r="G180" s="12"/>
      <c r="H180" s="12"/>
      <c r="I180" s="12"/>
      <c r="J180" s="12"/>
      <c r="K180" s="12"/>
    </row>
    <row r="181" spans="1:11" s="9" customFormat="1" ht="21.9" customHeight="1">
      <c r="A181" s="13"/>
      <c r="B181" s="13"/>
      <c r="C181" s="13"/>
      <c r="D181" s="13"/>
      <c r="E181" s="13"/>
      <c r="F181" s="12"/>
      <c r="G181" s="12"/>
      <c r="H181" s="12"/>
      <c r="I181" s="12"/>
      <c r="J181" s="12"/>
      <c r="K181" s="12"/>
    </row>
    <row r="182" spans="1:11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  <c r="K182" s="12"/>
    </row>
    <row r="183" spans="1:11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  <c r="K183" s="12"/>
    </row>
    <row r="184" spans="1:11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  <c r="K184" s="12"/>
    </row>
    <row r="185" spans="1:11" s="9" customFormat="1" ht="21.9" customHeight="1">
      <c r="A185" s="13"/>
      <c r="B185" s="13"/>
      <c r="C185" s="13"/>
      <c r="D185" s="13"/>
      <c r="E185" s="13"/>
      <c r="F185" s="14"/>
      <c r="G185" s="14"/>
      <c r="H185" s="14"/>
      <c r="I185" s="14"/>
      <c r="J185" s="14"/>
      <c r="K185" s="14"/>
    </row>
    <row r="186" spans="1:11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  <c r="K186" s="8"/>
    </row>
    <row r="187" spans="1:11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  <c r="K187" s="8"/>
    </row>
    <row r="188" spans="1:11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  <c r="K188" s="8"/>
    </row>
    <row r="189" spans="1:11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  <c r="K189" s="8"/>
    </row>
    <row r="190" spans="1:11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  <c r="K190" s="8"/>
    </row>
    <row r="191" spans="1:11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  <c r="K191" s="8"/>
    </row>
    <row r="192" spans="1:11" s="9" customFormat="1" ht="21.9" customHeight="1">
      <c r="A192" s="13"/>
      <c r="B192" s="13"/>
      <c r="C192" s="13"/>
      <c r="D192" s="13"/>
      <c r="E192" s="13"/>
      <c r="F192" s="10"/>
      <c r="G192" s="10"/>
      <c r="H192" s="10"/>
      <c r="I192" s="10"/>
      <c r="J192" s="10"/>
      <c r="K192" s="10"/>
    </row>
    <row r="193" spans="1:11" s="9" customFormat="1" ht="21.9" customHeight="1">
      <c r="A193" s="13"/>
      <c r="B193" s="13"/>
      <c r="C193" s="13"/>
      <c r="D193" s="13"/>
      <c r="E193" s="13"/>
      <c r="F193" s="10"/>
      <c r="G193" s="10"/>
      <c r="H193" s="10"/>
      <c r="I193" s="10"/>
      <c r="J193" s="10"/>
      <c r="K193" s="10"/>
    </row>
    <row r="194" spans="1:11" s="9" customFormat="1" ht="21.9" customHeight="1">
      <c r="A194" s="13"/>
      <c r="B194" s="13"/>
      <c r="C194" s="13"/>
      <c r="D194" s="13"/>
      <c r="E194" s="13"/>
      <c r="F194" s="10"/>
      <c r="G194" s="10"/>
      <c r="H194" s="10"/>
      <c r="I194" s="10"/>
      <c r="J194" s="10"/>
      <c r="K194" s="10"/>
    </row>
    <row r="195" spans="1:11" s="9" customFormat="1" ht="21.9" customHeight="1">
      <c r="A195" s="13"/>
      <c r="B195" s="13"/>
      <c r="C195" s="13"/>
      <c r="D195" s="13"/>
      <c r="E195" s="13"/>
      <c r="F195" s="10"/>
      <c r="G195" s="10"/>
      <c r="H195" s="10"/>
      <c r="I195" s="10"/>
      <c r="J195" s="10"/>
      <c r="K195" s="10"/>
    </row>
    <row r="196" spans="1:11" s="9" customFormat="1" ht="21.9" customHeight="1">
      <c r="A196" s="13"/>
      <c r="B196" s="13"/>
      <c r="C196" s="13"/>
      <c r="D196" s="13"/>
      <c r="E196" s="13"/>
      <c r="F196" s="12"/>
      <c r="G196" s="12"/>
      <c r="H196" s="12"/>
      <c r="I196" s="12"/>
      <c r="J196" s="12"/>
      <c r="K196" s="12"/>
    </row>
    <row r="197" spans="1:11" s="9" customFormat="1" ht="21.9" customHeight="1">
      <c r="A197" s="13"/>
      <c r="B197" s="13"/>
      <c r="C197" s="13"/>
      <c r="D197" s="13"/>
      <c r="E197" s="13"/>
      <c r="F197" s="12"/>
      <c r="G197" s="12"/>
      <c r="H197" s="12"/>
      <c r="I197" s="12"/>
      <c r="J197" s="12"/>
      <c r="K197" s="12"/>
    </row>
    <row r="198" spans="1:11" s="9" customFormat="1" ht="21.9" customHeight="1">
      <c r="A198" s="13"/>
      <c r="B198" s="13"/>
      <c r="C198" s="13"/>
      <c r="D198" s="13"/>
      <c r="E198" s="13"/>
      <c r="F198" s="12"/>
      <c r="G198" s="12"/>
      <c r="H198" s="12"/>
      <c r="I198" s="12"/>
      <c r="J198" s="12"/>
      <c r="K198" s="12"/>
    </row>
    <row r="199" spans="1:11" s="9" customFormat="1" ht="21.9" customHeight="1">
      <c r="A199" s="13"/>
      <c r="B199" s="13"/>
      <c r="C199" s="13"/>
      <c r="D199" s="13"/>
      <c r="E199" s="13"/>
      <c r="F199" s="8"/>
      <c r="G199" s="8"/>
      <c r="H199" s="8"/>
      <c r="I199" s="8"/>
      <c r="J199" s="8"/>
      <c r="K199" s="8"/>
    </row>
    <row r="200" spans="1:11" s="9" customFormat="1" ht="21.9" customHeight="1">
      <c r="A200" s="13"/>
      <c r="B200" s="13"/>
      <c r="C200" s="13"/>
      <c r="D200" s="13"/>
      <c r="E200" s="13"/>
      <c r="F200" s="8"/>
      <c r="G200" s="8"/>
      <c r="H200" s="8"/>
      <c r="I200" s="8"/>
      <c r="J200" s="8"/>
      <c r="K200" s="8"/>
    </row>
    <row r="201" spans="1:11" s="9" customFormat="1" ht="21.9" customHeight="1">
      <c r="A201" s="13"/>
      <c r="B201" s="13"/>
      <c r="C201" s="13"/>
      <c r="D201" s="13"/>
      <c r="E201" s="13"/>
      <c r="F201" s="12"/>
      <c r="G201" s="12"/>
      <c r="H201" s="12"/>
      <c r="I201" s="12"/>
      <c r="J201" s="12"/>
      <c r="K201" s="12"/>
    </row>
    <row r="202" spans="1:11" s="9" customFormat="1" ht="21.9" customHeight="1">
      <c r="A202" s="13"/>
      <c r="B202" s="13"/>
      <c r="C202" s="13"/>
      <c r="D202" s="13"/>
      <c r="E202" s="13"/>
      <c r="F202" s="12"/>
      <c r="G202" s="12"/>
      <c r="H202" s="12"/>
      <c r="I202" s="12"/>
      <c r="J202" s="12"/>
      <c r="K202" s="12"/>
    </row>
    <row r="203" spans="1:11" s="9" customFormat="1" ht="21.9" customHeight="1">
      <c r="A203" s="13"/>
      <c r="B203" s="13"/>
      <c r="C203" s="13"/>
      <c r="D203" s="13"/>
      <c r="E203" s="13"/>
      <c r="F203" s="8"/>
      <c r="G203" s="8"/>
      <c r="H203" s="8"/>
      <c r="I203" s="8"/>
      <c r="J203" s="8"/>
      <c r="K203" s="8"/>
    </row>
    <row r="204" spans="1:11" s="9" customFormat="1" ht="21.9" customHeight="1">
      <c r="A204" s="13"/>
      <c r="B204" s="13"/>
      <c r="C204" s="13"/>
      <c r="D204" s="13"/>
      <c r="E204" s="13"/>
      <c r="F204" s="8"/>
      <c r="G204" s="8"/>
      <c r="H204" s="8"/>
      <c r="I204" s="8"/>
      <c r="J204" s="8"/>
      <c r="K204" s="8"/>
    </row>
    <row r="205" spans="1:11" s="9" customFormat="1" ht="21.9" customHeight="1">
      <c r="A205" s="13"/>
      <c r="B205" s="13"/>
      <c r="C205" s="13"/>
      <c r="D205" s="13"/>
      <c r="E205" s="13"/>
      <c r="F205" s="8"/>
      <c r="G205" s="8"/>
      <c r="H205" s="8"/>
      <c r="I205" s="8"/>
      <c r="J205" s="8"/>
      <c r="K205" s="8"/>
    </row>
    <row r="206" spans="1:11" s="9" customFormat="1" ht="21.9" customHeight="1">
      <c r="A206" s="13"/>
      <c r="B206" s="13"/>
      <c r="C206" s="13"/>
      <c r="D206" s="13"/>
      <c r="E206" s="13"/>
      <c r="F206" s="8"/>
      <c r="G206" s="8"/>
      <c r="H206" s="8"/>
      <c r="I206" s="8"/>
      <c r="J206" s="8"/>
      <c r="K206" s="8"/>
    </row>
    <row r="207" spans="1:11" s="9" customFormat="1" ht="21.9" customHeight="1">
      <c r="A207" s="13"/>
      <c r="B207" s="13"/>
      <c r="C207" s="13"/>
      <c r="D207" s="13"/>
      <c r="E207" s="13"/>
      <c r="F207" s="8"/>
      <c r="G207" s="8"/>
      <c r="H207" s="8"/>
      <c r="I207" s="8"/>
      <c r="J207" s="8"/>
      <c r="K207" s="8"/>
    </row>
    <row r="208" spans="1:11" s="9" customFormat="1" ht="21.9" customHeight="1">
      <c r="A208" s="13"/>
      <c r="B208" s="13"/>
      <c r="C208" s="13"/>
      <c r="D208" s="13"/>
      <c r="E208" s="13"/>
      <c r="F208" s="8"/>
      <c r="G208" s="8"/>
      <c r="H208" s="8"/>
      <c r="I208" s="8"/>
      <c r="J208" s="8"/>
      <c r="K208" s="8"/>
    </row>
    <row r="209" spans="1:11" s="9" customFormat="1" ht="21.9" customHeight="1">
      <c r="A209" s="13"/>
      <c r="B209" s="13"/>
      <c r="C209" s="13"/>
      <c r="D209" s="13"/>
      <c r="E209" s="13"/>
      <c r="F209" s="11"/>
      <c r="G209" s="11"/>
      <c r="H209" s="11"/>
      <c r="I209" s="11"/>
      <c r="J209" s="11"/>
      <c r="K209" s="11"/>
    </row>
    <row r="210" spans="1:11" s="9" customFormat="1" ht="21.9" customHeight="1">
      <c r="A210" s="13"/>
      <c r="B210" s="13"/>
      <c r="C210" s="13"/>
      <c r="D210" s="13"/>
      <c r="E210" s="13"/>
      <c r="F210" s="11"/>
      <c r="G210" s="11"/>
      <c r="H210" s="11"/>
      <c r="I210" s="11"/>
      <c r="J210" s="11"/>
      <c r="K210" s="11"/>
    </row>
    <row r="211" spans="1:11" s="9" customFormat="1" ht="21.9" customHeight="1">
      <c r="A211" s="13"/>
      <c r="B211" s="13"/>
      <c r="C211" s="13"/>
      <c r="D211" s="13"/>
      <c r="E211" s="13"/>
      <c r="F211" s="11"/>
      <c r="G211" s="11"/>
      <c r="H211" s="11"/>
      <c r="I211" s="11"/>
      <c r="J211" s="11"/>
      <c r="K211" s="11"/>
    </row>
    <row r="212" spans="1:11" s="9" customFormat="1" ht="21.9" customHeight="1">
      <c r="A212" s="13"/>
      <c r="B212" s="13"/>
      <c r="C212" s="13"/>
      <c r="D212" s="13"/>
      <c r="E212" s="13"/>
      <c r="F212" s="11"/>
      <c r="G212" s="11"/>
      <c r="H212" s="11"/>
      <c r="I212" s="11"/>
      <c r="J212" s="11"/>
      <c r="K212" s="11"/>
    </row>
    <row r="213" spans="1:11" s="9" customFormat="1" ht="21.9" customHeight="1">
      <c r="A213" s="15"/>
      <c r="B213" s="15"/>
      <c r="C213" s="15"/>
      <c r="D213" s="15"/>
      <c r="E213" s="15"/>
      <c r="F213" s="12"/>
      <c r="G213" s="12"/>
      <c r="H213" s="12"/>
      <c r="I213" s="12"/>
      <c r="J213" s="12"/>
      <c r="K213" s="12"/>
    </row>
    <row r="214" spans="1:11" s="9" customFormat="1" ht="21.9" customHeight="1">
      <c r="A214" s="15"/>
      <c r="B214" s="15"/>
      <c r="C214" s="15"/>
      <c r="D214" s="15"/>
      <c r="E214" s="15"/>
      <c r="F214" s="11"/>
      <c r="G214" s="11"/>
      <c r="H214" s="11"/>
      <c r="I214" s="11"/>
      <c r="J214" s="11"/>
      <c r="K214" s="11"/>
    </row>
    <row r="215" spans="1:11" s="9" customFormat="1" ht="21.9" customHeight="1">
      <c r="A215" s="15"/>
      <c r="B215" s="15"/>
      <c r="C215" s="15"/>
      <c r="D215" s="15"/>
      <c r="E215" s="15"/>
      <c r="F215" s="12"/>
      <c r="G215" s="12"/>
      <c r="H215" s="12"/>
      <c r="I215" s="12"/>
      <c r="J215" s="12"/>
      <c r="K215" s="12"/>
    </row>
    <row r="216" spans="1:11" s="9" customFormat="1" ht="21.9" customHeight="1">
      <c r="A216" s="15"/>
      <c r="B216" s="15"/>
      <c r="C216" s="15"/>
      <c r="D216" s="15"/>
      <c r="E216" s="15"/>
      <c r="F216" s="12"/>
      <c r="G216" s="12"/>
      <c r="H216" s="12"/>
      <c r="I216" s="12"/>
      <c r="J216" s="12"/>
      <c r="K216" s="12"/>
    </row>
    <row r="217" spans="1:11" s="9" customFormat="1" ht="21.9" customHeight="1">
      <c r="A217" s="15"/>
      <c r="B217" s="15"/>
      <c r="C217" s="15"/>
      <c r="D217" s="15"/>
      <c r="E217" s="15"/>
      <c r="F217" s="12"/>
      <c r="G217" s="12"/>
      <c r="H217" s="12"/>
      <c r="I217" s="12"/>
      <c r="J217" s="12"/>
      <c r="K217" s="12"/>
    </row>
    <row r="218" spans="1:11" s="9" customFormat="1" ht="21.9" customHeight="1">
      <c r="A218" s="15"/>
      <c r="B218" s="15"/>
      <c r="C218" s="15"/>
      <c r="D218" s="15"/>
      <c r="E218" s="15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5"/>
      <c r="B219" s="15"/>
      <c r="C219" s="15"/>
      <c r="D219" s="15"/>
      <c r="E219" s="15"/>
      <c r="F219" s="12"/>
      <c r="G219" s="12"/>
      <c r="H219" s="12"/>
      <c r="I219" s="12"/>
      <c r="J219" s="12"/>
      <c r="K219" s="12"/>
    </row>
    <row r="220" spans="1:11" s="9" customFormat="1" ht="21.9" customHeight="1">
      <c r="A220" s="15"/>
      <c r="B220" s="15"/>
      <c r="C220" s="15"/>
      <c r="D220" s="15"/>
      <c r="E220" s="15"/>
      <c r="F220" s="12"/>
      <c r="G220" s="12"/>
      <c r="H220" s="12"/>
      <c r="I220" s="12"/>
      <c r="J220" s="12"/>
      <c r="K220" s="12"/>
    </row>
    <row r="221" spans="1:11" s="9" customFormat="1" ht="21.9" customHeight="1">
      <c r="A221" s="15"/>
      <c r="B221" s="15"/>
      <c r="C221" s="15"/>
      <c r="D221" s="15"/>
      <c r="E221" s="15"/>
      <c r="F221" s="8"/>
      <c r="G221" s="8"/>
      <c r="H221" s="8"/>
      <c r="I221" s="8"/>
      <c r="J221" s="8"/>
      <c r="K221" s="8"/>
    </row>
    <row r="222" spans="1:11" s="9" customFormat="1" ht="21.9" customHeight="1">
      <c r="A222" s="15"/>
      <c r="B222" s="15"/>
      <c r="C222" s="15"/>
      <c r="D222" s="15"/>
      <c r="E222" s="15"/>
      <c r="F222" s="12"/>
      <c r="G222" s="12"/>
      <c r="H222" s="12"/>
      <c r="I222" s="12"/>
      <c r="J222" s="12"/>
      <c r="K222" s="12"/>
    </row>
    <row r="223" spans="1:11" s="9" customFormat="1" ht="21.9" customHeight="1">
      <c r="A223" s="15"/>
      <c r="B223" s="15"/>
      <c r="C223" s="15"/>
      <c r="D223" s="15"/>
      <c r="E223" s="15"/>
      <c r="F223" s="12"/>
      <c r="G223" s="12"/>
      <c r="H223" s="12"/>
      <c r="I223" s="12"/>
      <c r="J223" s="12"/>
      <c r="K223" s="12"/>
    </row>
    <row r="224" spans="1:11" s="9" customFormat="1" ht="21.9" customHeight="1">
      <c r="A224" s="15"/>
      <c r="B224" s="15"/>
      <c r="C224" s="15"/>
      <c r="D224" s="15"/>
      <c r="E224" s="15"/>
      <c r="F224" s="12"/>
      <c r="G224" s="12"/>
      <c r="H224" s="12"/>
      <c r="I224" s="12"/>
      <c r="J224" s="12"/>
      <c r="K224" s="12"/>
    </row>
    <row r="225" spans="1:11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  <c r="K225" s="8"/>
    </row>
    <row r="226" spans="1:11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  <c r="K226" s="8"/>
    </row>
    <row r="227" spans="1:11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  <c r="K227" s="8"/>
    </row>
    <row r="228" spans="1:11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  <c r="K228" s="8"/>
    </row>
    <row r="229" spans="1:11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  <c r="K229" s="8"/>
    </row>
    <row r="230" spans="1:11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  <c r="K230" s="8"/>
    </row>
    <row r="231" spans="1:11" s="9" customFormat="1" ht="21.9" customHeight="1">
      <c r="A231" s="15"/>
      <c r="B231" s="15"/>
      <c r="C231" s="15"/>
      <c r="D231" s="15"/>
      <c r="E231" s="15"/>
      <c r="F231" s="11"/>
      <c r="G231" s="11"/>
      <c r="H231" s="11"/>
      <c r="I231" s="11"/>
      <c r="J231" s="11"/>
      <c r="K231" s="11"/>
    </row>
    <row r="232" spans="1:11" s="9" customFormat="1" ht="21.9" customHeight="1">
      <c r="A232" s="15"/>
      <c r="B232" s="15"/>
      <c r="C232" s="15"/>
      <c r="D232" s="15"/>
      <c r="E232" s="15"/>
      <c r="F232" s="11"/>
      <c r="G232" s="11"/>
      <c r="H232" s="11"/>
      <c r="I232" s="11"/>
      <c r="J232" s="11"/>
      <c r="K232" s="11"/>
    </row>
    <row r="233" spans="1:11" s="9" customFormat="1" ht="21.9" customHeight="1">
      <c r="A233" s="15"/>
      <c r="B233" s="15"/>
      <c r="C233" s="15"/>
      <c r="D233" s="15"/>
      <c r="E233" s="15"/>
      <c r="F233" s="11"/>
      <c r="G233" s="11"/>
      <c r="H233" s="11"/>
      <c r="I233" s="11"/>
      <c r="J233" s="11"/>
      <c r="K233" s="11"/>
    </row>
    <row r="234" spans="1:11" s="9" customFormat="1" ht="21.9" customHeight="1">
      <c r="A234" s="15"/>
      <c r="B234" s="15"/>
      <c r="C234" s="15"/>
      <c r="D234" s="15"/>
      <c r="E234" s="15"/>
      <c r="F234" s="11"/>
      <c r="G234" s="11"/>
      <c r="H234" s="11"/>
      <c r="I234" s="11"/>
      <c r="J234" s="11"/>
      <c r="K234" s="11"/>
    </row>
    <row r="235" spans="1:11" s="9" customFormat="1" ht="21.9" customHeight="1">
      <c r="A235" s="15"/>
      <c r="B235" s="15"/>
      <c r="C235" s="15"/>
      <c r="D235" s="15"/>
      <c r="E235" s="15"/>
      <c r="F235" s="11"/>
      <c r="G235" s="11"/>
      <c r="H235" s="11"/>
      <c r="I235" s="11"/>
      <c r="J235" s="11"/>
      <c r="K235" s="11"/>
    </row>
    <row r="236" spans="1:11" s="9" customFormat="1" ht="21.9" customHeight="1">
      <c r="A236" s="15"/>
      <c r="B236" s="15"/>
      <c r="C236" s="15"/>
      <c r="D236" s="15"/>
      <c r="E236" s="15"/>
      <c r="F236" s="11"/>
      <c r="G236" s="11"/>
      <c r="H236" s="11"/>
      <c r="I236" s="11"/>
      <c r="J236" s="11"/>
      <c r="K236" s="11"/>
    </row>
    <row r="237" spans="1:11" s="9" customFormat="1" ht="21.9" customHeight="1">
      <c r="A237" s="15"/>
      <c r="B237" s="15"/>
      <c r="C237" s="15"/>
      <c r="D237" s="15"/>
      <c r="E237" s="15"/>
      <c r="F237" s="8"/>
      <c r="G237" s="8"/>
      <c r="H237" s="8"/>
      <c r="I237" s="8"/>
      <c r="J237" s="8"/>
      <c r="K237" s="8"/>
    </row>
    <row r="238" spans="1:11" s="9" customFormat="1" ht="21.9" customHeight="1">
      <c r="A238" s="15"/>
      <c r="B238" s="15"/>
      <c r="C238" s="15"/>
      <c r="D238" s="15"/>
      <c r="E238" s="15"/>
      <c r="F238" s="8"/>
      <c r="G238" s="8"/>
      <c r="H238" s="8"/>
      <c r="I238" s="8"/>
      <c r="J238" s="8"/>
      <c r="K238" s="8"/>
    </row>
    <row r="239" spans="1:11" s="9" customFormat="1" ht="21.9" customHeight="1">
      <c r="A239" s="15"/>
      <c r="B239" s="15"/>
      <c r="C239" s="15"/>
      <c r="D239" s="15"/>
      <c r="E239" s="15"/>
      <c r="F239" s="8"/>
      <c r="G239" s="8"/>
      <c r="H239" s="8"/>
      <c r="I239" s="8"/>
      <c r="J239" s="8"/>
      <c r="K239" s="8"/>
    </row>
    <row r="240" spans="1:11" s="9" customFormat="1" ht="21.9" customHeight="1">
      <c r="A240" s="15"/>
      <c r="B240" s="15"/>
      <c r="C240" s="15"/>
      <c r="D240" s="15"/>
      <c r="E240" s="15"/>
      <c r="F240" s="8"/>
      <c r="G240" s="8"/>
      <c r="H240" s="8"/>
      <c r="I240" s="8"/>
      <c r="J240" s="8"/>
      <c r="K240" s="8"/>
    </row>
    <row r="241" spans="1:11" s="9" customFormat="1" ht="21.9" customHeight="1">
      <c r="A241" s="15"/>
      <c r="B241" s="15"/>
      <c r="C241" s="15"/>
      <c r="D241" s="15"/>
      <c r="E241" s="15"/>
      <c r="F241" s="8"/>
      <c r="G241" s="8"/>
      <c r="H241" s="8"/>
      <c r="I241" s="8"/>
      <c r="J241" s="8"/>
      <c r="K241" s="8"/>
    </row>
    <row r="242" spans="1:11" s="9" customFormat="1" ht="21.9" customHeight="1">
      <c r="A242" s="15"/>
      <c r="B242" s="15"/>
      <c r="C242" s="15"/>
      <c r="D242" s="15"/>
      <c r="E242" s="15"/>
      <c r="F242" s="8"/>
      <c r="G242" s="8"/>
      <c r="H242" s="8"/>
      <c r="I242" s="8"/>
      <c r="J242" s="8"/>
      <c r="K242" s="8"/>
    </row>
    <row r="243" spans="1:11" s="9" customFormat="1" ht="21.9" customHeight="1">
      <c r="A243" s="15"/>
      <c r="B243" s="15"/>
      <c r="C243" s="15"/>
      <c r="D243" s="15"/>
      <c r="E243" s="15"/>
      <c r="F243" s="8"/>
      <c r="G243" s="8"/>
      <c r="H243" s="8"/>
      <c r="I243" s="8"/>
      <c r="J243" s="8"/>
      <c r="K243" s="8"/>
    </row>
    <row r="244" spans="1:11" s="9" customFormat="1" ht="21.9" customHeight="1">
      <c r="A244" s="6"/>
      <c r="B244" s="6"/>
      <c r="C244" s="6"/>
      <c r="D244" s="6"/>
      <c r="E244" s="6"/>
      <c r="F244" s="12"/>
      <c r="G244" s="12"/>
      <c r="H244" s="12"/>
      <c r="I244" s="12"/>
      <c r="J244" s="12"/>
      <c r="K244" s="12"/>
    </row>
    <row r="245" spans="1:11" s="9" customFormat="1" ht="21.9" customHeight="1">
      <c r="A245" s="6"/>
      <c r="B245" s="6"/>
      <c r="C245" s="6"/>
      <c r="D245" s="6"/>
      <c r="E245" s="6"/>
      <c r="F245" s="12"/>
      <c r="G245" s="12"/>
      <c r="H245" s="12"/>
      <c r="I245" s="12"/>
      <c r="J245" s="12"/>
      <c r="K245" s="12"/>
    </row>
    <row r="246" spans="1:11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  <c r="K246" s="11"/>
    </row>
    <row r="247" spans="1:11" s="9" customFormat="1" ht="21.9" customHeight="1">
      <c r="A247" s="6"/>
      <c r="B247" s="6"/>
      <c r="C247" s="6"/>
      <c r="D247" s="6"/>
      <c r="E247" s="6"/>
      <c r="F247" s="12"/>
      <c r="G247" s="12"/>
      <c r="H247" s="12"/>
      <c r="I247" s="12"/>
      <c r="J247" s="12"/>
      <c r="K247" s="12"/>
    </row>
    <row r="248" spans="1:11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  <c r="K248" s="8"/>
    </row>
    <row r="249" spans="1:11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  <c r="K249" s="8"/>
    </row>
    <row r="250" spans="1:11" s="9" customFormat="1" ht="21.9" customHeight="1">
      <c r="A250" s="6"/>
      <c r="B250" s="6"/>
      <c r="C250" s="6"/>
      <c r="D250" s="6"/>
      <c r="E250" s="6"/>
      <c r="F250" s="11"/>
      <c r="G250" s="11"/>
      <c r="H250" s="11"/>
      <c r="I250" s="11"/>
      <c r="J250" s="11"/>
      <c r="K250" s="11"/>
    </row>
    <row r="251" spans="1:11" s="9" customFormat="1" ht="21.9" customHeight="1">
      <c r="A251" s="6"/>
      <c r="B251" s="6"/>
      <c r="C251" s="6"/>
      <c r="D251" s="6"/>
      <c r="E251" s="6"/>
      <c r="F251" s="12"/>
      <c r="G251" s="12"/>
      <c r="H251" s="12"/>
      <c r="I251" s="12"/>
      <c r="J251" s="12"/>
      <c r="K251" s="12"/>
    </row>
    <row r="252" spans="1:11" s="9" customFormat="1" ht="21.9" customHeight="1">
      <c r="A252" s="6"/>
      <c r="B252" s="6"/>
      <c r="C252" s="6"/>
      <c r="D252" s="6"/>
      <c r="E252" s="6"/>
      <c r="F252" s="11"/>
      <c r="G252" s="11"/>
      <c r="H252" s="11"/>
      <c r="I252" s="11"/>
      <c r="J252" s="11"/>
      <c r="K252" s="11"/>
    </row>
    <row r="253" spans="1:11" s="9" customFormat="1" ht="21.9" customHeight="1">
      <c r="A253" s="6"/>
      <c r="B253" s="6"/>
      <c r="C253" s="6"/>
      <c r="D253" s="6"/>
      <c r="E253" s="6"/>
      <c r="F253" s="11"/>
      <c r="G253" s="11"/>
      <c r="H253" s="11"/>
      <c r="I253" s="11"/>
      <c r="J253" s="11"/>
      <c r="K253" s="11"/>
    </row>
    <row r="254" spans="1:11" s="9" customFormat="1" ht="21.9" customHeight="1">
      <c r="A254" s="6"/>
      <c r="B254" s="6"/>
      <c r="C254" s="6"/>
      <c r="D254" s="6"/>
      <c r="E254" s="6"/>
      <c r="F254" s="11"/>
      <c r="G254" s="11"/>
      <c r="H254" s="11"/>
      <c r="I254" s="11"/>
      <c r="J254" s="11"/>
      <c r="K254" s="11"/>
    </row>
    <row r="255" spans="1:11" s="9" customFormat="1" ht="21.9" customHeight="1">
      <c r="A255" s="6"/>
      <c r="B255" s="6"/>
      <c r="C255" s="6"/>
      <c r="D255" s="6"/>
      <c r="E255" s="6"/>
      <c r="F255" s="11"/>
      <c r="G255" s="11"/>
      <c r="H255" s="11"/>
      <c r="I255" s="11"/>
      <c r="J255" s="11"/>
      <c r="K255" s="11"/>
    </row>
    <row r="256" spans="1:11" s="9" customFormat="1" ht="21.9" customHeight="1">
      <c r="A256" s="6"/>
      <c r="B256" s="6"/>
      <c r="C256" s="6"/>
      <c r="D256" s="6"/>
      <c r="E256" s="6"/>
      <c r="F256" s="11"/>
      <c r="G256" s="11"/>
      <c r="H256" s="11"/>
      <c r="I256" s="11"/>
      <c r="J256" s="11"/>
      <c r="K256" s="11"/>
    </row>
    <row r="257" spans="1:11" s="9" customFormat="1" ht="21.9" customHeight="1">
      <c r="A257" s="6"/>
      <c r="B257" s="6"/>
      <c r="C257" s="6"/>
      <c r="D257" s="6"/>
      <c r="E257" s="6"/>
      <c r="F257" s="11"/>
      <c r="G257" s="11"/>
      <c r="H257" s="11"/>
      <c r="I257" s="11"/>
      <c r="J257" s="11"/>
      <c r="K257" s="11"/>
    </row>
    <row r="258" spans="1:11" s="9" customFormat="1" ht="21.9" customHeight="1">
      <c r="A258" s="6"/>
      <c r="B258" s="6"/>
      <c r="C258" s="6"/>
      <c r="D258" s="6"/>
      <c r="E258" s="6"/>
      <c r="F258" s="11"/>
      <c r="G258" s="11"/>
      <c r="H258" s="11"/>
      <c r="I258" s="11"/>
      <c r="J258" s="11"/>
      <c r="K258" s="11"/>
    </row>
    <row r="259" spans="1:11" s="9" customFormat="1" ht="21.9" customHeight="1">
      <c r="A259" s="6"/>
      <c r="B259" s="6"/>
      <c r="C259" s="6"/>
      <c r="D259" s="6"/>
      <c r="E259" s="6"/>
      <c r="F259" s="11"/>
      <c r="G259" s="11"/>
      <c r="H259" s="11"/>
      <c r="I259" s="11"/>
      <c r="J259" s="11"/>
      <c r="K259" s="11"/>
    </row>
    <row r="260" spans="1:11" s="9" customFormat="1" ht="21.9" customHeight="1">
      <c r="A260" s="6"/>
      <c r="B260" s="6"/>
      <c r="C260" s="6"/>
      <c r="D260" s="6"/>
      <c r="E260" s="6"/>
      <c r="F260" s="8"/>
      <c r="G260" s="8"/>
      <c r="H260" s="8"/>
      <c r="I260" s="8"/>
      <c r="J260" s="8"/>
      <c r="K260" s="8"/>
    </row>
    <row r="261" spans="1:11" s="9" customFormat="1" ht="21.9" customHeight="1">
      <c r="A261" s="6"/>
      <c r="B261" s="6"/>
      <c r="C261" s="6"/>
      <c r="D261" s="6"/>
      <c r="E261" s="6"/>
      <c r="F261" s="8"/>
      <c r="G261" s="8"/>
      <c r="H261" s="8"/>
      <c r="I261" s="8"/>
      <c r="J261" s="8"/>
      <c r="K261" s="8"/>
    </row>
    <row r="262" spans="1:11" s="9" customFormat="1" ht="21.9" customHeight="1">
      <c r="A262" s="6"/>
      <c r="B262" s="6"/>
      <c r="C262" s="6"/>
      <c r="D262" s="6"/>
      <c r="E262" s="6"/>
      <c r="F262" s="8"/>
      <c r="G262" s="8"/>
      <c r="H262" s="8"/>
      <c r="I262" s="8"/>
      <c r="J262" s="8"/>
      <c r="K262" s="8"/>
    </row>
    <row r="263" spans="1:11" s="9" customFormat="1" ht="21.9" customHeight="1">
      <c r="A263" s="6"/>
      <c r="B263" s="6"/>
      <c r="C263" s="6"/>
      <c r="D263" s="6"/>
      <c r="E263" s="6"/>
      <c r="F263" s="8"/>
      <c r="G263" s="8"/>
      <c r="H263" s="8"/>
      <c r="I263" s="8"/>
      <c r="J263" s="8"/>
      <c r="K263" s="8"/>
    </row>
    <row r="264" spans="1:11" s="9" customFormat="1" ht="21.9" customHeight="1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21.9" customHeight="1">
      <c r="A265" s="6"/>
      <c r="B265" s="6"/>
      <c r="C265" s="6"/>
      <c r="D265" s="6"/>
      <c r="E265" s="6"/>
      <c r="F265" s="8"/>
      <c r="G265" s="8"/>
      <c r="H265" s="8"/>
      <c r="I265" s="8"/>
      <c r="J265" s="8"/>
      <c r="K265" s="8"/>
    </row>
    <row r="266" spans="1:11" s="9" customFormat="1" ht="13.2">
      <c r="A266" s="6"/>
      <c r="B266" s="6"/>
      <c r="C266" s="6"/>
      <c r="D266" s="6"/>
      <c r="E266" s="6"/>
      <c r="F266" s="12"/>
      <c r="G266" s="12"/>
      <c r="H266" s="12"/>
      <c r="I266" s="12"/>
      <c r="J266" s="12"/>
      <c r="K266" s="12"/>
    </row>
    <row r="267" spans="1:11" s="9" customFormat="1" ht="13.2">
      <c r="A267" s="6"/>
      <c r="B267" s="6"/>
      <c r="C267" s="6"/>
      <c r="D267" s="6"/>
      <c r="E267" s="6"/>
      <c r="F267" s="10"/>
      <c r="G267" s="10"/>
      <c r="H267" s="10"/>
      <c r="I267" s="10"/>
      <c r="J267" s="10"/>
      <c r="K267" s="10"/>
    </row>
    <row r="268" spans="1:11" s="9" customFormat="1" ht="13.2">
      <c r="A268" s="6"/>
      <c r="B268" s="6"/>
      <c r="C268" s="6"/>
      <c r="D268" s="6"/>
      <c r="E268" s="6"/>
      <c r="F268" s="12"/>
      <c r="G268" s="12"/>
      <c r="H268" s="12"/>
      <c r="I268" s="12"/>
      <c r="J268" s="12"/>
      <c r="K268" s="12"/>
    </row>
    <row r="269" spans="1:11" s="9" customFormat="1" ht="13.2">
      <c r="A269" s="6"/>
      <c r="B269" s="6"/>
      <c r="C269" s="6"/>
      <c r="D269" s="6"/>
      <c r="E269" s="6"/>
      <c r="F269" s="12"/>
      <c r="G269" s="12"/>
      <c r="H269" s="12"/>
      <c r="I269" s="12"/>
      <c r="J269" s="12"/>
      <c r="K269" s="12"/>
    </row>
    <row r="270" spans="1:11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  <c r="K270" s="8"/>
    </row>
    <row r="271" spans="1:11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  <c r="K271" s="8"/>
    </row>
    <row r="272" spans="1:11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  <c r="K272" s="8"/>
    </row>
    <row r="273" spans="1:11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  <c r="K273" s="8"/>
    </row>
    <row r="274" spans="1:11" s="9" customFormat="1" ht="13.2">
      <c r="A274" s="6"/>
      <c r="B274" s="6"/>
      <c r="C274" s="6"/>
      <c r="D274" s="6"/>
      <c r="E274" s="6"/>
      <c r="F274" s="11"/>
      <c r="G274" s="11"/>
      <c r="H274" s="11"/>
      <c r="I274" s="11"/>
      <c r="J274" s="11"/>
      <c r="K274" s="11"/>
    </row>
    <row r="275" spans="1:11" s="9" customFormat="1" ht="13.2">
      <c r="A275" s="6"/>
      <c r="B275" s="6"/>
      <c r="C275" s="6"/>
      <c r="D275" s="6"/>
      <c r="E275" s="6"/>
      <c r="F275" s="12"/>
      <c r="G275" s="12"/>
      <c r="H275" s="12"/>
      <c r="I275" s="12"/>
      <c r="J275" s="12"/>
      <c r="K275" s="12"/>
    </row>
    <row r="276" spans="1:11" s="9" customFormat="1" ht="13.2">
      <c r="A276" s="6"/>
      <c r="B276" s="6"/>
      <c r="C276" s="6"/>
      <c r="D276" s="6"/>
      <c r="E276" s="6"/>
      <c r="F276" s="10"/>
      <c r="G276" s="10"/>
      <c r="H276" s="10"/>
      <c r="I276" s="10"/>
      <c r="J276" s="10"/>
      <c r="K276" s="10"/>
    </row>
    <row r="277" spans="1:11" s="9" customFormat="1" ht="13.2">
      <c r="A277" s="6"/>
      <c r="B277" s="6"/>
      <c r="C277" s="6"/>
      <c r="D277" s="6"/>
      <c r="E277" s="6"/>
      <c r="F277" s="11"/>
      <c r="G277" s="11"/>
      <c r="H277" s="11"/>
      <c r="I277" s="11"/>
      <c r="J277" s="11"/>
      <c r="K277" s="11"/>
    </row>
    <row r="278" spans="1:11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  <c r="K278" s="8"/>
    </row>
    <row r="279" spans="1:11" s="9" customFormat="1" ht="13.2">
      <c r="A279" s="6"/>
      <c r="B279" s="6"/>
      <c r="C279" s="6"/>
      <c r="D279" s="6"/>
      <c r="E279" s="6"/>
      <c r="F279" s="7"/>
      <c r="G279" s="7"/>
      <c r="H279" s="7"/>
      <c r="I279" s="7"/>
      <c r="J279" s="7"/>
      <c r="K279" s="7"/>
    </row>
    <row r="280" spans="1:11" s="9" customFormat="1" ht="13.2">
      <c r="A280" s="6"/>
      <c r="B280" s="6"/>
      <c r="C280" s="6"/>
      <c r="D280" s="6"/>
      <c r="E280" s="6"/>
      <c r="F280" s="7"/>
      <c r="G280" s="7"/>
      <c r="H280" s="7"/>
      <c r="I280" s="7"/>
      <c r="J280" s="7"/>
      <c r="K280" s="7"/>
    </row>
    <row r="281" spans="1:11" s="9" customFormat="1" ht="13.2">
      <c r="A281" s="6"/>
      <c r="B281" s="6"/>
      <c r="C281" s="6"/>
      <c r="D281" s="6"/>
      <c r="E281" s="6"/>
      <c r="F281" s="7"/>
      <c r="G281" s="7"/>
      <c r="H281" s="7"/>
      <c r="I281" s="7"/>
      <c r="J281" s="7"/>
      <c r="K281" s="7"/>
    </row>
    <row r="282" spans="1:11" s="9" customFormat="1" ht="13.2">
      <c r="A282" s="6"/>
      <c r="B282" s="6"/>
      <c r="C282" s="6"/>
      <c r="D282" s="6"/>
      <c r="E282" s="6"/>
      <c r="F282" s="7"/>
      <c r="G282" s="7"/>
      <c r="H282" s="7"/>
      <c r="I282" s="7"/>
      <c r="J282" s="7"/>
      <c r="K282" s="7"/>
    </row>
    <row r="283" spans="1:11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  <c r="K283" s="8"/>
    </row>
    <row r="284" spans="1:11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  <c r="K284" s="8"/>
    </row>
    <row r="285" spans="1:11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  <c r="K285" s="8"/>
    </row>
    <row r="286" spans="1:11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  <c r="K286" s="8"/>
    </row>
    <row r="287" spans="1:11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  <c r="K287" s="8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  <c r="K290" s="8"/>
    </row>
    <row r="291" spans="1:11" s="9" customFormat="1" ht="13.2">
      <c r="A291" s="6"/>
      <c r="B291" s="6"/>
      <c r="C291" s="6"/>
      <c r="D291" s="6"/>
      <c r="E291" s="6"/>
      <c r="F291" s="12"/>
      <c r="G291" s="12"/>
      <c r="H291" s="12"/>
      <c r="I291" s="12"/>
      <c r="J291" s="12"/>
      <c r="K291" s="12"/>
    </row>
    <row r="292" spans="1:11" s="9" customFormat="1" ht="13.2">
      <c r="A292" s="6"/>
      <c r="B292" s="6"/>
      <c r="C292" s="6"/>
      <c r="D292" s="6"/>
      <c r="E292" s="6"/>
      <c r="F292" s="11"/>
      <c r="G292" s="11"/>
      <c r="H292" s="11"/>
      <c r="I292" s="11"/>
      <c r="J292" s="11"/>
      <c r="K292" s="11"/>
    </row>
    <row r="293" spans="1:11" s="9" customFormat="1" ht="13.2">
      <c r="A293" s="6"/>
      <c r="B293" s="6"/>
      <c r="C293" s="6"/>
      <c r="D293" s="6"/>
      <c r="E293" s="6"/>
      <c r="F293" s="12"/>
      <c r="G293" s="12"/>
      <c r="H293" s="12"/>
      <c r="I293" s="12"/>
      <c r="J293" s="12"/>
      <c r="K293" s="12"/>
    </row>
    <row r="294" spans="1:11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  <c r="K294" s="8"/>
    </row>
    <row r="295" spans="1:11" s="9" customFormat="1" ht="13.2">
      <c r="A295" s="6"/>
      <c r="B295" s="6"/>
      <c r="C295" s="6"/>
      <c r="D295" s="6"/>
      <c r="E295" s="6"/>
      <c r="F295" s="12"/>
      <c r="G295" s="12"/>
      <c r="H295" s="12"/>
      <c r="I295" s="12"/>
      <c r="J295" s="12"/>
      <c r="K295" s="12"/>
    </row>
    <row r="296" spans="1:11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  <c r="K296" s="8"/>
    </row>
    <row r="297" spans="1:11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  <c r="K297" s="8"/>
    </row>
    <row r="298" spans="1:11" s="9" customFormat="1" ht="13.2">
      <c r="A298" s="6"/>
      <c r="B298" s="6"/>
      <c r="C298" s="6"/>
      <c r="D298" s="6"/>
      <c r="E298" s="6"/>
      <c r="F298" s="12"/>
      <c r="G298" s="12"/>
      <c r="H298" s="12"/>
      <c r="I298" s="12"/>
      <c r="J298" s="12"/>
      <c r="K298" s="12"/>
    </row>
    <row r="299" spans="1:11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  <c r="K299" s="8"/>
    </row>
    <row r="300" spans="1:11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  <c r="K300" s="8"/>
    </row>
    <row r="301" spans="1:11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  <c r="K301" s="11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  <c r="K303" s="8"/>
    </row>
    <row r="304" spans="1:11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  <c r="K304" s="8"/>
    </row>
    <row r="305" spans="1:11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  <c r="K305" s="11"/>
    </row>
    <row r="306" spans="1:11" s="9" customFormat="1" ht="13.2">
      <c r="A306" s="6"/>
      <c r="B306" s="6"/>
      <c r="C306" s="6"/>
      <c r="D306" s="6"/>
      <c r="E306" s="6"/>
      <c r="F306" s="8"/>
      <c r="G306" s="8"/>
      <c r="H306" s="8"/>
      <c r="I306" s="8"/>
      <c r="J306" s="8"/>
      <c r="K306" s="8"/>
    </row>
    <row r="307" spans="1:11" s="9" customFormat="1" ht="13.2">
      <c r="A307" s="6"/>
      <c r="B307" s="6"/>
      <c r="C307" s="6"/>
      <c r="D307" s="6"/>
      <c r="E307" s="6"/>
      <c r="F307" s="8"/>
      <c r="G307" s="8"/>
      <c r="H307" s="8"/>
      <c r="I307" s="8"/>
      <c r="J307" s="8"/>
      <c r="K307" s="8"/>
    </row>
    <row r="308" spans="1:11" s="9" customFormat="1" ht="13.2">
      <c r="A308" s="6"/>
      <c r="B308" s="6"/>
      <c r="C308" s="6"/>
      <c r="D308" s="6"/>
      <c r="E308" s="6"/>
      <c r="F308" s="8"/>
      <c r="G308" s="8"/>
      <c r="H308" s="8"/>
      <c r="I308" s="8"/>
      <c r="J308" s="8"/>
      <c r="K308" s="8"/>
    </row>
    <row r="309" spans="1:11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  <c r="K309" s="8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  <c r="K311" s="8"/>
    </row>
    <row r="312" spans="1:11" s="9" customFormat="1" ht="13.2">
      <c r="A312" s="6"/>
      <c r="B312" s="6"/>
      <c r="C312" s="6"/>
      <c r="D312" s="6"/>
      <c r="E312" s="6"/>
      <c r="F312" s="10"/>
      <c r="G312" s="10"/>
      <c r="H312" s="10"/>
      <c r="I312" s="10"/>
      <c r="J312" s="10"/>
      <c r="K312" s="10"/>
    </row>
    <row r="313" spans="1:11" s="9" customFormat="1" ht="13.2">
      <c r="A313" s="6"/>
      <c r="B313" s="6"/>
      <c r="C313" s="6"/>
      <c r="D313" s="6"/>
      <c r="E313" s="6"/>
      <c r="F313" s="11"/>
      <c r="G313" s="11"/>
      <c r="H313" s="11"/>
      <c r="I313" s="11"/>
      <c r="J313" s="11"/>
      <c r="K313" s="11"/>
    </row>
    <row r="314" spans="1:11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  <c r="K314" s="8"/>
    </row>
    <row r="315" spans="1:11" s="9" customFormat="1" ht="13.2">
      <c r="A315" s="6"/>
      <c r="B315" s="6"/>
      <c r="C315" s="6"/>
      <c r="D315" s="6"/>
      <c r="E315" s="6"/>
      <c r="F315" s="11"/>
      <c r="G315" s="11"/>
      <c r="H315" s="11"/>
      <c r="I315" s="11"/>
      <c r="J315" s="11"/>
      <c r="K315" s="11"/>
    </row>
    <row r="316" spans="1:11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</row>
    <row r="317" spans="1:11" s="9" customFormat="1" ht="13.2">
      <c r="A317" s="6"/>
      <c r="B317" s="6"/>
      <c r="C317" s="6"/>
      <c r="D317" s="6"/>
      <c r="E317" s="6"/>
      <c r="F317" s="8"/>
      <c r="G317" s="8"/>
      <c r="H317" s="8"/>
      <c r="I317" s="8"/>
      <c r="J317" s="8"/>
      <c r="K317" s="8"/>
    </row>
    <row r="318" spans="1:11" s="9" customFormat="1" ht="13.2">
      <c r="A318" s="6"/>
      <c r="B318" s="6"/>
      <c r="C318" s="6"/>
      <c r="D318" s="6"/>
      <c r="E318" s="6"/>
      <c r="F318" s="11"/>
      <c r="G318" s="11"/>
      <c r="H318" s="11"/>
      <c r="I318" s="11"/>
      <c r="J318" s="11"/>
      <c r="K318" s="11"/>
    </row>
    <row r="319" spans="1:11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  <c r="K319" s="11"/>
    </row>
    <row r="320" spans="1:11" s="9" customFormat="1" ht="13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 s="9" customFormat="1" ht="13.2">
      <c r="A321" s="6"/>
      <c r="B321" s="6"/>
      <c r="C321" s="6"/>
      <c r="D321" s="6"/>
      <c r="E321" s="6"/>
      <c r="F321" s="11"/>
      <c r="G321" s="11"/>
      <c r="H321" s="11"/>
      <c r="I321" s="11"/>
      <c r="J321" s="11"/>
      <c r="K321" s="11"/>
    </row>
    <row r="322" spans="1:11" s="9" customFormat="1" ht="13.2">
      <c r="A322" s="6"/>
      <c r="B322" s="6"/>
      <c r="C322" s="6"/>
      <c r="D322" s="6"/>
      <c r="E322" s="6"/>
      <c r="F322" s="11"/>
      <c r="G322" s="11"/>
      <c r="H322" s="11"/>
      <c r="I322" s="11"/>
      <c r="J322" s="11"/>
      <c r="K322" s="11"/>
    </row>
    <row r="323" spans="1:11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  <c r="K323" s="8"/>
    </row>
    <row r="324" spans="1:11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  <c r="K324" s="8"/>
    </row>
    <row r="325" spans="1:11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  <c r="K325" s="8"/>
    </row>
    <row r="326" spans="1:11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</row>
    <row r="327" spans="1:11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</row>
    <row r="328" spans="1:11" s="9" customFormat="1" ht="13.2">
      <c r="A328" s="6"/>
      <c r="B328" s="6"/>
      <c r="C328" s="6"/>
      <c r="D328" s="6"/>
      <c r="E328" s="6"/>
      <c r="F328" s="7"/>
      <c r="G328" s="7"/>
      <c r="H328" s="7"/>
      <c r="I328" s="7"/>
      <c r="J328" s="7"/>
      <c r="K328" s="7"/>
    </row>
    <row r="329" spans="1:11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  <c r="K329" s="7"/>
    </row>
    <row r="330" spans="1:11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  <c r="K330" s="8"/>
    </row>
    <row r="331" spans="1:11" s="9" customFormat="1" ht="13.2">
      <c r="A331" s="6"/>
      <c r="B331" s="6"/>
      <c r="C331" s="6"/>
      <c r="D331" s="6"/>
      <c r="E331" s="6"/>
      <c r="F331" s="11"/>
      <c r="G331" s="11"/>
      <c r="H331" s="11"/>
      <c r="I331" s="11"/>
      <c r="J331" s="11"/>
      <c r="K331" s="11"/>
    </row>
    <row r="332" spans="1:11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  <c r="K332" s="7"/>
    </row>
    <row r="333" spans="1:11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  <c r="K333" s="8"/>
    </row>
    <row r="334" spans="1:11" s="9" customFormat="1" ht="13.2">
      <c r="A334" s="6"/>
      <c r="B334" s="6"/>
      <c r="C334" s="6"/>
      <c r="D334" s="6"/>
      <c r="E334" s="6"/>
      <c r="F334" s="7"/>
      <c r="G334" s="7"/>
      <c r="H334" s="7"/>
      <c r="I334" s="7"/>
      <c r="J334" s="7"/>
      <c r="K334" s="7"/>
    </row>
    <row r="335" spans="1:11" s="9" customFormat="1" ht="13.2">
      <c r="A335" s="6"/>
      <c r="B335" s="6"/>
      <c r="C335" s="6"/>
      <c r="D335" s="6"/>
      <c r="E335" s="6"/>
      <c r="F335" s="7"/>
      <c r="G335" s="7"/>
      <c r="H335" s="7"/>
      <c r="I335" s="7"/>
      <c r="J335" s="7"/>
      <c r="K335" s="7"/>
    </row>
    <row r="336" spans="1:11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  <c r="K336" s="8"/>
    </row>
    <row r="337" spans="1:11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  <c r="K337" s="8"/>
    </row>
    <row r="338" spans="1:11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  <c r="K338" s="8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7"/>
      <c r="G343" s="7"/>
      <c r="H343" s="7"/>
      <c r="I343" s="7"/>
      <c r="J343" s="7"/>
      <c r="K343" s="7"/>
    </row>
    <row r="344" spans="1:11" s="9" customFormat="1" ht="13.2">
      <c r="A344" s="6"/>
      <c r="B344" s="6"/>
      <c r="C344" s="6"/>
      <c r="D344" s="6"/>
      <c r="E344" s="6"/>
      <c r="F344" s="7"/>
      <c r="G344" s="7"/>
      <c r="H344" s="7"/>
      <c r="I344" s="7"/>
      <c r="J344" s="7"/>
      <c r="K344" s="7"/>
    </row>
    <row r="345" spans="1:11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</row>
    <row r="346" spans="1:11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</row>
    <row r="347" spans="1:11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</row>
    <row r="348" spans="1:11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</row>
    <row r="360" spans="1:11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8"/>
      <c r="G371" s="8"/>
      <c r="H371" s="8"/>
      <c r="I371" s="8"/>
      <c r="J371" s="8"/>
      <c r="K371" s="8"/>
    </row>
    <row r="372" spans="1:11" s="9" customFormat="1" ht="13.2">
      <c r="A372" s="6"/>
      <c r="B372" s="6"/>
      <c r="C372" s="6"/>
      <c r="D372" s="6"/>
      <c r="E372" s="6"/>
      <c r="F372" s="10"/>
      <c r="G372" s="10"/>
      <c r="H372" s="10"/>
      <c r="I372" s="10"/>
      <c r="J372" s="10"/>
      <c r="K372" s="10"/>
    </row>
    <row r="373" spans="1:11" s="9" customFormat="1" ht="13.2">
      <c r="A373" s="6"/>
      <c r="B373" s="6"/>
      <c r="C373" s="6"/>
      <c r="D373" s="6"/>
      <c r="E373" s="6"/>
      <c r="F373" s="10"/>
      <c r="G373" s="10"/>
      <c r="H373" s="10"/>
      <c r="I373" s="10"/>
      <c r="J373" s="10"/>
      <c r="K373" s="10"/>
    </row>
    <row r="374" spans="1:11" s="9" customFormat="1" ht="13.2">
      <c r="A374" s="6"/>
      <c r="B374" s="6"/>
      <c r="C374" s="6"/>
      <c r="D374" s="6"/>
      <c r="E374" s="6"/>
      <c r="F374" s="10"/>
      <c r="G374" s="10"/>
      <c r="H374" s="10"/>
      <c r="I374" s="10"/>
      <c r="J374" s="10"/>
      <c r="K374" s="10"/>
    </row>
    <row r="375" spans="1:11" s="9" customFormat="1" ht="13.2">
      <c r="A375" s="6"/>
      <c r="B375" s="6"/>
      <c r="C375" s="6"/>
      <c r="D375" s="6"/>
      <c r="E375" s="6"/>
      <c r="F375" s="8"/>
      <c r="G375" s="8"/>
      <c r="H375" s="8"/>
      <c r="I375" s="8"/>
      <c r="J375" s="8"/>
      <c r="K375" s="8"/>
    </row>
    <row r="376" spans="1:11" s="9" customFormat="1" ht="13.2">
      <c r="A376" s="6"/>
      <c r="B376" s="6"/>
      <c r="C376" s="6"/>
      <c r="D376" s="6"/>
      <c r="E376" s="6"/>
      <c r="F376" s="8"/>
      <c r="G376" s="8"/>
      <c r="H376" s="8"/>
      <c r="I376" s="8"/>
      <c r="J376" s="8"/>
      <c r="K376" s="8"/>
    </row>
    <row r="377" spans="1:11" s="9" customFormat="1" ht="13.2">
      <c r="A377" s="6"/>
      <c r="B377" s="6"/>
      <c r="C377" s="6"/>
      <c r="D377" s="6"/>
      <c r="E377" s="6"/>
      <c r="F377" s="10"/>
      <c r="G377" s="10"/>
      <c r="H377" s="10"/>
      <c r="I377" s="10"/>
      <c r="J377" s="10"/>
      <c r="K377" s="10"/>
    </row>
    <row r="378" spans="1:11" s="9" customFormat="1" ht="13.2">
      <c r="A378" s="6"/>
      <c r="B378" s="6"/>
      <c r="C378" s="6"/>
      <c r="D378" s="6"/>
      <c r="E378" s="6"/>
      <c r="F378" s="10"/>
      <c r="G378" s="10"/>
      <c r="H378" s="10"/>
      <c r="I378" s="10"/>
      <c r="J378" s="10"/>
      <c r="K378" s="10"/>
    </row>
    <row r="379" spans="1:11" s="9" customFormat="1" ht="13.2">
      <c r="A379" s="6"/>
      <c r="B379" s="6"/>
      <c r="C379" s="6"/>
      <c r="D379" s="6"/>
      <c r="E379" s="6"/>
      <c r="F379" s="10"/>
      <c r="G379" s="10"/>
      <c r="H379" s="10"/>
      <c r="I379" s="10"/>
      <c r="J379" s="10"/>
      <c r="K379" s="10"/>
    </row>
    <row r="380" spans="1:11" s="9" customFormat="1" ht="13.2">
      <c r="A380" s="6"/>
      <c r="B380" s="6"/>
      <c r="C380" s="6"/>
      <c r="D380" s="6"/>
      <c r="E380" s="6"/>
      <c r="F380" s="8"/>
      <c r="G380" s="8"/>
      <c r="H380" s="8"/>
      <c r="I380" s="8"/>
      <c r="J380" s="8"/>
      <c r="K380" s="8"/>
    </row>
    <row r="381" spans="1:11" s="9" customFormat="1" ht="13.2">
      <c r="A381" s="6"/>
      <c r="B381" s="6"/>
      <c r="C381" s="6"/>
      <c r="D381" s="6"/>
      <c r="E381" s="6"/>
      <c r="F381" s="8"/>
      <c r="G381" s="8"/>
      <c r="H381" s="8"/>
      <c r="I381" s="8"/>
      <c r="J381" s="8"/>
      <c r="K381" s="8"/>
    </row>
    <row r="382" spans="1:11" s="9" customFormat="1" ht="13.2">
      <c r="A382" s="6"/>
      <c r="B382" s="6"/>
      <c r="C382" s="6"/>
      <c r="D382" s="6"/>
      <c r="E382" s="6"/>
      <c r="F382" s="8"/>
      <c r="G382" s="8"/>
      <c r="H382" s="8"/>
      <c r="I382" s="8"/>
      <c r="J382" s="8"/>
      <c r="K382" s="8"/>
    </row>
    <row r="383" spans="1:11" s="9" customFormat="1" ht="13.2">
      <c r="A383" s="6"/>
      <c r="B383" s="6"/>
      <c r="C383" s="6"/>
      <c r="D383" s="6"/>
      <c r="E383" s="6"/>
      <c r="F383" s="12"/>
      <c r="G383" s="12"/>
      <c r="H383" s="12"/>
      <c r="I383" s="12"/>
      <c r="J383" s="12"/>
      <c r="K383" s="12"/>
    </row>
    <row r="384" spans="1:11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  <c r="K384" s="12"/>
    </row>
    <row r="385" spans="1:11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  <c r="K385" s="12"/>
    </row>
    <row r="386" spans="1:11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  <c r="K386" s="12"/>
    </row>
    <row r="387" spans="1:11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  <c r="K387" s="12"/>
    </row>
    <row r="388" spans="1:11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  <c r="K388" s="12"/>
    </row>
    <row r="389" spans="1:11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  <c r="K389" s="12"/>
    </row>
    <row r="390" spans="1:11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</row>
    <row r="391" spans="1:11" s="9" customFormat="1" ht="13.2">
      <c r="A391" s="13"/>
      <c r="B391" s="13"/>
      <c r="C391" s="13"/>
      <c r="D391" s="13"/>
      <c r="E391" s="13"/>
      <c r="F391" s="12"/>
      <c r="G391" s="12"/>
      <c r="H391" s="12"/>
      <c r="I391" s="12"/>
      <c r="J391" s="12"/>
      <c r="K391" s="12"/>
    </row>
    <row r="392" spans="1:11" s="9" customFormat="1" ht="13.2">
      <c r="A392" s="13"/>
      <c r="B392" s="13"/>
      <c r="C392" s="13"/>
      <c r="D392" s="13"/>
      <c r="E392" s="13"/>
      <c r="F392" s="11"/>
      <c r="G392" s="11"/>
      <c r="H392" s="11"/>
      <c r="I392" s="11"/>
      <c r="J392" s="11"/>
      <c r="K392" s="11"/>
    </row>
    <row r="393" spans="1:11" s="9" customFormat="1" ht="13.2">
      <c r="A393" s="13"/>
      <c r="B393" s="13"/>
      <c r="C393" s="13"/>
      <c r="D393" s="13"/>
      <c r="E393" s="13"/>
      <c r="F393" s="11"/>
      <c r="G393" s="11"/>
      <c r="H393" s="11"/>
      <c r="I393" s="11"/>
      <c r="J393" s="11"/>
      <c r="K393" s="11"/>
    </row>
    <row r="394" spans="1:11" s="9" customFormat="1" ht="13.2">
      <c r="A394" s="13"/>
      <c r="B394" s="13"/>
      <c r="C394" s="13"/>
      <c r="D394" s="13"/>
      <c r="E394" s="13"/>
      <c r="F394" s="11"/>
      <c r="G394" s="11"/>
      <c r="H394" s="11"/>
      <c r="I394" s="11"/>
      <c r="J394" s="11"/>
      <c r="K394" s="11"/>
    </row>
    <row r="395" spans="1:11" s="9" customFormat="1" ht="13.2">
      <c r="A395" s="13"/>
      <c r="B395" s="13"/>
      <c r="C395" s="13"/>
      <c r="D395" s="13"/>
      <c r="E395" s="13"/>
      <c r="F395" s="11"/>
      <c r="G395" s="11"/>
      <c r="H395" s="11"/>
      <c r="I395" s="11"/>
      <c r="J395" s="11"/>
      <c r="K395" s="11"/>
    </row>
    <row r="396" spans="1:11" s="9" customFormat="1" ht="13.2">
      <c r="A396" s="13"/>
      <c r="B396" s="13"/>
      <c r="C396" s="13"/>
      <c r="D396" s="13"/>
      <c r="E396" s="13"/>
      <c r="F396" s="12"/>
      <c r="G396" s="12"/>
      <c r="H396" s="12"/>
      <c r="I396" s="12"/>
      <c r="J396" s="12"/>
      <c r="K396" s="12"/>
    </row>
    <row r="397" spans="1:11" s="9" customFormat="1" ht="13.2">
      <c r="A397" s="13"/>
      <c r="B397" s="13"/>
      <c r="C397" s="13"/>
      <c r="D397" s="13"/>
      <c r="E397" s="13"/>
      <c r="F397" s="12"/>
      <c r="G397" s="12"/>
      <c r="H397" s="12"/>
      <c r="I397" s="12"/>
      <c r="J397" s="12"/>
      <c r="K397" s="12"/>
    </row>
    <row r="398" spans="1:11" s="9" customFormat="1" ht="13.2">
      <c r="A398" s="13"/>
      <c r="B398" s="13"/>
      <c r="C398" s="13"/>
      <c r="D398" s="13"/>
      <c r="E398" s="13"/>
      <c r="F398" s="12"/>
      <c r="G398" s="12"/>
      <c r="H398" s="12"/>
      <c r="I398" s="12"/>
      <c r="J398" s="12"/>
      <c r="K398" s="12"/>
    </row>
    <row r="399" spans="1:11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  <c r="K399" s="8"/>
    </row>
    <row r="400" spans="1:11" s="9" customFormat="1" ht="13.2">
      <c r="A400" s="13"/>
      <c r="B400" s="13"/>
      <c r="C400" s="13"/>
      <c r="D400" s="13"/>
      <c r="E400" s="13"/>
      <c r="F400" s="12"/>
      <c r="G400" s="12"/>
      <c r="H400" s="12"/>
      <c r="I400" s="12"/>
      <c r="J400" s="12"/>
      <c r="K400" s="12"/>
    </row>
    <row r="401" spans="1:11" s="9" customFormat="1" ht="13.2">
      <c r="A401" s="13"/>
      <c r="B401" s="13"/>
      <c r="C401" s="13"/>
      <c r="D401" s="13"/>
      <c r="E401" s="13"/>
      <c r="F401" s="12"/>
      <c r="G401" s="12"/>
      <c r="H401" s="12"/>
      <c r="I401" s="12"/>
      <c r="J401" s="12"/>
      <c r="K401" s="12"/>
    </row>
    <row r="402" spans="1:11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  <c r="K402" s="14"/>
    </row>
    <row r="403" spans="1:11" s="9" customFormat="1" ht="13.2">
      <c r="A403" s="13"/>
      <c r="B403" s="13"/>
      <c r="C403" s="13"/>
      <c r="D403" s="13"/>
      <c r="E403" s="13"/>
      <c r="F403" s="14"/>
      <c r="G403" s="14"/>
      <c r="H403" s="14"/>
      <c r="I403" s="14"/>
      <c r="J403" s="14"/>
      <c r="K403" s="14"/>
    </row>
    <row r="404" spans="1:11" s="9" customFormat="1" ht="13.2">
      <c r="A404" s="13"/>
      <c r="B404" s="13"/>
      <c r="C404" s="13"/>
      <c r="D404" s="13"/>
      <c r="E404" s="13"/>
      <c r="F404" s="14"/>
      <c r="G404" s="14"/>
      <c r="H404" s="14"/>
      <c r="I404" s="14"/>
      <c r="J404" s="14"/>
      <c r="K404" s="14"/>
    </row>
    <row r="405" spans="1:11" s="9" customFormat="1" ht="13.2">
      <c r="A405" s="13"/>
      <c r="B405" s="13"/>
      <c r="C405" s="13"/>
      <c r="D405" s="13"/>
      <c r="E405" s="13"/>
      <c r="F405" s="14"/>
      <c r="G405" s="14"/>
      <c r="H405" s="14"/>
      <c r="I405" s="14"/>
      <c r="J405" s="14"/>
      <c r="K405" s="14"/>
    </row>
    <row r="406" spans="1:11" s="9" customFormat="1" ht="13.2">
      <c r="A406" s="13"/>
      <c r="B406" s="13"/>
      <c r="C406" s="13"/>
      <c r="D406" s="13"/>
      <c r="E406" s="13"/>
      <c r="F406" s="14"/>
      <c r="G406" s="14"/>
      <c r="H406" s="14"/>
      <c r="I406" s="14"/>
      <c r="J406" s="14"/>
      <c r="K406" s="14"/>
    </row>
    <row r="407" spans="1:11" s="9" customFormat="1" ht="13.2">
      <c r="A407" s="13"/>
      <c r="B407" s="13"/>
      <c r="C407" s="13"/>
      <c r="D407" s="13"/>
      <c r="E407" s="13"/>
      <c r="F407" s="14"/>
      <c r="G407" s="14"/>
      <c r="H407" s="14"/>
      <c r="I407" s="14"/>
      <c r="J407" s="14"/>
      <c r="K407" s="14"/>
    </row>
    <row r="408" spans="1:11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</row>
    <row r="409" spans="1:11" s="9" customFormat="1" ht="13.2">
      <c r="A409" s="13"/>
      <c r="B409" s="13"/>
      <c r="C409" s="13"/>
      <c r="D409" s="13"/>
      <c r="E409" s="13"/>
      <c r="F409" s="10"/>
      <c r="G409" s="10"/>
      <c r="H409" s="10"/>
      <c r="I409" s="10"/>
      <c r="J409" s="10"/>
      <c r="K409" s="10"/>
    </row>
    <row r="410" spans="1:11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  <c r="K410" s="14"/>
    </row>
    <row r="411" spans="1:11" s="9" customFormat="1" ht="13.2">
      <c r="A411" s="13"/>
      <c r="B411" s="13"/>
      <c r="C411" s="13"/>
      <c r="D411" s="13"/>
      <c r="E411" s="13"/>
      <c r="F411" s="14"/>
      <c r="G411" s="14"/>
      <c r="H411" s="14"/>
      <c r="I411" s="14"/>
      <c r="J411" s="14"/>
      <c r="K411" s="14"/>
    </row>
    <row r="412" spans="1:11" s="9" customFormat="1" ht="13.2">
      <c r="A412" s="13"/>
      <c r="B412" s="13"/>
      <c r="C412" s="13"/>
      <c r="D412" s="13"/>
      <c r="E412" s="13"/>
      <c r="F412" s="14"/>
      <c r="G412" s="14"/>
      <c r="H412" s="14"/>
      <c r="I412" s="14"/>
      <c r="J412" s="14"/>
      <c r="K412" s="14"/>
    </row>
    <row r="413" spans="1:11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  <c r="K413" s="8"/>
    </row>
    <row r="414" spans="1:11" s="9" customFormat="1" ht="13.2">
      <c r="A414" s="13"/>
      <c r="B414" s="13"/>
      <c r="C414" s="13"/>
      <c r="D414" s="13"/>
      <c r="E414" s="13"/>
      <c r="F414" s="14"/>
      <c r="G414" s="14"/>
      <c r="H414" s="14"/>
      <c r="I414" s="14"/>
      <c r="J414" s="14"/>
      <c r="K414" s="14"/>
    </row>
    <row r="415" spans="1:11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  <c r="K415" s="10"/>
    </row>
    <row r="416" spans="1:11" s="9" customFormat="1" ht="13.2">
      <c r="A416" s="13"/>
      <c r="B416" s="13"/>
      <c r="C416" s="13"/>
      <c r="D416" s="13"/>
      <c r="E416" s="13"/>
      <c r="F416" s="12"/>
      <c r="G416" s="12"/>
      <c r="H416" s="12"/>
      <c r="I416" s="12"/>
      <c r="J416" s="12"/>
      <c r="K416" s="12"/>
    </row>
    <row r="417" spans="1:11" s="9" customFormat="1" ht="13.2">
      <c r="A417" s="13"/>
      <c r="B417" s="13"/>
      <c r="C417" s="13"/>
      <c r="D417" s="13"/>
      <c r="E417" s="13"/>
      <c r="F417" s="12"/>
      <c r="G417" s="12"/>
      <c r="H417" s="12"/>
      <c r="I417" s="12"/>
      <c r="J417" s="12"/>
      <c r="K417" s="12"/>
    </row>
    <row r="418" spans="1:11" s="9" customFormat="1" ht="13.2">
      <c r="A418" s="13"/>
      <c r="B418" s="13"/>
      <c r="C418" s="13"/>
      <c r="D418" s="13"/>
      <c r="E418" s="13"/>
      <c r="F418" s="12"/>
      <c r="G418" s="12"/>
      <c r="H418" s="12"/>
      <c r="I418" s="12"/>
      <c r="J418" s="12"/>
      <c r="K418" s="12"/>
    </row>
    <row r="419" spans="1:11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  <c r="K419" s="12"/>
    </row>
    <row r="420" spans="1:11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  <c r="K420" s="12"/>
    </row>
    <row r="421" spans="1:11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  <c r="K421" s="12"/>
    </row>
    <row r="422" spans="1:11" s="9" customFormat="1" ht="13.2">
      <c r="A422" s="13"/>
      <c r="B422" s="13"/>
      <c r="C422" s="13"/>
      <c r="D422" s="13"/>
      <c r="E422" s="13"/>
      <c r="F422" s="14"/>
      <c r="G422" s="14"/>
      <c r="H422" s="14"/>
      <c r="I422" s="14"/>
      <c r="J422" s="14"/>
      <c r="K422" s="14"/>
    </row>
    <row r="423" spans="1:11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  <c r="K423" s="8"/>
    </row>
    <row r="424" spans="1:11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  <c r="K424" s="8"/>
    </row>
    <row r="425" spans="1:11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  <c r="K425" s="8"/>
    </row>
    <row r="426" spans="1:11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  <c r="K426" s="8"/>
    </row>
    <row r="427" spans="1:11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  <c r="K427" s="8"/>
    </row>
    <row r="428" spans="1:11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  <c r="K428" s="8"/>
    </row>
    <row r="429" spans="1:11" s="9" customFormat="1" ht="13.2">
      <c r="A429" s="13"/>
      <c r="B429" s="13"/>
      <c r="C429" s="13"/>
      <c r="D429" s="13"/>
      <c r="E429" s="13"/>
      <c r="F429" s="10"/>
      <c r="G429" s="10"/>
      <c r="H429" s="10"/>
      <c r="I429" s="10"/>
      <c r="J429" s="10"/>
      <c r="K429" s="10"/>
    </row>
    <row r="430" spans="1:11" s="9" customFormat="1" ht="13.2">
      <c r="A430" s="13"/>
      <c r="B430" s="13"/>
      <c r="C430" s="13"/>
      <c r="D430" s="13"/>
      <c r="E430" s="13"/>
      <c r="F430" s="10"/>
      <c r="G430" s="10"/>
      <c r="H430" s="10"/>
      <c r="I430" s="10"/>
      <c r="J430" s="10"/>
      <c r="K430" s="10"/>
    </row>
    <row r="431" spans="1:11" s="9" customFormat="1" ht="13.2">
      <c r="A431" s="13"/>
      <c r="B431" s="13"/>
      <c r="C431" s="13"/>
      <c r="D431" s="13"/>
      <c r="E431" s="13"/>
      <c r="F431" s="10"/>
      <c r="G431" s="10"/>
      <c r="H431" s="10"/>
      <c r="I431" s="10"/>
      <c r="J431" s="10"/>
      <c r="K431" s="10"/>
    </row>
    <row r="432" spans="1:11" s="9" customFormat="1" ht="13.2">
      <c r="A432" s="13"/>
      <c r="B432" s="13"/>
      <c r="C432" s="13"/>
      <c r="D432" s="13"/>
      <c r="E432" s="13"/>
      <c r="F432" s="10"/>
      <c r="G432" s="10"/>
      <c r="H432" s="10"/>
      <c r="I432" s="10"/>
      <c r="J432" s="10"/>
      <c r="K432" s="10"/>
    </row>
    <row r="433" spans="1:11" s="9" customFormat="1" ht="13.2">
      <c r="A433" s="13"/>
      <c r="B433" s="13"/>
      <c r="C433" s="13"/>
      <c r="D433" s="13"/>
      <c r="E433" s="13"/>
      <c r="F433" s="12"/>
      <c r="G433" s="12"/>
      <c r="H433" s="12"/>
      <c r="I433" s="12"/>
      <c r="J433" s="12"/>
      <c r="K433" s="12"/>
    </row>
    <row r="434" spans="1:11" s="9" customFormat="1" ht="13.2">
      <c r="A434" s="13"/>
      <c r="B434" s="13"/>
      <c r="C434" s="13"/>
      <c r="D434" s="13"/>
      <c r="E434" s="13"/>
      <c r="F434" s="12"/>
      <c r="G434" s="12"/>
      <c r="H434" s="12"/>
      <c r="I434" s="12"/>
      <c r="J434" s="12"/>
      <c r="K434" s="12"/>
    </row>
    <row r="435" spans="1:11" s="9" customFormat="1" ht="13.2">
      <c r="A435" s="13"/>
      <c r="B435" s="13"/>
      <c r="C435" s="13"/>
      <c r="D435" s="13"/>
      <c r="E435" s="13"/>
      <c r="F435" s="12"/>
      <c r="G435" s="12"/>
      <c r="H435" s="12"/>
      <c r="I435" s="12"/>
      <c r="J435" s="12"/>
      <c r="K435" s="12"/>
    </row>
    <row r="436" spans="1:11" s="9" customFormat="1" ht="13.2">
      <c r="A436" s="13"/>
      <c r="B436" s="13"/>
      <c r="C436" s="13"/>
      <c r="D436" s="13"/>
      <c r="E436" s="13"/>
      <c r="F436" s="8"/>
      <c r="G436" s="8"/>
      <c r="H436" s="8"/>
      <c r="I436" s="8"/>
      <c r="J436" s="8"/>
      <c r="K436" s="8"/>
    </row>
    <row r="437" spans="1:11" s="9" customFormat="1" ht="13.2">
      <c r="A437" s="13"/>
      <c r="B437" s="13"/>
      <c r="C437" s="13"/>
      <c r="D437" s="13"/>
      <c r="E437" s="13"/>
      <c r="F437" s="8"/>
      <c r="G437" s="8"/>
      <c r="H437" s="8"/>
      <c r="I437" s="8"/>
      <c r="J437" s="8"/>
      <c r="K437" s="8"/>
    </row>
    <row r="438" spans="1:11" s="9" customFormat="1" ht="13.2">
      <c r="A438" s="13"/>
      <c r="B438" s="13"/>
      <c r="C438" s="13"/>
      <c r="D438" s="13"/>
      <c r="E438" s="13"/>
      <c r="F438" s="12"/>
      <c r="G438" s="12"/>
      <c r="H438" s="12"/>
      <c r="I438" s="12"/>
      <c r="J438" s="12"/>
      <c r="K438" s="12"/>
    </row>
    <row r="439" spans="1:11" s="9" customFormat="1" ht="13.2">
      <c r="A439" s="13"/>
      <c r="B439" s="13"/>
      <c r="C439" s="13"/>
      <c r="D439" s="13"/>
      <c r="E439" s="13"/>
      <c r="F439" s="12"/>
      <c r="G439" s="12"/>
      <c r="H439" s="12"/>
      <c r="I439" s="12"/>
      <c r="J439" s="12"/>
      <c r="K439" s="12"/>
    </row>
    <row r="440" spans="1:11" s="9" customFormat="1" ht="13.2">
      <c r="A440" s="13"/>
      <c r="B440" s="13"/>
      <c r="C440" s="13"/>
      <c r="D440" s="13"/>
      <c r="E440" s="13"/>
      <c r="F440" s="8"/>
      <c r="G440" s="8"/>
      <c r="H440" s="8"/>
      <c r="I440" s="8"/>
      <c r="J440" s="8"/>
      <c r="K440" s="8"/>
    </row>
    <row r="441" spans="1:11" s="9" customFormat="1" ht="13.2">
      <c r="A441" s="13"/>
      <c r="B441" s="13"/>
      <c r="C441" s="13"/>
      <c r="D441" s="13"/>
      <c r="E441" s="13"/>
      <c r="F441" s="8"/>
      <c r="G441" s="8"/>
      <c r="H441" s="8"/>
      <c r="I441" s="8"/>
      <c r="J441" s="8"/>
      <c r="K441" s="8"/>
    </row>
    <row r="442" spans="1:11" s="9" customFormat="1" ht="13.2">
      <c r="A442" s="13"/>
      <c r="B442" s="13"/>
      <c r="C442" s="13"/>
      <c r="D442" s="13"/>
      <c r="E442" s="13"/>
      <c r="F442" s="8"/>
      <c r="G442" s="8"/>
      <c r="H442" s="8"/>
      <c r="I442" s="8"/>
      <c r="J442" s="8"/>
      <c r="K442" s="8"/>
    </row>
    <row r="443" spans="1:11" s="9" customFormat="1" ht="13.2">
      <c r="A443" s="13"/>
      <c r="B443" s="13"/>
      <c r="C443" s="13"/>
      <c r="D443" s="13"/>
      <c r="E443" s="13"/>
      <c r="F443" s="8"/>
      <c r="G443" s="8"/>
      <c r="H443" s="8"/>
      <c r="I443" s="8"/>
      <c r="J443" s="8"/>
      <c r="K443" s="8"/>
    </row>
    <row r="444" spans="1:11" s="9" customFormat="1" ht="13.2">
      <c r="A444" s="13"/>
      <c r="B444" s="13"/>
      <c r="C444" s="13"/>
      <c r="D444" s="13"/>
      <c r="E444" s="13"/>
      <c r="F444" s="8"/>
      <c r="G444" s="8"/>
      <c r="H444" s="8"/>
      <c r="I444" s="8"/>
      <c r="J444" s="8"/>
      <c r="K444" s="8"/>
    </row>
    <row r="445" spans="1:11" s="9" customFormat="1" ht="13.2">
      <c r="A445" s="13"/>
      <c r="B445" s="13"/>
      <c r="C445" s="13"/>
      <c r="D445" s="13"/>
      <c r="E445" s="13"/>
      <c r="F445" s="8"/>
      <c r="G445" s="8"/>
      <c r="H445" s="8"/>
      <c r="I445" s="8"/>
      <c r="J445" s="8"/>
      <c r="K445" s="8"/>
    </row>
    <row r="446" spans="1:11" s="9" customFormat="1" ht="13.2">
      <c r="A446" s="13"/>
      <c r="B446" s="13"/>
      <c r="C446" s="13"/>
      <c r="D446" s="13"/>
      <c r="E446" s="13"/>
      <c r="F446" s="11"/>
      <c r="G446" s="11"/>
      <c r="H446" s="11"/>
      <c r="I446" s="11"/>
      <c r="J446" s="11"/>
      <c r="K446" s="11"/>
    </row>
    <row r="447" spans="1:11" s="9" customFormat="1" ht="13.2">
      <c r="A447" s="13"/>
      <c r="B447" s="13"/>
      <c r="C447" s="13"/>
      <c r="D447" s="13"/>
      <c r="E447" s="13"/>
      <c r="F447" s="11"/>
      <c r="G447" s="11"/>
      <c r="H447" s="11"/>
      <c r="I447" s="11"/>
      <c r="J447" s="11"/>
      <c r="K447" s="11"/>
    </row>
    <row r="448" spans="1:11" s="9" customFormat="1" ht="13.2">
      <c r="A448" s="13"/>
      <c r="B448" s="13"/>
      <c r="C448" s="13"/>
      <c r="D448" s="13"/>
      <c r="E448" s="13"/>
      <c r="F448" s="11"/>
      <c r="G448" s="11"/>
      <c r="H448" s="11"/>
      <c r="I448" s="11"/>
      <c r="J448" s="11"/>
      <c r="K448" s="11"/>
    </row>
    <row r="449" spans="1:11" s="9" customFormat="1" ht="13.2">
      <c r="A449" s="13"/>
      <c r="B449" s="13"/>
      <c r="C449" s="13"/>
      <c r="D449" s="13"/>
      <c r="E449" s="13"/>
      <c r="F449" s="11"/>
      <c r="G449" s="11"/>
      <c r="H449" s="11"/>
      <c r="I449" s="11"/>
      <c r="J449" s="11"/>
      <c r="K449" s="11"/>
    </row>
    <row r="450" spans="1:11" s="9" customFormat="1" ht="13.2">
      <c r="A450" s="15"/>
      <c r="B450" s="15"/>
      <c r="C450" s="15"/>
      <c r="D450" s="15"/>
      <c r="E450" s="15"/>
      <c r="F450" s="12"/>
      <c r="G450" s="12"/>
      <c r="H450" s="12"/>
      <c r="I450" s="12"/>
      <c r="J450" s="12"/>
      <c r="K450" s="12"/>
    </row>
    <row r="451" spans="1:11" s="9" customFormat="1" ht="13.2">
      <c r="A451" s="15"/>
      <c r="B451" s="15"/>
      <c r="C451" s="15"/>
      <c r="D451" s="15"/>
      <c r="E451" s="15"/>
      <c r="F451" s="11"/>
      <c r="G451" s="11"/>
      <c r="H451" s="11"/>
      <c r="I451" s="11"/>
      <c r="J451" s="11"/>
      <c r="K451" s="11"/>
    </row>
    <row r="452" spans="1:11" s="9" customFormat="1" ht="13.2">
      <c r="A452" s="15"/>
      <c r="B452" s="15"/>
      <c r="C452" s="15"/>
      <c r="D452" s="15"/>
      <c r="E452" s="15"/>
      <c r="F452" s="12"/>
      <c r="G452" s="12"/>
      <c r="H452" s="12"/>
      <c r="I452" s="12"/>
      <c r="J452" s="12"/>
      <c r="K452" s="12"/>
    </row>
    <row r="453" spans="1:11" s="9" customFormat="1" ht="13.2">
      <c r="A453" s="15"/>
      <c r="B453" s="15"/>
      <c r="C453" s="15"/>
      <c r="D453" s="15"/>
      <c r="E453" s="15"/>
      <c r="F453" s="12"/>
      <c r="G453" s="12"/>
      <c r="H453" s="12"/>
      <c r="I453" s="12"/>
      <c r="J453" s="12"/>
      <c r="K453" s="12"/>
    </row>
    <row r="454" spans="1:11" s="9" customFormat="1" ht="13.2">
      <c r="A454" s="15"/>
      <c r="B454" s="15"/>
      <c r="C454" s="15"/>
      <c r="D454" s="15"/>
      <c r="E454" s="15"/>
      <c r="F454" s="12"/>
      <c r="G454" s="12"/>
      <c r="H454" s="12"/>
      <c r="I454" s="12"/>
      <c r="J454" s="12"/>
      <c r="K454" s="12"/>
    </row>
    <row r="455" spans="1:11" s="9" customFormat="1" ht="13.2">
      <c r="A455" s="15"/>
      <c r="B455" s="15"/>
      <c r="C455" s="15"/>
      <c r="D455" s="15"/>
      <c r="E455" s="15"/>
      <c r="F455" s="12"/>
      <c r="G455" s="12"/>
      <c r="H455" s="12"/>
      <c r="I455" s="12"/>
      <c r="J455" s="12"/>
      <c r="K455" s="12"/>
    </row>
    <row r="456" spans="1:11" s="9" customFormat="1" ht="13.2">
      <c r="A456" s="15"/>
      <c r="B456" s="15"/>
      <c r="C456" s="15"/>
      <c r="D456" s="15"/>
      <c r="E456" s="15"/>
      <c r="F456" s="12"/>
      <c r="G456" s="12"/>
      <c r="H456" s="12"/>
      <c r="I456" s="12"/>
      <c r="J456" s="12"/>
      <c r="K456" s="12"/>
    </row>
    <row r="457" spans="1:11" s="9" customFormat="1" ht="13.2">
      <c r="A457" s="15"/>
      <c r="B457" s="15"/>
      <c r="C457" s="15"/>
      <c r="D457" s="15"/>
      <c r="E457" s="15"/>
      <c r="F457" s="12"/>
      <c r="G457" s="12"/>
      <c r="H457" s="12"/>
      <c r="I457" s="12"/>
      <c r="J457" s="12"/>
      <c r="K457" s="12"/>
    </row>
    <row r="458" spans="1:11" s="9" customFormat="1" ht="13.2">
      <c r="A458" s="15"/>
      <c r="B458" s="15"/>
      <c r="C458" s="15"/>
      <c r="D458" s="15"/>
      <c r="E458" s="15"/>
      <c r="F458" s="8"/>
      <c r="G458" s="8"/>
      <c r="H458" s="8"/>
      <c r="I458" s="8"/>
      <c r="J458" s="8"/>
      <c r="K458" s="8"/>
    </row>
    <row r="459" spans="1:11" s="9" customFormat="1" ht="13.2">
      <c r="A459" s="15"/>
      <c r="B459" s="15"/>
      <c r="C459" s="15"/>
      <c r="D459" s="15"/>
      <c r="E459" s="15"/>
      <c r="F459" s="12"/>
      <c r="G459" s="12"/>
      <c r="H459" s="12"/>
      <c r="I459" s="12"/>
      <c r="J459" s="12"/>
      <c r="K459" s="12"/>
    </row>
    <row r="460" spans="1:11" s="9" customFormat="1" ht="13.2">
      <c r="A460" s="15"/>
      <c r="B460" s="15"/>
      <c r="C460" s="15"/>
      <c r="D460" s="15"/>
      <c r="E460" s="15"/>
      <c r="F460" s="12"/>
      <c r="G460" s="12"/>
      <c r="H460" s="12"/>
      <c r="I460" s="12"/>
      <c r="J460" s="12"/>
      <c r="K460" s="12"/>
    </row>
    <row r="461" spans="1:11" s="9" customFormat="1" ht="13.2">
      <c r="A461" s="15"/>
      <c r="B461" s="15"/>
      <c r="C461" s="15"/>
      <c r="D461" s="15"/>
      <c r="E461" s="15"/>
      <c r="F461" s="12"/>
      <c r="G461" s="12"/>
      <c r="H461" s="12"/>
      <c r="I461" s="12"/>
      <c r="J461" s="12"/>
      <c r="K461" s="12"/>
    </row>
    <row r="462" spans="1:11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  <c r="K462" s="8"/>
    </row>
    <row r="463" spans="1:11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  <c r="K463" s="8"/>
    </row>
    <row r="464" spans="1:11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  <c r="K464" s="8"/>
    </row>
    <row r="465" spans="1:11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  <c r="K465" s="8"/>
    </row>
    <row r="466" spans="1:11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  <c r="K466" s="8"/>
    </row>
    <row r="467" spans="1:11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  <c r="K467" s="8"/>
    </row>
    <row r="468" spans="1:11" s="9" customFormat="1" ht="13.2">
      <c r="A468" s="15"/>
      <c r="B468" s="15"/>
      <c r="C468" s="15"/>
      <c r="D468" s="15"/>
      <c r="E468" s="15"/>
      <c r="F468" s="11"/>
      <c r="G468" s="11"/>
      <c r="H468" s="11"/>
      <c r="I468" s="11"/>
      <c r="J468" s="11"/>
      <c r="K468" s="11"/>
    </row>
    <row r="469" spans="1:11" s="9" customFormat="1" ht="13.2">
      <c r="A469" s="15"/>
      <c r="B469" s="15"/>
      <c r="C469" s="15"/>
      <c r="D469" s="15"/>
      <c r="E469" s="15"/>
      <c r="F469" s="11"/>
      <c r="G469" s="11"/>
      <c r="H469" s="11"/>
      <c r="I469" s="11"/>
      <c r="J469" s="11"/>
      <c r="K469" s="11"/>
    </row>
    <row r="470" spans="1:11" s="9" customFormat="1" ht="13.2">
      <c r="A470" s="15"/>
      <c r="B470" s="15"/>
      <c r="C470" s="15"/>
      <c r="D470" s="15"/>
      <c r="E470" s="15"/>
      <c r="F470" s="11"/>
      <c r="G470" s="11"/>
      <c r="H470" s="11"/>
      <c r="I470" s="11"/>
      <c r="J470" s="11"/>
      <c r="K470" s="11"/>
    </row>
    <row r="471" spans="1:11" s="9" customFormat="1" ht="13.2">
      <c r="A471" s="15"/>
      <c r="B471" s="15"/>
      <c r="C471" s="15"/>
      <c r="D471" s="15"/>
      <c r="E471" s="15"/>
      <c r="F471" s="11"/>
      <c r="G471" s="11"/>
      <c r="H471" s="11"/>
      <c r="I471" s="11"/>
      <c r="J471" s="11"/>
      <c r="K471" s="11"/>
    </row>
    <row r="472" spans="1:11" s="9" customFormat="1" ht="13.2">
      <c r="A472" s="15"/>
      <c r="B472" s="15"/>
      <c r="C472" s="15"/>
      <c r="D472" s="15"/>
      <c r="E472" s="15"/>
      <c r="F472" s="11"/>
      <c r="G472" s="11"/>
      <c r="H472" s="11"/>
      <c r="I472" s="11"/>
      <c r="J472" s="11"/>
      <c r="K472" s="11"/>
    </row>
    <row r="473" spans="1:11" s="9" customFormat="1" ht="13.2">
      <c r="A473" s="15"/>
      <c r="B473" s="15"/>
      <c r="C473" s="15"/>
      <c r="D473" s="15"/>
      <c r="E473" s="15"/>
      <c r="F473" s="11"/>
      <c r="G473" s="11"/>
      <c r="H473" s="11"/>
      <c r="I473" s="11"/>
      <c r="J473" s="11"/>
      <c r="K473" s="11"/>
    </row>
    <row r="474" spans="1:11" s="9" customFormat="1" ht="13.2">
      <c r="A474" s="15"/>
      <c r="B474" s="15"/>
      <c r="C474" s="15"/>
      <c r="D474" s="15"/>
      <c r="E474" s="15"/>
      <c r="F474" s="8"/>
      <c r="G474" s="8"/>
      <c r="H474" s="8"/>
      <c r="I474" s="8"/>
      <c r="J474" s="8"/>
      <c r="K474" s="8"/>
    </row>
    <row r="475" spans="1:11" s="9" customFormat="1" ht="13.2">
      <c r="A475" s="15"/>
      <c r="B475" s="15"/>
      <c r="C475" s="15"/>
      <c r="D475" s="15"/>
      <c r="E475" s="15"/>
      <c r="F475" s="8"/>
      <c r="G475" s="8"/>
      <c r="H475" s="8"/>
      <c r="I475" s="8"/>
      <c r="J475" s="8"/>
      <c r="K475" s="8"/>
    </row>
    <row r="476" spans="1:11" s="9" customFormat="1" ht="13.2">
      <c r="A476" s="15"/>
      <c r="B476" s="15"/>
      <c r="C476" s="15"/>
      <c r="D476" s="15"/>
      <c r="E476" s="15"/>
      <c r="F476" s="8"/>
      <c r="G476" s="8"/>
      <c r="H476" s="8"/>
      <c r="I476" s="8"/>
      <c r="J476" s="8"/>
      <c r="K476" s="8"/>
    </row>
    <row r="477" spans="1:11" s="9" customFormat="1" ht="13.2">
      <c r="A477" s="15"/>
      <c r="B477" s="15"/>
      <c r="C477" s="15"/>
      <c r="D477" s="15"/>
      <c r="E477" s="15"/>
      <c r="F477" s="8"/>
      <c r="G477" s="8"/>
      <c r="H477" s="8"/>
      <c r="I477" s="8"/>
      <c r="J477" s="8"/>
      <c r="K477" s="8"/>
    </row>
    <row r="478" spans="1:11" s="9" customFormat="1" ht="13.2">
      <c r="A478" s="15"/>
      <c r="B478" s="15"/>
      <c r="C478" s="15"/>
      <c r="D478" s="15"/>
      <c r="E478" s="15"/>
      <c r="F478" s="8"/>
      <c r="G478" s="8"/>
      <c r="H478" s="8"/>
      <c r="I478" s="8"/>
      <c r="J478" s="8"/>
      <c r="K478" s="8"/>
    </row>
    <row r="479" spans="1:11" s="9" customFormat="1" ht="13.2">
      <c r="A479" s="15"/>
      <c r="B479" s="15"/>
      <c r="C479" s="15"/>
      <c r="D479" s="15"/>
      <c r="E479" s="15"/>
      <c r="F479" s="8"/>
      <c r="G479" s="8"/>
      <c r="H479" s="8"/>
      <c r="I479" s="8"/>
      <c r="J479" s="8"/>
      <c r="K479" s="8"/>
    </row>
    <row r="480" spans="1:11" s="9" customFormat="1" ht="13.2">
      <c r="A480" s="15"/>
      <c r="B480" s="15"/>
      <c r="C480" s="15"/>
      <c r="D480" s="15"/>
      <c r="E480" s="15"/>
      <c r="F480" s="8"/>
      <c r="G480" s="8"/>
      <c r="H480" s="8"/>
      <c r="I480" s="8"/>
      <c r="J480" s="8"/>
      <c r="K480" s="8"/>
    </row>
    <row r="481" spans="1:11" s="9" customFormat="1" ht="13.2">
      <c r="A481" s="6"/>
      <c r="B481" s="6"/>
      <c r="C481" s="6"/>
      <c r="D481" s="6"/>
      <c r="E481" s="6"/>
      <c r="F481" s="12"/>
      <c r="G481" s="12"/>
      <c r="H481" s="12"/>
      <c r="I481" s="12"/>
      <c r="J481" s="12"/>
      <c r="K481" s="12"/>
    </row>
    <row r="482" spans="1:11" s="9" customFormat="1" ht="13.2">
      <c r="A482" s="6"/>
      <c r="B482" s="6"/>
      <c r="C482" s="6"/>
      <c r="D482" s="6"/>
      <c r="E482" s="6"/>
      <c r="F482" s="12"/>
      <c r="G482" s="12"/>
      <c r="H482" s="12"/>
      <c r="I482" s="12"/>
      <c r="J482" s="12"/>
      <c r="K482" s="12"/>
    </row>
    <row r="483" spans="1:11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  <c r="K483" s="11"/>
    </row>
    <row r="484" spans="1:11" s="9" customFormat="1" ht="13.2">
      <c r="A484" s="6"/>
      <c r="B484" s="6"/>
      <c r="C484" s="6"/>
      <c r="D484" s="6"/>
      <c r="E484" s="6"/>
      <c r="F484" s="12"/>
      <c r="G484" s="12"/>
      <c r="H484" s="12"/>
      <c r="I484" s="12"/>
      <c r="J484" s="12"/>
      <c r="K484" s="12"/>
    </row>
    <row r="485" spans="1:11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  <c r="K485" s="8"/>
    </row>
    <row r="486" spans="1:11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  <c r="K486" s="8"/>
    </row>
    <row r="487" spans="1:11" s="9" customFormat="1" ht="13.2">
      <c r="A487" s="6"/>
      <c r="B487" s="6"/>
      <c r="C487" s="6"/>
      <c r="D487" s="6"/>
      <c r="E487" s="6"/>
      <c r="F487" s="11"/>
      <c r="G487" s="11"/>
      <c r="H487" s="11"/>
      <c r="I487" s="11"/>
      <c r="J487" s="11"/>
      <c r="K487" s="11"/>
    </row>
    <row r="488" spans="1:11" s="9" customFormat="1" ht="13.2">
      <c r="A488" s="6"/>
      <c r="B488" s="6"/>
      <c r="C488" s="6"/>
      <c r="D488" s="6"/>
      <c r="E488" s="6"/>
      <c r="F488" s="12"/>
      <c r="G488" s="12"/>
      <c r="H488" s="12"/>
      <c r="I488" s="12"/>
      <c r="J488" s="12"/>
      <c r="K488" s="12"/>
    </row>
    <row r="489" spans="1:11" s="9" customFormat="1" ht="13.2">
      <c r="A489" s="6"/>
      <c r="B489" s="6"/>
      <c r="C489" s="6"/>
      <c r="D489" s="6"/>
      <c r="E489" s="6"/>
      <c r="F489" s="11"/>
      <c r="G489" s="11"/>
      <c r="H489" s="11"/>
      <c r="I489" s="11"/>
      <c r="J489" s="11"/>
      <c r="K489" s="11"/>
    </row>
    <row r="490" spans="1:11" s="9" customFormat="1" ht="13.2">
      <c r="A490" s="6"/>
      <c r="B490" s="6"/>
      <c r="C490" s="6"/>
      <c r="D490" s="6"/>
      <c r="E490" s="6"/>
      <c r="F490" s="11"/>
      <c r="G490" s="11"/>
      <c r="H490" s="11"/>
      <c r="I490" s="11"/>
      <c r="J490" s="11"/>
      <c r="K490" s="11"/>
    </row>
    <row r="491" spans="1:11" s="9" customFormat="1" ht="13.2">
      <c r="A491" s="6"/>
      <c r="B491" s="6"/>
      <c r="C491" s="6"/>
      <c r="D491" s="6"/>
      <c r="E491" s="6"/>
      <c r="F491" s="11"/>
      <c r="G491" s="11"/>
      <c r="H491" s="11"/>
      <c r="I491" s="11"/>
      <c r="J491" s="11"/>
      <c r="K491" s="11"/>
    </row>
    <row r="492" spans="1:11" s="9" customFormat="1" ht="13.2">
      <c r="A492" s="6"/>
      <c r="B492" s="6"/>
      <c r="C492" s="6"/>
      <c r="D492" s="6"/>
      <c r="E492" s="6"/>
      <c r="F492" s="11"/>
      <c r="G492" s="11"/>
      <c r="H492" s="11"/>
      <c r="I492" s="11"/>
      <c r="J492" s="11"/>
      <c r="K492" s="11"/>
    </row>
    <row r="493" spans="1:11" s="9" customFormat="1" ht="13.2">
      <c r="A493" s="6"/>
      <c r="B493" s="6"/>
      <c r="C493" s="6"/>
      <c r="D493" s="6"/>
      <c r="E493" s="6"/>
      <c r="F493" s="11"/>
      <c r="G493" s="11"/>
      <c r="H493" s="11"/>
      <c r="I493" s="11"/>
      <c r="J493" s="11"/>
      <c r="K493" s="11"/>
    </row>
    <row r="494" spans="1:11" s="9" customFormat="1" ht="13.2">
      <c r="A494" s="6"/>
      <c r="B494" s="6"/>
      <c r="C494" s="6"/>
      <c r="D494" s="6"/>
      <c r="E494" s="6"/>
      <c r="F494" s="11"/>
      <c r="G494" s="11"/>
      <c r="H494" s="11"/>
      <c r="I494" s="11"/>
      <c r="J494" s="11"/>
      <c r="K494" s="11"/>
    </row>
    <row r="495" spans="1:11" s="9" customFormat="1" ht="13.2">
      <c r="A495" s="6"/>
      <c r="B495" s="6"/>
      <c r="C495" s="6"/>
      <c r="D495" s="6"/>
      <c r="E495" s="6"/>
      <c r="F495" s="11"/>
      <c r="G495" s="11"/>
      <c r="H495" s="11"/>
      <c r="I495" s="11"/>
      <c r="J495" s="11"/>
      <c r="K495" s="11"/>
    </row>
    <row r="496" spans="1:11" s="9" customFormat="1" ht="13.2">
      <c r="A496" s="6"/>
      <c r="B496" s="6"/>
      <c r="C496" s="6"/>
      <c r="D496" s="6"/>
      <c r="E496" s="6"/>
      <c r="F496" s="11"/>
      <c r="G496" s="11"/>
      <c r="H496" s="11"/>
      <c r="I496" s="11"/>
      <c r="J496" s="11"/>
      <c r="K496" s="11"/>
    </row>
    <row r="497" spans="1:11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  <c r="K497" s="8"/>
    </row>
    <row r="498" spans="1:11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  <c r="K498" s="8"/>
    </row>
    <row r="499" spans="1:11" s="9" customFormat="1" ht="13.2">
      <c r="A499" s="6"/>
      <c r="B499" s="6"/>
      <c r="C499" s="6"/>
      <c r="D499" s="6"/>
      <c r="E499" s="6"/>
      <c r="F499" s="8"/>
      <c r="G499" s="8"/>
      <c r="H499" s="8"/>
      <c r="I499" s="8"/>
      <c r="J499" s="8"/>
      <c r="K499" s="8"/>
    </row>
    <row r="500" spans="1:11" s="9" customFormat="1" ht="13.2">
      <c r="A500" s="6"/>
      <c r="B500" s="6"/>
      <c r="C500" s="6"/>
      <c r="D500" s="6"/>
      <c r="E500" s="6"/>
      <c r="F500" s="8"/>
      <c r="G500" s="8"/>
      <c r="H500" s="8"/>
      <c r="I500" s="8"/>
      <c r="J500" s="8"/>
      <c r="K500" s="8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8"/>
      <c r="G502" s="8"/>
      <c r="H502" s="8"/>
      <c r="I502" s="8"/>
      <c r="J502" s="8"/>
      <c r="K502" s="8"/>
    </row>
    <row r="503" spans="1:11" s="9" customFormat="1" ht="13.2">
      <c r="A503" s="6"/>
      <c r="B503" s="6"/>
      <c r="C503" s="6"/>
      <c r="D503" s="6"/>
      <c r="E503" s="6"/>
      <c r="F503" s="12"/>
      <c r="G503" s="12"/>
      <c r="H503" s="12"/>
      <c r="I503" s="12"/>
      <c r="J503" s="12"/>
      <c r="K503" s="12"/>
    </row>
    <row r="504" spans="1:11" s="9" customFormat="1" ht="13.2">
      <c r="A504" s="6"/>
      <c r="B504" s="6"/>
      <c r="C504" s="6"/>
      <c r="D504" s="6"/>
      <c r="E504" s="6"/>
      <c r="F504" s="10"/>
      <c r="G504" s="10"/>
      <c r="H504" s="10"/>
      <c r="I504" s="10"/>
      <c r="J504" s="10"/>
      <c r="K504" s="10"/>
    </row>
    <row r="505" spans="1:11" s="9" customFormat="1" ht="13.2">
      <c r="A505" s="6"/>
      <c r="B505" s="6"/>
      <c r="C505" s="6"/>
      <c r="D505" s="6"/>
      <c r="E505" s="6"/>
      <c r="F505" s="12"/>
      <c r="G505" s="12"/>
      <c r="H505" s="12"/>
      <c r="I505" s="12"/>
      <c r="J505" s="12"/>
      <c r="K505" s="12"/>
    </row>
    <row r="506" spans="1:11" s="9" customFormat="1" ht="13.2">
      <c r="A506" s="6"/>
      <c r="B506" s="6"/>
      <c r="C506" s="6"/>
      <c r="D506" s="6"/>
      <c r="E506" s="6"/>
      <c r="F506" s="12"/>
      <c r="G506" s="12"/>
      <c r="H506" s="12"/>
      <c r="I506" s="12"/>
      <c r="J506" s="12"/>
      <c r="K506" s="12"/>
    </row>
    <row r="507" spans="1:11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  <c r="K507" s="8"/>
    </row>
    <row r="508" spans="1:11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  <c r="K508" s="8"/>
    </row>
    <row r="509" spans="1:11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  <c r="K509" s="8"/>
    </row>
    <row r="510" spans="1:11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  <c r="K510" s="8"/>
    </row>
    <row r="511" spans="1:11" s="9" customFormat="1" ht="13.2">
      <c r="A511" s="6"/>
      <c r="B511" s="6"/>
      <c r="C511" s="6"/>
      <c r="D511" s="6"/>
      <c r="E511" s="6"/>
      <c r="F511" s="11"/>
      <c r="G511" s="11"/>
      <c r="H511" s="11"/>
      <c r="I511" s="11"/>
      <c r="J511" s="11"/>
      <c r="K511" s="11"/>
    </row>
    <row r="512" spans="1:11" s="9" customFormat="1" ht="13.2">
      <c r="A512" s="6"/>
      <c r="B512" s="6"/>
      <c r="C512" s="6"/>
      <c r="D512" s="6"/>
      <c r="E512" s="6"/>
      <c r="F512" s="12"/>
      <c r="G512" s="12"/>
      <c r="H512" s="12"/>
      <c r="I512" s="12"/>
      <c r="J512" s="12"/>
      <c r="K512" s="12"/>
    </row>
    <row r="513" spans="1:11" s="9" customFormat="1" ht="13.2">
      <c r="A513" s="6"/>
      <c r="B513" s="6"/>
      <c r="C513" s="6"/>
      <c r="D513" s="6"/>
      <c r="E513" s="6"/>
      <c r="F513" s="10"/>
      <c r="G513" s="10"/>
      <c r="H513" s="10"/>
      <c r="I513" s="10"/>
      <c r="J513" s="10"/>
      <c r="K513" s="10"/>
    </row>
    <row r="514" spans="1:11" s="9" customFormat="1" ht="13.2">
      <c r="A514" s="6"/>
      <c r="B514" s="6"/>
      <c r="C514" s="6"/>
      <c r="D514" s="6"/>
      <c r="E514" s="6"/>
      <c r="F514" s="11"/>
      <c r="G514" s="11"/>
      <c r="H514" s="11"/>
      <c r="I514" s="11"/>
      <c r="J514" s="11"/>
      <c r="K514" s="11"/>
    </row>
    <row r="515" spans="1:11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  <c r="K515" s="8"/>
    </row>
    <row r="516" spans="1:11" s="9" customFormat="1" ht="13.2">
      <c r="A516" s="6"/>
      <c r="B516" s="6"/>
      <c r="C516" s="6"/>
      <c r="D516" s="6"/>
      <c r="E516" s="6"/>
      <c r="F516" s="7"/>
      <c r="G516" s="7"/>
      <c r="H516" s="7"/>
      <c r="I516" s="7"/>
      <c r="J516" s="7"/>
      <c r="K516" s="7"/>
    </row>
    <row r="517" spans="1:11" s="9" customFormat="1" ht="13.2">
      <c r="A517" s="6"/>
      <c r="B517" s="6"/>
      <c r="C517" s="6"/>
      <c r="D517" s="6"/>
      <c r="E517" s="6"/>
      <c r="F517" s="7"/>
      <c r="G517" s="7"/>
      <c r="H517" s="7"/>
      <c r="I517" s="7"/>
      <c r="J517" s="7"/>
      <c r="K517" s="7"/>
    </row>
    <row r="518" spans="1:11" s="9" customFormat="1" ht="13.2">
      <c r="A518" s="6"/>
      <c r="B518" s="6"/>
      <c r="C518" s="6"/>
      <c r="D518" s="6"/>
      <c r="E518" s="6"/>
      <c r="F518" s="7"/>
      <c r="G518" s="7"/>
      <c r="H518" s="7"/>
      <c r="I518" s="7"/>
      <c r="J518" s="7"/>
      <c r="K518" s="7"/>
    </row>
    <row r="519" spans="1:11" s="9" customFormat="1" ht="13.2">
      <c r="A519" s="6"/>
      <c r="B519" s="6"/>
      <c r="C519" s="6"/>
      <c r="D519" s="6"/>
      <c r="E519" s="6"/>
      <c r="F519" s="7"/>
      <c r="G519" s="7"/>
      <c r="H519" s="7"/>
      <c r="I519" s="7"/>
      <c r="J519" s="7"/>
      <c r="K519" s="7"/>
    </row>
    <row r="520" spans="1:11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  <c r="K520" s="8"/>
    </row>
    <row r="521" spans="1:11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  <c r="K521" s="8"/>
    </row>
    <row r="522" spans="1:11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  <c r="K522" s="8"/>
    </row>
    <row r="523" spans="1:11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  <c r="K523" s="8"/>
    </row>
    <row r="524" spans="1:11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  <c r="K524" s="8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  <c r="K527" s="8"/>
    </row>
    <row r="528" spans="1:11" s="9" customFormat="1" ht="13.2">
      <c r="A528" s="6"/>
      <c r="B528" s="6"/>
      <c r="C528" s="6"/>
      <c r="D528" s="6"/>
      <c r="E528" s="6"/>
      <c r="F528" s="12"/>
      <c r="G528" s="12"/>
      <c r="H528" s="12"/>
      <c r="I528" s="12"/>
      <c r="J528" s="12"/>
      <c r="K528" s="12"/>
    </row>
    <row r="529" spans="1:11" s="9" customFormat="1" ht="13.2">
      <c r="A529" s="6"/>
      <c r="B529" s="6"/>
      <c r="C529" s="6"/>
      <c r="D529" s="6"/>
      <c r="E529" s="6"/>
      <c r="F529" s="11"/>
      <c r="G529" s="11"/>
      <c r="H529" s="11"/>
      <c r="I529" s="11"/>
      <c r="J529" s="11"/>
      <c r="K529" s="11"/>
    </row>
    <row r="530" spans="1:11" s="9" customFormat="1" ht="13.2">
      <c r="A530" s="6"/>
      <c r="B530" s="6"/>
      <c r="C530" s="6"/>
      <c r="D530" s="6"/>
      <c r="E530" s="6"/>
      <c r="F530" s="12"/>
      <c r="G530" s="12"/>
      <c r="H530" s="12"/>
      <c r="I530" s="12"/>
      <c r="J530" s="12"/>
      <c r="K530" s="12"/>
    </row>
    <row r="531" spans="1:11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  <c r="K531" s="8"/>
    </row>
    <row r="532" spans="1:11" s="9" customFormat="1" ht="13.2">
      <c r="A532" s="6"/>
      <c r="B532" s="6"/>
      <c r="C532" s="6"/>
      <c r="D532" s="6"/>
      <c r="E532" s="6"/>
      <c r="F532" s="12"/>
      <c r="G532" s="12"/>
      <c r="H532" s="12"/>
      <c r="I532" s="12"/>
      <c r="J532" s="12"/>
      <c r="K532" s="12"/>
    </row>
    <row r="533" spans="1:11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  <c r="K533" s="8"/>
    </row>
    <row r="534" spans="1:11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  <c r="K534" s="8"/>
    </row>
    <row r="535" spans="1:11" s="9" customFormat="1" ht="13.2">
      <c r="A535" s="6"/>
      <c r="B535" s="6"/>
      <c r="C535" s="6"/>
      <c r="D535" s="6"/>
      <c r="E535" s="6"/>
      <c r="F535" s="12"/>
      <c r="G535" s="12"/>
      <c r="H535" s="12"/>
      <c r="I535" s="12"/>
      <c r="J535" s="12"/>
      <c r="K535" s="12"/>
    </row>
    <row r="536" spans="1:11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  <c r="K536" s="8"/>
    </row>
    <row r="537" spans="1:11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  <c r="K537" s="8"/>
    </row>
    <row r="538" spans="1:11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  <c r="K538" s="11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  <c r="K540" s="8"/>
    </row>
    <row r="541" spans="1:11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  <c r="K541" s="8"/>
    </row>
    <row r="542" spans="1:11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  <c r="K542" s="11"/>
    </row>
    <row r="543" spans="1:11" s="9" customFormat="1" ht="13.2">
      <c r="A543" s="6"/>
      <c r="B543" s="6"/>
      <c r="C543" s="6"/>
      <c r="D543" s="6"/>
      <c r="E543" s="6"/>
      <c r="F543" s="8"/>
      <c r="G543" s="8"/>
      <c r="H543" s="8"/>
      <c r="I543" s="8"/>
      <c r="J543" s="8"/>
      <c r="K543" s="8"/>
    </row>
    <row r="544" spans="1:11" s="9" customFormat="1" ht="13.2">
      <c r="A544" s="6"/>
      <c r="B544" s="6"/>
      <c r="C544" s="6"/>
      <c r="D544" s="6"/>
      <c r="E544" s="6"/>
      <c r="F544" s="8"/>
      <c r="G544" s="8"/>
      <c r="H544" s="8"/>
      <c r="I544" s="8"/>
      <c r="J544" s="8"/>
      <c r="K544" s="8"/>
    </row>
    <row r="545" spans="1:11" s="9" customFormat="1" ht="13.2">
      <c r="A545" s="6"/>
      <c r="B545" s="6"/>
      <c r="C545" s="6"/>
      <c r="D545" s="6"/>
      <c r="E545" s="6"/>
      <c r="F545" s="8"/>
      <c r="G545" s="8"/>
      <c r="H545" s="8"/>
      <c r="I545" s="8"/>
      <c r="J545" s="8"/>
      <c r="K545" s="8"/>
    </row>
    <row r="546" spans="1:11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  <c r="K546" s="8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  <c r="K548" s="8"/>
    </row>
    <row r="549" spans="1:11" s="9" customFormat="1" ht="13.2">
      <c r="A549" s="6"/>
      <c r="B549" s="6"/>
      <c r="C549" s="6"/>
      <c r="D549" s="6"/>
      <c r="E549" s="6"/>
      <c r="F549" s="10"/>
      <c r="G549" s="10"/>
      <c r="H549" s="10"/>
      <c r="I549" s="10"/>
      <c r="J549" s="10"/>
      <c r="K549" s="10"/>
    </row>
    <row r="550" spans="1:11" s="9" customFormat="1" ht="13.2">
      <c r="A550" s="6"/>
      <c r="B550" s="6"/>
      <c r="C550" s="6"/>
      <c r="D550" s="6"/>
      <c r="E550" s="6"/>
      <c r="F550" s="11"/>
      <c r="G550" s="11"/>
      <c r="H550" s="11"/>
      <c r="I550" s="11"/>
      <c r="J550" s="11"/>
      <c r="K550" s="11"/>
    </row>
    <row r="551" spans="1:11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  <c r="K551" s="8"/>
    </row>
    <row r="552" spans="1:11" s="9" customFormat="1" ht="13.2">
      <c r="A552" s="6"/>
      <c r="B552" s="6"/>
      <c r="C552" s="6"/>
      <c r="D552" s="6"/>
      <c r="E552" s="6"/>
      <c r="F552" s="11"/>
      <c r="G552" s="11"/>
      <c r="H552" s="11"/>
      <c r="I552" s="11"/>
      <c r="J552" s="11"/>
      <c r="K552" s="11"/>
    </row>
    <row r="553" spans="1:11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  <c r="K553" s="8"/>
    </row>
    <row r="554" spans="1:11" s="9" customFormat="1" ht="13.2">
      <c r="A554" s="6"/>
      <c r="B554" s="6"/>
      <c r="C554" s="6"/>
      <c r="D554" s="6"/>
      <c r="E554" s="6"/>
      <c r="F554" s="8"/>
      <c r="G554" s="8"/>
      <c r="H554" s="8"/>
      <c r="I554" s="8"/>
      <c r="J554" s="8"/>
      <c r="K554" s="8"/>
    </row>
    <row r="555" spans="1:11" s="9" customFormat="1" ht="13.2">
      <c r="A555" s="6"/>
      <c r="B555" s="6"/>
      <c r="C555" s="6"/>
      <c r="D555" s="6"/>
      <c r="E555" s="6"/>
      <c r="F555" s="11"/>
      <c r="G555" s="11"/>
      <c r="H555" s="11"/>
      <c r="I555" s="11"/>
      <c r="J555" s="11"/>
      <c r="K555" s="11"/>
    </row>
    <row r="556" spans="1:11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  <c r="K556" s="11"/>
    </row>
    <row r="557" spans="1:11" s="9" customFormat="1" ht="13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spans="1:11" s="9" customFormat="1" ht="13.2">
      <c r="A558" s="6"/>
      <c r="B558" s="6"/>
      <c r="C558" s="6"/>
      <c r="D558" s="6"/>
      <c r="E558" s="6"/>
      <c r="F558" s="11"/>
      <c r="G558" s="11"/>
      <c r="H558" s="11"/>
      <c r="I558" s="11"/>
      <c r="J558" s="11"/>
      <c r="K558" s="11"/>
    </row>
    <row r="559" spans="1:11" s="9" customFormat="1" ht="13.2">
      <c r="A559" s="6"/>
      <c r="B559" s="6"/>
      <c r="C559" s="6"/>
      <c r="D559" s="6"/>
      <c r="E559" s="6"/>
      <c r="F559" s="11"/>
      <c r="G559" s="11"/>
      <c r="H559" s="11"/>
      <c r="I559" s="11"/>
      <c r="J559" s="11"/>
      <c r="K559" s="11"/>
    </row>
    <row r="560" spans="1:11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  <c r="K560" s="8"/>
    </row>
    <row r="561" spans="1:11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  <c r="K561" s="8"/>
    </row>
    <row r="562" spans="1:11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  <c r="K562" s="8"/>
    </row>
    <row r="563" spans="1:11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  <c r="K563" s="8"/>
    </row>
    <row r="564" spans="1:11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  <c r="K564" s="8"/>
    </row>
    <row r="565" spans="1:11" s="9" customFormat="1" ht="13.2">
      <c r="A565" s="6"/>
      <c r="B565" s="6"/>
      <c r="C565" s="6"/>
      <c r="D565" s="6"/>
      <c r="E565" s="6"/>
      <c r="F565" s="7"/>
      <c r="G565" s="7"/>
      <c r="H565" s="7"/>
      <c r="I565" s="7"/>
      <c r="J565" s="7"/>
      <c r="K565" s="7"/>
    </row>
    <row r="566" spans="1:11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  <c r="K566" s="7"/>
    </row>
    <row r="567" spans="1:11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  <c r="K567" s="8"/>
    </row>
    <row r="568" spans="1:11" s="9" customFormat="1" ht="13.2">
      <c r="A568" s="6"/>
      <c r="B568" s="6"/>
      <c r="C568" s="6"/>
      <c r="D568" s="6"/>
      <c r="E568" s="6"/>
      <c r="F568" s="11"/>
      <c r="G568" s="11"/>
      <c r="H568" s="11"/>
      <c r="I568" s="11"/>
      <c r="J568" s="11"/>
      <c r="K568" s="11"/>
    </row>
    <row r="569" spans="1:11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  <c r="K569" s="7"/>
    </row>
    <row r="570" spans="1:11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  <c r="K570" s="8"/>
    </row>
    <row r="571" spans="1:11" s="9" customFormat="1" ht="13.2">
      <c r="A571" s="6"/>
      <c r="B571" s="6"/>
      <c r="C571" s="6"/>
      <c r="D571" s="6"/>
      <c r="E571" s="6"/>
      <c r="F571" s="7"/>
      <c r="G571" s="7"/>
      <c r="H571" s="7"/>
      <c r="I571" s="7"/>
      <c r="J571" s="7"/>
      <c r="K571" s="7"/>
    </row>
    <row r="572" spans="1:11" s="9" customFormat="1" ht="13.2">
      <c r="A572" s="6"/>
      <c r="B572" s="6"/>
      <c r="C572" s="6"/>
      <c r="D572" s="6"/>
      <c r="E572" s="6"/>
      <c r="F572" s="7"/>
      <c r="G572" s="7"/>
      <c r="H572" s="7"/>
      <c r="I572" s="7"/>
      <c r="J572" s="7"/>
      <c r="K572" s="7"/>
    </row>
    <row r="573" spans="1:11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  <c r="K573" s="8"/>
    </row>
    <row r="574" spans="1:11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  <c r="K574" s="8"/>
    </row>
    <row r="575" spans="1:11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  <c r="K575" s="8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7"/>
      <c r="G580" s="7"/>
      <c r="H580" s="7"/>
      <c r="I580" s="7"/>
      <c r="J580" s="7"/>
      <c r="K580" s="7"/>
    </row>
    <row r="581" spans="1:11" s="9" customFormat="1" ht="13.2">
      <c r="A581" s="6"/>
      <c r="B581" s="6"/>
      <c r="C581" s="6"/>
      <c r="D581" s="6"/>
      <c r="E581" s="6"/>
      <c r="F581" s="7"/>
      <c r="G581" s="7"/>
      <c r="H581" s="7"/>
      <c r="I581" s="7"/>
      <c r="J581" s="7"/>
      <c r="K581" s="7"/>
    </row>
    <row r="582" spans="1:11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  <c r="K582" s="8"/>
    </row>
    <row r="583" spans="1:11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  <c r="K583" s="8"/>
    </row>
    <row r="584" spans="1:11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  <c r="K584" s="8"/>
    </row>
    <row r="585" spans="1:11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  <c r="K585" s="8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  <c r="K596" s="8"/>
    </row>
    <row r="597" spans="1:11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  <c r="K597" s="8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8"/>
      <c r="G608" s="8"/>
      <c r="H608" s="8"/>
      <c r="I608" s="8"/>
      <c r="J608" s="8"/>
      <c r="K608" s="8"/>
    </row>
    <row r="609" spans="1:11" s="9" customFormat="1" ht="13.2">
      <c r="A609" s="6"/>
      <c r="B609" s="6"/>
      <c r="C609" s="6"/>
      <c r="D609" s="6"/>
      <c r="E609" s="6"/>
      <c r="F609" s="10"/>
      <c r="G609" s="10"/>
      <c r="H609" s="10"/>
      <c r="I609" s="10"/>
      <c r="J609" s="10"/>
      <c r="K609" s="10"/>
    </row>
    <row r="610" spans="1:11" s="9" customFormat="1" ht="13.2">
      <c r="A610" s="6"/>
      <c r="B610" s="6"/>
      <c r="C610" s="6"/>
      <c r="D610" s="6"/>
      <c r="E610" s="6"/>
      <c r="F610" s="10"/>
      <c r="G610" s="10"/>
      <c r="H610" s="10"/>
      <c r="I610" s="10"/>
      <c r="J610" s="10"/>
      <c r="K610" s="10"/>
    </row>
    <row r="611" spans="1:11" s="9" customFormat="1" ht="13.2">
      <c r="A611" s="6"/>
      <c r="B611" s="6"/>
      <c r="C611" s="6"/>
      <c r="D611" s="6"/>
      <c r="E611" s="6"/>
      <c r="F611" s="10"/>
      <c r="G611" s="10"/>
      <c r="H611" s="10"/>
      <c r="I611" s="10"/>
      <c r="J611" s="10"/>
      <c r="K611" s="10"/>
    </row>
    <row r="612" spans="1:11" s="9" customFormat="1" ht="13.2">
      <c r="A612" s="6"/>
      <c r="B612" s="6"/>
      <c r="C612" s="6"/>
      <c r="D612" s="6"/>
      <c r="E612" s="6"/>
      <c r="F612" s="8"/>
      <c r="G612" s="8"/>
      <c r="H612" s="8"/>
      <c r="I612" s="8"/>
      <c r="J612" s="8"/>
      <c r="K612" s="8"/>
    </row>
    <row r="613" spans="1:11" s="9" customFormat="1" ht="13.2">
      <c r="A613" s="6"/>
      <c r="B613" s="6"/>
      <c r="C613" s="6"/>
      <c r="D613" s="6"/>
      <c r="E613" s="6"/>
      <c r="F613" s="8"/>
      <c r="G613" s="8"/>
      <c r="H613" s="8"/>
      <c r="I613" s="8"/>
      <c r="J613" s="8"/>
      <c r="K613" s="8"/>
    </row>
    <row r="614" spans="1:11" s="9" customFormat="1" ht="13.2">
      <c r="A614" s="6"/>
      <c r="B614" s="6"/>
      <c r="C614" s="6"/>
      <c r="D614" s="6"/>
      <c r="E614" s="6"/>
      <c r="F614" s="10"/>
      <c r="G614" s="10"/>
      <c r="H614" s="10"/>
      <c r="I614" s="10"/>
      <c r="J614" s="10"/>
      <c r="K614" s="10"/>
    </row>
    <row r="615" spans="1:11" s="9" customFormat="1" ht="13.2">
      <c r="A615" s="6"/>
      <c r="B615" s="6"/>
      <c r="C615" s="6"/>
      <c r="D615" s="6"/>
      <c r="E615" s="6"/>
      <c r="F615" s="10"/>
      <c r="G615" s="10"/>
      <c r="H615" s="10"/>
      <c r="I615" s="10"/>
      <c r="J615" s="10"/>
      <c r="K615" s="10"/>
    </row>
    <row r="616" spans="1:11" s="9" customFormat="1" ht="13.2">
      <c r="A616" s="6"/>
      <c r="B616" s="6"/>
      <c r="C616" s="6"/>
      <c r="D616" s="6"/>
      <c r="E616" s="6"/>
      <c r="F616" s="10"/>
      <c r="G616" s="10"/>
      <c r="H616" s="10"/>
      <c r="I616" s="10"/>
      <c r="J616" s="10"/>
      <c r="K616" s="10"/>
    </row>
    <row r="617" spans="1:11" s="9" customFormat="1" ht="13.2">
      <c r="A617" s="6"/>
      <c r="B617" s="6"/>
      <c r="C617" s="6"/>
      <c r="D617" s="6"/>
      <c r="E617" s="6"/>
      <c r="F617" s="8"/>
      <c r="G617" s="8"/>
      <c r="H617" s="8"/>
      <c r="I617" s="8"/>
      <c r="J617" s="8"/>
      <c r="K617" s="8"/>
    </row>
    <row r="618" spans="1:11" s="9" customFormat="1" ht="13.2">
      <c r="A618" s="6"/>
      <c r="B618" s="6"/>
      <c r="C618" s="6"/>
      <c r="D618" s="6"/>
      <c r="E618" s="6"/>
      <c r="F618" s="8"/>
      <c r="G618" s="8"/>
      <c r="H618" s="8"/>
      <c r="I618" s="8"/>
      <c r="J618" s="8"/>
      <c r="K618" s="8"/>
    </row>
    <row r="619" spans="1:11" s="9" customFormat="1" ht="13.2">
      <c r="A619" s="6"/>
      <c r="B619" s="6"/>
      <c r="C619" s="6"/>
      <c r="D619" s="6"/>
      <c r="E619" s="6"/>
      <c r="F619" s="8"/>
      <c r="G619" s="8"/>
      <c r="H619" s="8"/>
      <c r="I619" s="8"/>
      <c r="J619" s="8"/>
      <c r="K619" s="8"/>
    </row>
    <row r="620" spans="1:11" s="9" customFormat="1" ht="13.2">
      <c r="A620" s="6"/>
      <c r="B620" s="6"/>
      <c r="C620" s="6"/>
      <c r="D620" s="6"/>
      <c r="E620" s="6"/>
      <c r="F620" s="12"/>
      <c r="G620" s="12"/>
      <c r="H620" s="12"/>
      <c r="I620" s="12"/>
      <c r="J620" s="12"/>
      <c r="K620" s="12"/>
    </row>
    <row r="621" spans="1:11" s="9" customFormat="1" ht="13.2">
      <c r="A621" s="6"/>
      <c r="B621" s="6"/>
      <c r="C621" s="6"/>
      <c r="D621" s="6"/>
      <c r="E621" s="6"/>
      <c r="F621" s="12"/>
      <c r="G621" s="12"/>
      <c r="H621" s="12"/>
      <c r="I621" s="12"/>
      <c r="J621" s="12"/>
      <c r="K621" s="12"/>
    </row>
    <row r="622" spans="1:11" s="9" customFormat="1" ht="13.2">
      <c r="A622" s="6"/>
      <c r="B622" s="6"/>
      <c r="C622" s="6"/>
      <c r="D622" s="6"/>
      <c r="E622" s="6"/>
      <c r="F622" s="12"/>
      <c r="G622" s="12"/>
      <c r="H622" s="12"/>
      <c r="I622" s="12"/>
      <c r="J622" s="12"/>
      <c r="K622" s="12"/>
    </row>
    <row r="623" spans="1:11" s="9" customFormat="1" ht="13.2">
      <c r="A623" s="6"/>
      <c r="B623" s="6"/>
      <c r="C623" s="6"/>
      <c r="D623" s="6"/>
      <c r="E623" s="6"/>
      <c r="F623" s="12"/>
      <c r="G623" s="12"/>
      <c r="H623" s="12"/>
      <c r="I623" s="12"/>
      <c r="J623" s="12"/>
      <c r="K623" s="12"/>
    </row>
    <row r="624" spans="1:11" s="9" customFormat="1" ht="13.2">
      <c r="A624" s="6"/>
      <c r="B624" s="6"/>
      <c r="C624" s="6"/>
      <c r="D624" s="6"/>
      <c r="E624" s="6"/>
      <c r="F624" s="12"/>
      <c r="G624" s="12"/>
      <c r="H624" s="12"/>
      <c r="I624" s="12"/>
      <c r="J624" s="12"/>
      <c r="K624" s="12"/>
    </row>
    <row r="625" spans="1:13" s="9" customFormat="1" ht="13.2">
      <c r="A625" s="6"/>
      <c r="B625" s="6"/>
      <c r="C625" s="6"/>
      <c r="D625" s="6"/>
      <c r="E625" s="6"/>
      <c r="F625" s="12"/>
      <c r="G625" s="12"/>
      <c r="H625" s="12"/>
      <c r="I625" s="12"/>
      <c r="J625" s="12"/>
      <c r="K625" s="12"/>
    </row>
    <row r="626" spans="1:13" s="9" customFormat="1" ht="13.2">
      <c r="A626" s="6"/>
      <c r="B626" s="6"/>
      <c r="C626" s="6"/>
      <c r="D626" s="6"/>
      <c r="E626" s="6"/>
      <c r="F626" s="12"/>
      <c r="G626" s="12"/>
      <c r="H626" s="12"/>
      <c r="I626" s="12"/>
      <c r="J626" s="12"/>
      <c r="K626" s="12"/>
    </row>
    <row r="627" spans="1:13" s="9" customForma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s="9" customForma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s="9" customForma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s="9" customForma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s="9" customForma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s="9" customForma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</sheetData>
  <mergeCells count="301">
    <mergeCell ref="B42:F42"/>
    <mergeCell ref="B43:F43"/>
    <mergeCell ref="G30:I30"/>
    <mergeCell ref="B20:F20"/>
    <mergeCell ref="B26:F26"/>
    <mergeCell ref="B35:F35"/>
    <mergeCell ref="B36:F36"/>
    <mergeCell ref="B37:F37"/>
    <mergeCell ref="B38:F38"/>
    <mergeCell ref="B39:F39"/>
    <mergeCell ref="B40:F40"/>
    <mergeCell ref="B41:F41"/>
    <mergeCell ref="G21:I21"/>
    <mergeCell ref="B27:F27"/>
    <mergeCell ref="G27:I27"/>
    <mergeCell ref="G34:I34"/>
    <mergeCell ref="L8:M8"/>
    <mergeCell ref="A9:A10"/>
    <mergeCell ref="B9:F10"/>
    <mergeCell ref="G9:I10"/>
    <mergeCell ref="J9:L9"/>
    <mergeCell ref="M9:M10"/>
    <mergeCell ref="J10:K10"/>
    <mergeCell ref="B3:H3"/>
    <mergeCell ref="L3:M3"/>
    <mergeCell ref="L4:M4"/>
    <mergeCell ref="L5:M5"/>
    <mergeCell ref="B6:H6"/>
    <mergeCell ref="L6:M6"/>
    <mergeCell ref="G15:I15"/>
    <mergeCell ref="J15:K15"/>
    <mergeCell ref="G16:I16"/>
    <mergeCell ref="J16:K16"/>
    <mergeCell ref="G17:I17"/>
    <mergeCell ref="J17:K17"/>
    <mergeCell ref="G11:I11"/>
    <mergeCell ref="B12:F12"/>
    <mergeCell ref="G12:I12"/>
    <mergeCell ref="G13:I13"/>
    <mergeCell ref="J13:K13"/>
    <mergeCell ref="G14:I14"/>
    <mergeCell ref="J14:K14"/>
    <mergeCell ref="J21:K21"/>
    <mergeCell ref="G22:I22"/>
    <mergeCell ref="J22:K22"/>
    <mergeCell ref="G23:I23"/>
    <mergeCell ref="J23:K23"/>
    <mergeCell ref="G18:I18"/>
    <mergeCell ref="J18:K18"/>
    <mergeCell ref="G19:I19"/>
    <mergeCell ref="J19:K19"/>
    <mergeCell ref="G20:I20"/>
    <mergeCell ref="J20:K20"/>
    <mergeCell ref="J27:K27"/>
    <mergeCell ref="G28:I28"/>
    <mergeCell ref="J28:K28"/>
    <mergeCell ref="G29:I29"/>
    <mergeCell ref="J29:K29"/>
    <mergeCell ref="G24:I24"/>
    <mergeCell ref="J24:K24"/>
    <mergeCell ref="B25:F25"/>
    <mergeCell ref="G25:I25"/>
    <mergeCell ref="J25:K25"/>
    <mergeCell ref="G26:I26"/>
    <mergeCell ref="J26:K26"/>
    <mergeCell ref="J34:K34"/>
    <mergeCell ref="G36:I36"/>
    <mergeCell ref="J36:K36"/>
    <mergeCell ref="J41:K41"/>
    <mergeCell ref="J42:K42"/>
    <mergeCell ref="G31:I31"/>
    <mergeCell ref="J31:K31"/>
    <mergeCell ref="G32:I32"/>
    <mergeCell ref="J32:K32"/>
    <mergeCell ref="G33:I33"/>
    <mergeCell ref="J33:K33"/>
    <mergeCell ref="B47:F47"/>
    <mergeCell ref="G47:H47"/>
    <mergeCell ref="J47:K47"/>
    <mergeCell ref="B48:F48"/>
    <mergeCell ref="G48:H48"/>
    <mergeCell ref="J48:K48"/>
    <mergeCell ref="G43:I43"/>
    <mergeCell ref="J43:K43"/>
    <mergeCell ref="B44:F44"/>
    <mergeCell ref="B46:F46"/>
    <mergeCell ref="G46:H46"/>
    <mergeCell ref="J46:K46"/>
    <mergeCell ref="B51:F51"/>
    <mergeCell ref="G51:I51"/>
    <mergeCell ref="A53:F53"/>
    <mergeCell ref="H53:M53"/>
    <mergeCell ref="A54:F54"/>
    <mergeCell ref="H54:M54"/>
    <mergeCell ref="B49:F49"/>
    <mergeCell ref="G49:H49"/>
    <mergeCell ref="J49:K49"/>
    <mergeCell ref="B50:F50"/>
    <mergeCell ref="G50:H50"/>
    <mergeCell ref="J50:K50"/>
    <mergeCell ref="A58:F58"/>
    <mergeCell ref="H58:M58"/>
    <mergeCell ref="A59:F59"/>
    <mergeCell ref="H59:M59"/>
    <mergeCell ref="A60:F60"/>
    <mergeCell ref="H60:M60"/>
    <mergeCell ref="A55:F55"/>
    <mergeCell ref="H55:M55"/>
    <mergeCell ref="A56:F56"/>
    <mergeCell ref="H56:M56"/>
    <mergeCell ref="A57:F57"/>
    <mergeCell ref="H57:M57"/>
    <mergeCell ref="H64:K64"/>
    <mergeCell ref="L64:M64"/>
    <mergeCell ref="A65:F65"/>
    <mergeCell ref="H65:I65"/>
    <mergeCell ref="J65:K65"/>
    <mergeCell ref="A66:F66"/>
    <mergeCell ref="H66:I66"/>
    <mergeCell ref="J66:K66"/>
    <mergeCell ref="A61:F61"/>
    <mergeCell ref="H61:M61"/>
    <mergeCell ref="A62:F62"/>
    <mergeCell ref="H62:M62"/>
    <mergeCell ref="A63:F63"/>
    <mergeCell ref="H63:M63"/>
    <mergeCell ref="A70:F70"/>
    <mergeCell ref="H70:I70"/>
    <mergeCell ref="J70:K70"/>
    <mergeCell ref="A71:F71"/>
    <mergeCell ref="H71:I71"/>
    <mergeCell ref="J71:K71"/>
    <mergeCell ref="H67:I67"/>
    <mergeCell ref="J67:K67"/>
    <mergeCell ref="A68:F68"/>
    <mergeCell ref="H68:I68"/>
    <mergeCell ref="J68:K68"/>
    <mergeCell ref="A69:F69"/>
    <mergeCell ref="H69:I69"/>
    <mergeCell ref="J69:K69"/>
    <mergeCell ref="A74:F74"/>
    <mergeCell ref="H74:I74"/>
    <mergeCell ref="J74:K74"/>
    <mergeCell ref="A75:F75"/>
    <mergeCell ref="H75:I75"/>
    <mergeCell ref="J75:K75"/>
    <mergeCell ref="A72:F72"/>
    <mergeCell ref="H72:I72"/>
    <mergeCell ref="J72:K72"/>
    <mergeCell ref="A73:F73"/>
    <mergeCell ref="H73:I73"/>
    <mergeCell ref="J73:K73"/>
    <mergeCell ref="A85:B85"/>
    <mergeCell ref="D85:F85"/>
    <mergeCell ref="H85:J85"/>
    <mergeCell ref="L85:M85"/>
    <mergeCell ref="A86:B86"/>
    <mergeCell ref="D86:F86"/>
    <mergeCell ref="H86:J86"/>
    <mergeCell ref="B79:C79"/>
    <mergeCell ref="D79:E79"/>
    <mergeCell ref="F79:G79"/>
    <mergeCell ref="H79:I79"/>
    <mergeCell ref="J79:L79"/>
    <mergeCell ref="B80:C81"/>
    <mergeCell ref="D80:E81"/>
    <mergeCell ref="F80:G81"/>
    <mergeCell ref="H80:I81"/>
    <mergeCell ref="J80:L81"/>
    <mergeCell ref="B95:H95"/>
    <mergeCell ref="L95:M95"/>
    <mergeCell ref="L97:M97"/>
    <mergeCell ref="A98:A99"/>
    <mergeCell ref="B98:F99"/>
    <mergeCell ref="G98:I99"/>
    <mergeCell ref="J98:L98"/>
    <mergeCell ref="M98:M99"/>
    <mergeCell ref="B92:H92"/>
    <mergeCell ref="L92:M92"/>
    <mergeCell ref="B93:H93"/>
    <mergeCell ref="L93:M93"/>
    <mergeCell ref="B94:H94"/>
    <mergeCell ref="L94:M94"/>
    <mergeCell ref="B103:F103"/>
    <mergeCell ref="G103:I103"/>
    <mergeCell ref="B104:F104"/>
    <mergeCell ref="G104:I104"/>
    <mergeCell ref="B105:F105"/>
    <mergeCell ref="G105:I105"/>
    <mergeCell ref="B100:F100"/>
    <mergeCell ref="G100:I100"/>
    <mergeCell ref="B101:F101"/>
    <mergeCell ref="G101:I101"/>
    <mergeCell ref="B102:F102"/>
    <mergeCell ref="G102:I102"/>
    <mergeCell ref="B109:F109"/>
    <mergeCell ref="G109:I109"/>
    <mergeCell ref="B110:F110"/>
    <mergeCell ref="G110:I110"/>
    <mergeCell ref="B111:F111"/>
    <mergeCell ref="G111:I111"/>
    <mergeCell ref="B106:F106"/>
    <mergeCell ref="G106:I106"/>
    <mergeCell ref="B107:F107"/>
    <mergeCell ref="G107:I107"/>
    <mergeCell ref="B108:F108"/>
    <mergeCell ref="G108:I108"/>
    <mergeCell ref="B115:F115"/>
    <mergeCell ref="G115:I115"/>
    <mergeCell ref="B116:F116"/>
    <mergeCell ref="G116:I116"/>
    <mergeCell ref="B117:F117"/>
    <mergeCell ref="G117:I117"/>
    <mergeCell ref="B112:F112"/>
    <mergeCell ref="G112:I112"/>
    <mergeCell ref="B113:F113"/>
    <mergeCell ref="G113:I113"/>
    <mergeCell ref="B114:F114"/>
    <mergeCell ref="G114:I114"/>
    <mergeCell ref="B123:F123"/>
    <mergeCell ref="G123:H123"/>
    <mergeCell ref="B124:F124"/>
    <mergeCell ref="G124:H124"/>
    <mergeCell ref="B125:F125"/>
    <mergeCell ref="G125:H125"/>
    <mergeCell ref="B118:F118"/>
    <mergeCell ref="G118:I118"/>
    <mergeCell ref="B119:F119"/>
    <mergeCell ref="G119:I119"/>
    <mergeCell ref="B120:F120"/>
    <mergeCell ref="B122:F122"/>
    <mergeCell ref="G122:H122"/>
    <mergeCell ref="A130:F130"/>
    <mergeCell ref="H130:M130"/>
    <mergeCell ref="A131:F131"/>
    <mergeCell ref="H131:M131"/>
    <mergeCell ref="A132:F132"/>
    <mergeCell ref="H132:M132"/>
    <mergeCell ref="B126:F126"/>
    <mergeCell ref="G126:H126"/>
    <mergeCell ref="B127:F127"/>
    <mergeCell ref="G127:I127"/>
    <mergeCell ref="A129:F129"/>
    <mergeCell ref="H129:M129"/>
    <mergeCell ref="A136:F136"/>
    <mergeCell ref="H136:M136"/>
    <mergeCell ref="A137:F137"/>
    <mergeCell ref="H137:M137"/>
    <mergeCell ref="A138:F138"/>
    <mergeCell ref="H138:M138"/>
    <mergeCell ref="A133:F133"/>
    <mergeCell ref="H133:M133"/>
    <mergeCell ref="A134:F134"/>
    <mergeCell ref="H134:M134"/>
    <mergeCell ref="A135:F135"/>
    <mergeCell ref="H135:M135"/>
    <mergeCell ref="A142:F142"/>
    <mergeCell ref="H142:I142"/>
    <mergeCell ref="A143:F143"/>
    <mergeCell ref="H143:I143"/>
    <mergeCell ref="A144:F144"/>
    <mergeCell ref="H144:I144"/>
    <mergeCell ref="A139:F139"/>
    <mergeCell ref="H139:M139"/>
    <mergeCell ref="H140:J140"/>
    <mergeCell ref="L140:M140"/>
    <mergeCell ref="A141:F141"/>
    <mergeCell ref="H141:I141"/>
    <mergeCell ref="H149:I149"/>
    <mergeCell ref="A150:F150"/>
    <mergeCell ref="H150:I150"/>
    <mergeCell ref="A145:F145"/>
    <mergeCell ref="H145:I145"/>
    <mergeCell ref="A146:F146"/>
    <mergeCell ref="H146:I146"/>
    <mergeCell ref="A147:F147"/>
    <mergeCell ref="H147:I147"/>
    <mergeCell ref="A29:A30"/>
    <mergeCell ref="M29:M30"/>
    <mergeCell ref="A161:B161"/>
    <mergeCell ref="D161:F161"/>
    <mergeCell ref="H161:J161"/>
    <mergeCell ref="L161:M161"/>
    <mergeCell ref="A162:B162"/>
    <mergeCell ref="D162:F162"/>
    <mergeCell ref="H162:J162"/>
    <mergeCell ref="J155:L155"/>
    <mergeCell ref="B156:C157"/>
    <mergeCell ref="D156:E157"/>
    <mergeCell ref="F156:G157"/>
    <mergeCell ref="H156:I157"/>
    <mergeCell ref="J156:L157"/>
    <mergeCell ref="A151:F151"/>
    <mergeCell ref="H151:I151"/>
    <mergeCell ref="B155:C155"/>
    <mergeCell ref="D155:E155"/>
    <mergeCell ref="F155:G155"/>
    <mergeCell ref="H155:I155"/>
    <mergeCell ref="A148:F148"/>
    <mergeCell ref="H148:I148"/>
    <mergeCell ref="A149:F149"/>
  </mergeCells>
  <printOptions horizontalCentered="1"/>
  <pageMargins left="0.31496062992126" right="0.31496062992126" top="0.35433070866141703" bottom="0.35433070866141703" header="0.31496062992126" footer="0.31496062992126"/>
  <pageSetup paperSize="14" scale="58" orientation="portrait" r:id="rId1"/>
  <rowBreaks count="1" manualBreakCount="1">
    <brk id="86" max="11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0C0D-589A-45C7-BF39-259F279E87A9}">
  <sheetPr>
    <tabColor rgb="FFFFC000"/>
    <pageSetUpPr fitToPage="1"/>
  </sheetPr>
  <dimension ref="A1:O632"/>
  <sheetViews>
    <sheetView view="pageBreakPreview" zoomScale="91" zoomScaleNormal="55" zoomScaleSheetLayoutView="91" zoomScalePageLayoutView="25" workbookViewId="0">
      <selection activeCell="M86" sqref="A1:M86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6.7773437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324" t="s">
        <v>505</v>
      </c>
      <c r="C4" s="324"/>
      <c r="D4" s="324"/>
      <c r="E4" s="324"/>
      <c r="F4" s="324"/>
      <c r="G4" s="324"/>
      <c r="H4" s="324"/>
      <c r="J4" s="22"/>
      <c r="K4" s="22"/>
      <c r="L4" s="555"/>
      <c r="M4" s="555"/>
    </row>
    <row r="5" spans="1:13" s="16" customFormat="1" ht="16.5" customHeight="1">
      <c r="A5" s="69"/>
      <c r="B5" s="324" t="s">
        <v>519</v>
      </c>
      <c r="C5" s="324"/>
      <c r="D5" s="324"/>
      <c r="E5" s="324"/>
      <c r="F5" s="324"/>
      <c r="G5" s="324"/>
      <c r="H5" s="324"/>
      <c r="I5" s="21" t="s">
        <v>5</v>
      </c>
      <c r="J5" s="22"/>
      <c r="K5" s="22"/>
      <c r="L5" s="557" t="s">
        <v>337</v>
      </c>
      <c r="M5" s="557"/>
    </row>
    <row r="6" spans="1:13" s="16" customFormat="1" ht="16.5" customHeight="1">
      <c r="A6" s="22" t="s">
        <v>10</v>
      </c>
      <c r="B6" s="556" t="s">
        <v>550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451"/>
      <c r="M7" s="451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5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84"/>
    </row>
    <row r="11" spans="1:13" s="2" customFormat="1" ht="16.5" customHeight="1">
      <c r="A11" s="402" t="s">
        <v>274</v>
      </c>
      <c r="B11" s="357" t="s">
        <v>103</v>
      </c>
      <c r="C11" s="467"/>
      <c r="D11" s="467"/>
      <c r="E11" s="467"/>
      <c r="F11" s="466"/>
      <c r="G11" s="733"/>
      <c r="H11" s="740"/>
      <c r="I11" s="734"/>
      <c r="J11" s="465"/>
      <c r="K11" s="466"/>
      <c r="L11" s="20"/>
      <c r="M11" s="401"/>
    </row>
    <row r="12" spans="1:13" s="2" customFormat="1" ht="19.8" customHeight="1">
      <c r="A12" s="440" t="s">
        <v>104</v>
      </c>
      <c r="B12" s="781" t="s">
        <v>262</v>
      </c>
      <c r="C12" s="782"/>
      <c r="D12" s="782"/>
      <c r="E12" s="782"/>
      <c r="F12" s="783"/>
      <c r="G12" s="733"/>
      <c r="H12" s="740"/>
      <c r="I12" s="734"/>
      <c r="J12" s="465"/>
      <c r="K12" s="466"/>
      <c r="L12" s="20"/>
      <c r="M12" s="397" t="s">
        <v>106</v>
      </c>
    </row>
    <row r="13" spans="1:13" s="326" customFormat="1" ht="16.5" customHeight="1">
      <c r="A13" s="395" t="s">
        <v>107</v>
      </c>
      <c r="B13" s="327" t="s">
        <v>351</v>
      </c>
      <c r="C13" s="328"/>
      <c r="D13" s="328"/>
      <c r="E13" s="328"/>
      <c r="F13" s="329"/>
      <c r="G13" s="735"/>
      <c r="H13" s="735"/>
      <c r="I13" s="735"/>
      <c r="J13" s="738"/>
      <c r="K13" s="739"/>
      <c r="L13" s="358"/>
      <c r="M13" s="398" t="s">
        <v>263</v>
      </c>
    </row>
    <row r="14" spans="1:13" s="18" customFormat="1" ht="16.5" customHeight="1">
      <c r="A14" s="332" t="s">
        <v>111</v>
      </c>
      <c r="B14" s="327" t="s">
        <v>112</v>
      </c>
      <c r="C14" s="328"/>
      <c r="D14" s="328"/>
      <c r="E14" s="328"/>
      <c r="F14" s="329"/>
      <c r="G14" s="735"/>
      <c r="H14" s="735"/>
      <c r="I14" s="735"/>
      <c r="J14" s="736"/>
      <c r="K14" s="737"/>
      <c r="L14" s="468"/>
      <c r="M14" s="398" t="s">
        <v>333</v>
      </c>
    </row>
    <row r="15" spans="1:13" s="326" customFormat="1" ht="16.5" customHeight="1">
      <c r="A15" s="441" t="s">
        <v>276</v>
      </c>
      <c r="B15" s="357" t="s">
        <v>352</v>
      </c>
      <c r="C15" s="328"/>
      <c r="D15" s="328"/>
      <c r="E15" s="328"/>
      <c r="F15" s="329"/>
      <c r="G15" s="735"/>
      <c r="H15" s="735"/>
      <c r="I15" s="735"/>
      <c r="J15" s="736"/>
      <c r="K15" s="737"/>
      <c r="L15" s="468"/>
      <c r="M15" s="398"/>
    </row>
    <row r="16" spans="1:13" s="18" customFormat="1" ht="16.2" customHeight="1">
      <c r="A16" s="332">
        <v>801</v>
      </c>
      <c r="B16" s="327" t="s">
        <v>510</v>
      </c>
      <c r="C16" s="328"/>
      <c r="D16" s="328"/>
      <c r="E16" s="328"/>
      <c r="F16" s="329"/>
      <c r="G16" s="735"/>
      <c r="H16" s="735"/>
      <c r="I16" s="735"/>
      <c r="J16" s="736"/>
      <c r="K16" s="737"/>
      <c r="L16" s="468"/>
      <c r="M16" s="398" t="s">
        <v>331</v>
      </c>
    </row>
    <row r="17" spans="1:13" s="326" customFormat="1" ht="16.5" customHeight="1">
      <c r="A17" s="395" t="s">
        <v>345</v>
      </c>
      <c r="B17" s="544" t="s">
        <v>359</v>
      </c>
      <c r="C17" s="545"/>
      <c r="D17" s="328"/>
      <c r="E17" s="328"/>
      <c r="F17" s="329"/>
      <c r="G17" s="735"/>
      <c r="H17" s="735"/>
      <c r="I17" s="735"/>
      <c r="J17" s="738"/>
      <c r="K17" s="739"/>
      <c r="L17" s="357"/>
      <c r="M17" s="398" t="s">
        <v>331</v>
      </c>
    </row>
    <row r="18" spans="1:13" s="18" customFormat="1" ht="16.5" customHeight="1">
      <c r="A18" s="345">
        <v>1046</v>
      </c>
      <c r="B18" s="686" t="s">
        <v>320</v>
      </c>
      <c r="C18" s="687"/>
      <c r="D18" s="687"/>
      <c r="E18" s="687"/>
      <c r="F18" s="688"/>
      <c r="G18" s="735"/>
      <c r="H18" s="735"/>
      <c r="I18" s="735"/>
      <c r="J18" s="747"/>
      <c r="K18" s="748"/>
      <c r="L18" s="468"/>
      <c r="M18" s="398" t="s">
        <v>331</v>
      </c>
    </row>
    <row r="19" spans="1:13" s="326" customFormat="1" ht="16.5" customHeight="1">
      <c r="A19" s="345">
        <v>1018</v>
      </c>
      <c r="B19" s="330" t="s">
        <v>417</v>
      </c>
      <c r="C19" s="344"/>
      <c r="D19" s="343"/>
      <c r="E19" s="343"/>
      <c r="F19" s="344"/>
      <c r="G19" s="735"/>
      <c r="H19" s="735"/>
      <c r="I19" s="735"/>
      <c r="J19" s="747"/>
      <c r="K19" s="748"/>
      <c r="L19" s="468"/>
      <c r="M19" s="398" t="s">
        <v>331</v>
      </c>
    </row>
    <row r="20" spans="1:13" s="326" customFormat="1" ht="16.5" customHeight="1">
      <c r="A20" s="332" t="s">
        <v>409</v>
      </c>
      <c r="B20" s="330" t="s">
        <v>511</v>
      </c>
      <c r="C20" s="329"/>
      <c r="D20" s="343"/>
      <c r="E20" s="343"/>
      <c r="F20" s="344"/>
      <c r="G20" s="735"/>
      <c r="H20" s="735"/>
      <c r="I20" s="735"/>
      <c r="J20" s="747"/>
      <c r="K20" s="748"/>
      <c r="L20" s="468"/>
      <c r="M20" s="398" t="s">
        <v>331</v>
      </c>
    </row>
    <row r="21" spans="1:13" s="18" customFormat="1" ht="16.5" customHeight="1">
      <c r="A21" s="332" t="s">
        <v>346</v>
      </c>
      <c r="B21" s="330" t="s">
        <v>419</v>
      </c>
      <c r="C21" s="329"/>
      <c r="D21" s="343"/>
      <c r="E21" s="343"/>
      <c r="F21" s="344"/>
      <c r="G21" s="735"/>
      <c r="H21" s="735"/>
      <c r="I21" s="735"/>
      <c r="J21" s="747"/>
      <c r="K21" s="748"/>
      <c r="L21" s="468"/>
      <c r="M21" s="398" t="s">
        <v>331</v>
      </c>
    </row>
    <row r="22" spans="1:13" s="326" customFormat="1" ht="16.5" customHeight="1">
      <c r="A22" s="332">
        <v>1002</v>
      </c>
      <c r="B22" s="686" t="s">
        <v>368</v>
      </c>
      <c r="C22" s="687"/>
      <c r="D22" s="687"/>
      <c r="E22" s="687"/>
      <c r="F22" s="688"/>
      <c r="G22" s="735"/>
      <c r="H22" s="735"/>
      <c r="I22" s="735"/>
      <c r="J22" s="747"/>
      <c r="K22" s="748"/>
      <c r="L22" s="468"/>
      <c r="M22" s="398" t="s">
        <v>333</v>
      </c>
    </row>
    <row r="23" spans="1:13" s="18" customFormat="1" ht="16.5" customHeight="1">
      <c r="A23" s="332">
        <v>1010</v>
      </c>
      <c r="B23" s="686" t="s">
        <v>420</v>
      </c>
      <c r="C23" s="687"/>
      <c r="D23" s="687"/>
      <c r="E23" s="687"/>
      <c r="F23" s="688"/>
      <c r="G23" s="735"/>
      <c r="H23" s="735"/>
      <c r="I23" s="735"/>
      <c r="J23" s="747"/>
      <c r="K23" s="748"/>
      <c r="L23" s="468"/>
      <c r="M23" s="398" t="s">
        <v>369</v>
      </c>
    </row>
    <row r="24" spans="1:13" s="326" customFormat="1" ht="16.5" customHeight="1">
      <c r="A24" s="395">
        <v>1007</v>
      </c>
      <c r="B24" s="432" t="s">
        <v>364</v>
      </c>
      <c r="C24" s="394"/>
      <c r="D24" s="343"/>
      <c r="E24" s="343"/>
      <c r="F24" s="344"/>
      <c r="G24" s="735"/>
      <c r="H24" s="735"/>
      <c r="I24" s="735"/>
      <c r="J24" s="747"/>
      <c r="K24" s="748"/>
      <c r="L24" s="333"/>
      <c r="M24" s="398" t="s">
        <v>331</v>
      </c>
    </row>
    <row r="25" spans="1:13" s="18" customFormat="1" ht="16.5" customHeight="1">
      <c r="A25" s="332">
        <v>1014</v>
      </c>
      <c r="B25" s="686" t="s">
        <v>324</v>
      </c>
      <c r="C25" s="687"/>
      <c r="D25" s="687"/>
      <c r="E25" s="687"/>
      <c r="F25" s="688"/>
      <c r="G25" s="735"/>
      <c r="H25" s="735"/>
      <c r="I25" s="735"/>
      <c r="J25" s="747"/>
      <c r="K25" s="748"/>
      <c r="L25" s="333"/>
      <c r="M25" s="398" t="s">
        <v>331</v>
      </c>
    </row>
    <row r="26" spans="1:13" s="326" customFormat="1" ht="16.5" customHeight="1">
      <c r="A26" s="395">
        <v>1012</v>
      </c>
      <c r="B26" s="432" t="s">
        <v>513</v>
      </c>
      <c r="C26" s="394"/>
      <c r="D26" s="343"/>
      <c r="E26" s="343"/>
      <c r="F26" s="344"/>
      <c r="G26" s="735"/>
      <c r="H26" s="735"/>
      <c r="I26" s="735"/>
      <c r="J26" s="747"/>
      <c r="K26" s="748"/>
      <c r="L26" s="333"/>
      <c r="M26" s="398" t="s">
        <v>331</v>
      </c>
    </row>
    <row r="27" spans="1:13" s="18" customFormat="1" ht="16.5" customHeight="1">
      <c r="A27" s="332" t="s">
        <v>508</v>
      </c>
      <c r="B27" s="785" t="s">
        <v>514</v>
      </c>
      <c r="C27" s="786"/>
      <c r="D27" s="786"/>
      <c r="E27" s="786"/>
      <c r="F27" s="787"/>
      <c r="G27" s="735"/>
      <c r="H27" s="735"/>
      <c r="I27" s="735"/>
      <c r="J27" s="747"/>
      <c r="K27" s="748"/>
      <c r="L27" s="333"/>
      <c r="M27" s="398" t="s">
        <v>331</v>
      </c>
    </row>
    <row r="28" spans="1:13" s="326" customFormat="1" ht="16.5" customHeight="1">
      <c r="A28" s="395" t="s">
        <v>520</v>
      </c>
      <c r="B28" s="775" t="s">
        <v>515</v>
      </c>
      <c r="C28" s="776"/>
      <c r="D28" s="776"/>
      <c r="E28" s="776"/>
      <c r="F28" s="777"/>
      <c r="G28" s="735"/>
      <c r="H28" s="735"/>
      <c r="I28" s="735"/>
      <c r="J28" s="747"/>
      <c r="K28" s="748"/>
      <c r="L28" s="333"/>
      <c r="M28" s="398" t="s">
        <v>331</v>
      </c>
    </row>
    <row r="29" spans="1:13" s="18" customFormat="1" ht="16.5" customHeight="1">
      <c r="A29" s="395">
        <v>1100</v>
      </c>
      <c r="B29" s="432" t="s">
        <v>325</v>
      </c>
      <c r="C29" s="394"/>
      <c r="D29" s="343"/>
      <c r="E29" s="343"/>
      <c r="F29" s="344"/>
      <c r="G29" s="735"/>
      <c r="H29" s="735"/>
      <c r="I29" s="735"/>
      <c r="J29" s="747"/>
      <c r="K29" s="748"/>
      <c r="L29" s="333"/>
      <c r="M29" s="398" t="s">
        <v>333</v>
      </c>
    </row>
    <row r="30" spans="1:13" s="18" customFormat="1" ht="16.5" customHeight="1">
      <c r="A30" s="395">
        <v>1101</v>
      </c>
      <c r="B30" s="476" t="s">
        <v>326</v>
      </c>
      <c r="C30" s="477"/>
      <c r="D30" s="478"/>
      <c r="E30" s="478"/>
      <c r="F30" s="479"/>
      <c r="G30" s="752"/>
      <c r="H30" s="753"/>
      <c r="I30" s="754"/>
      <c r="J30" s="468"/>
      <c r="K30" s="469"/>
      <c r="L30" s="333"/>
      <c r="M30" s="398" t="s">
        <v>263</v>
      </c>
    </row>
    <row r="31" spans="1:13" s="326" customFormat="1" ht="16.5" customHeight="1">
      <c r="A31" s="828">
        <v>1102</v>
      </c>
      <c r="B31" s="830" t="s">
        <v>493</v>
      </c>
      <c r="C31" s="831"/>
      <c r="D31" s="831"/>
      <c r="E31" s="831"/>
      <c r="F31" s="832"/>
      <c r="G31" s="710"/>
      <c r="H31" s="710"/>
      <c r="I31" s="711"/>
      <c r="J31" s="715"/>
      <c r="K31" s="716"/>
      <c r="L31" s="719"/>
      <c r="M31" s="823" t="s">
        <v>333</v>
      </c>
    </row>
    <row r="32" spans="1:13" s="326" customFormat="1" ht="16.5" customHeight="1">
      <c r="A32" s="829"/>
      <c r="B32" s="833" t="s">
        <v>522</v>
      </c>
      <c r="C32" s="834"/>
      <c r="D32" s="834"/>
      <c r="E32" s="834"/>
      <c r="F32" s="835"/>
      <c r="G32" s="713"/>
      <c r="H32" s="713"/>
      <c r="I32" s="714"/>
      <c r="J32" s="717"/>
      <c r="K32" s="718"/>
      <c r="L32" s="720"/>
      <c r="M32" s="824"/>
    </row>
    <row r="33" spans="1:13" s="326" customFormat="1" ht="16.5" customHeight="1">
      <c r="A33" s="332">
        <v>1103</v>
      </c>
      <c r="B33" s="480" t="s">
        <v>328</v>
      </c>
      <c r="C33" s="481"/>
      <c r="D33" s="482"/>
      <c r="E33" s="482"/>
      <c r="F33" s="483"/>
      <c r="G33" s="752"/>
      <c r="H33" s="753"/>
      <c r="I33" s="754"/>
      <c r="J33" s="747"/>
      <c r="K33" s="748"/>
      <c r="L33" s="333"/>
      <c r="M33" s="398" t="s">
        <v>263</v>
      </c>
    </row>
    <row r="34" spans="1:13" s="326" customFormat="1" ht="16.5" customHeight="1">
      <c r="A34" s="395" t="s">
        <v>521</v>
      </c>
      <c r="B34" s="432" t="s">
        <v>517</v>
      </c>
      <c r="C34" s="394"/>
      <c r="D34" s="343"/>
      <c r="E34" s="343"/>
      <c r="F34" s="344"/>
      <c r="G34" s="752"/>
      <c r="H34" s="753"/>
      <c r="I34" s="754"/>
      <c r="J34" s="747"/>
      <c r="K34" s="748"/>
      <c r="L34" s="333"/>
      <c r="M34" s="398" t="s">
        <v>332</v>
      </c>
    </row>
    <row r="35" spans="1:13" s="326" customFormat="1" ht="16.5" customHeight="1">
      <c r="A35" s="332">
        <v>1208</v>
      </c>
      <c r="B35" s="330" t="s">
        <v>518</v>
      </c>
      <c r="C35" s="329"/>
      <c r="D35" s="343"/>
      <c r="E35" s="343"/>
      <c r="F35" s="344"/>
      <c r="G35" s="470"/>
      <c r="H35" s="471"/>
      <c r="I35" s="472"/>
      <c r="J35" s="468"/>
      <c r="K35" s="469"/>
      <c r="L35" s="333"/>
      <c r="M35" s="398" t="s">
        <v>332</v>
      </c>
    </row>
    <row r="36" spans="1:13" s="326" customFormat="1" ht="16.5" customHeight="1">
      <c r="A36" s="332">
        <v>1105</v>
      </c>
      <c r="B36" s="330" t="s">
        <v>516</v>
      </c>
      <c r="C36" s="329"/>
      <c r="D36" s="343"/>
      <c r="E36" s="343"/>
      <c r="F36" s="344"/>
      <c r="G36" s="752"/>
      <c r="H36" s="753"/>
      <c r="I36" s="754"/>
      <c r="J36" s="747"/>
      <c r="K36" s="748"/>
      <c r="L36" s="333"/>
      <c r="M36" s="398" t="s">
        <v>333</v>
      </c>
    </row>
    <row r="37" spans="1:13" s="326" customFormat="1" ht="16.5" customHeight="1">
      <c r="A37" s="395"/>
      <c r="B37" s="778"/>
      <c r="C37" s="779"/>
      <c r="D37" s="779"/>
      <c r="E37" s="779"/>
      <c r="F37" s="780"/>
      <c r="G37" s="470"/>
      <c r="H37" s="471"/>
      <c r="I37" s="472"/>
      <c r="J37" s="468"/>
      <c r="K37" s="469"/>
      <c r="L37" s="333"/>
      <c r="M37" s="398"/>
    </row>
    <row r="38" spans="1:13" s="326" customFormat="1" ht="16.5" customHeight="1">
      <c r="A38" s="332"/>
      <c r="B38" s="825"/>
      <c r="C38" s="826"/>
      <c r="D38" s="826"/>
      <c r="E38" s="826"/>
      <c r="F38" s="827"/>
      <c r="G38" s="470"/>
      <c r="H38" s="471"/>
      <c r="I38" s="472"/>
      <c r="J38" s="468"/>
      <c r="K38" s="469"/>
      <c r="L38" s="333"/>
      <c r="M38" s="398"/>
    </row>
    <row r="39" spans="1:13" s="326" customFormat="1" ht="16.5" customHeight="1">
      <c r="A39" s="332"/>
      <c r="B39" s="825"/>
      <c r="C39" s="826"/>
      <c r="D39" s="826"/>
      <c r="E39" s="826"/>
      <c r="F39" s="827"/>
      <c r="G39" s="470"/>
      <c r="H39" s="471"/>
      <c r="I39" s="472"/>
      <c r="J39" s="468"/>
      <c r="K39" s="469"/>
      <c r="L39" s="333"/>
      <c r="M39" s="398"/>
    </row>
    <row r="40" spans="1:13" s="326" customFormat="1" ht="16.5" customHeight="1">
      <c r="A40" s="332"/>
      <c r="B40" s="825"/>
      <c r="C40" s="826"/>
      <c r="D40" s="826"/>
      <c r="E40" s="826"/>
      <c r="F40" s="827"/>
      <c r="G40" s="470"/>
      <c r="H40" s="471"/>
      <c r="I40" s="472"/>
      <c r="J40" s="468"/>
      <c r="K40" s="469"/>
      <c r="L40" s="333"/>
      <c r="M40" s="398"/>
    </row>
    <row r="41" spans="1:13" s="326" customFormat="1" ht="16.5" customHeight="1">
      <c r="A41" s="332"/>
      <c r="B41" s="825"/>
      <c r="C41" s="826"/>
      <c r="D41" s="826"/>
      <c r="E41" s="826"/>
      <c r="F41" s="827"/>
      <c r="G41" s="470"/>
      <c r="H41" s="471"/>
      <c r="I41" s="472"/>
      <c r="J41" s="747"/>
      <c r="K41" s="748"/>
      <c r="L41" s="333"/>
      <c r="M41" s="398"/>
    </row>
    <row r="42" spans="1:13" s="326" customFormat="1" ht="16.5" customHeight="1">
      <c r="A42" s="395"/>
      <c r="B42" s="772"/>
      <c r="C42" s="773"/>
      <c r="D42" s="773"/>
      <c r="E42" s="773"/>
      <c r="F42" s="774"/>
      <c r="G42" s="470"/>
      <c r="H42" s="471"/>
      <c r="I42" s="472"/>
      <c r="J42" s="747"/>
      <c r="K42" s="748"/>
      <c r="L42" s="333"/>
      <c r="M42" s="398"/>
    </row>
    <row r="43" spans="1:13" s="18" customFormat="1" ht="16.5" customHeight="1" thickBot="1">
      <c r="A43" s="346"/>
      <c r="B43" s="800"/>
      <c r="C43" s="801"/>
      <c r="D43" s="801"/>
      <c r="E43" s="801"/>
      <c r="F43" s="802"/>
      <c r="G43" s="757"/>
      <c r="H43" s="757"/>
      <c r="I43" s="757"/>
      <c r="J43" s="758"/>
      <c r="K43" s="759"/>
      <c r="L43" s="350"/>
      <c r="M43" s="399"/>
    </row>
    <row r="44" spans="1:13" s="18" customFormat="1" ht="16.5" customHeight="1">
      <c r="A44" s="454"/>
      <c r="B44" s="566"/>
      <c r="C44" s="566"/>
      <c r="D44" s="566"/>
      <c r="E44" s="566"/>
      <c r="F44" s="566"/>
      <c r="G44" s="454"/>
      <c r="H44" s="41"/>
      <c r="I44" s="41"/>
      <c r="J44" s="42"/>
      <c r="K44" s="42"/>
      <c r="L44" s="43"/>
      <c r="M44" s="3"/>
    </row>
    <row r="45" spans="1:13" s="18" customFormat="1" ht="16.5" customHeight="1">
      <c r="A45" s="26" t="s">
        <v>23</v>
      </c>
      <c r="B45" s="456"/>
      <c r="C45" s="456"/>
      <c r="D45" s="456"/>
      <c r="E45" s="456"/>
      <c r="F45" s="17"/>
      <c r="G45" s="17"/>
      <c r="H45" s="17"/>
      <c r="I45" s="17"/>
      <c r="J45" s="17"/>
      <c r="K45" s="17"/>
      <c r="L45" s="3"/>
      <c r="M45" s="3"/>
    </row>
    <row r="46" spans="1:13" s="25" customFormat="1" ht="16.5" customHeight="1">
      <c r="A46" s="19" t="s">
        <v>13</v>
      </c>
      <c r="B46" s="567" t="s">
        <v>14</v>
      </c>
      <c r="C46" s="567"/>
      <c r="D46" s="567"/>
      <c r="E46" s="567"/>
      <c r="F46" s="567"/>
      <c r="G46" s="568" t="s">
        <v>24</v>
      </c>
      <c r="H46" s="568"/>
      <c r="I46" s="455" t="s">
        <v>17</v>
      </c>
      <c r="J46" s="733" t="s">
        <v>25</v>
      </c>
      <c r="K46" s="734"/>
      <c r="L46" s="450" t="s">
        <v>26</v>
      </c>
      <c r="M46" s="450" t="s">
        <v>27</v>
      </c>
    </row>
    <row r="47" spans="1:13" s="18" customFormat="1" ht="16.5" customHeight="1">
      <c r="A47" s="317"/>
      <c r="B47" s="563"/>
      <c r="C47" s="563"/>
      <c r="D47" s="563"/>
      <c r="E47" s="563"/>
      <c r="F47" s="563"/>
      <c r="G47" s="564"/>
      <c r="H47" s="564"/>
      <c r="I47" s="453"/>
      <c r="J47" s="755"/>
      <c r="K47" s="756"/>
      <c r="L47" s="460"/>
      <c r="M47" s="460"/>
    </row>
    <row r="48" spans="1:13" s="52" customFormat="1" ht="16.5" customHeight="1">
      <c r="A48" s="452"/>
      <c r="B48" s="563"/>
      <c r="C48" s="563"/>
      <c r="D48" s="563"/>
      <c r="E48" s="563"/>
      <c r="F48" s="563"/>
      <c r="G48" s="564"/>
      <c r="H48" s="564"/>
      <c r="I48" s="453"/>
      <c r="J48" s="755"/>
      <c r="K48" s="756"/>
      <c r="L48" s="460"/>
      <c r="M48" s="460"/>
    </row>
    <row r="49" spans="1:13" s="52" customFormat="1" ht="16.5" customHeight="1">
      <c r="A49" s="452"/>
      <c r="B49" s="563"/>
      <c r="C49" s="563"/>
      <c r="D49" s="563"/>
      <c r="E49" s="563"/>
      <c r="F49" s="563"/>
      <c r="G49" s="564"/>
      <c r="H49" s="564"/>
      <c r="I49" s="453"/>
      <c r="J49" s="755"/>
      <c r="K49" s="756"/>
      <c r="L49" s="460"/>
      <c r="M49" s="460"/>
    </row>
    <row r="50" spans="1:13" s="52" customFormat="1" ht="16.5" customHeight="1">
      <c r="A50" s="452"/>
      <c r="B50" s="563"/>
      <c r="C50" s="563"/>
      <c r="D50" s="563"/>
      <c r="E50" s="563"/>
      <c r="F50" s="563"/>
      <c r="G50" s="564"/>
      <c r="H50" s="564"/>
      <c r="I50" s="453"/>
      <c r="J50" s="755"/>
      <c r="K50" s="756"/>
      <c r="L50" s="460"/>
      <c r="M50" s="460"/>
    </row>
    <row r="51" spans="1:13" s="52" customFormat="1" ht="16.5" customHeight="1">
      <c r="A51" s="32"/>
      <c r="B51" s="565"/>
      <c r="C51" s="565"/>
      <c r="D51" s="565"/>
      <c r="E51" s="565"/>
      <c r="F51" s="565"/>
      <c r="G51" s="565"/>
      <c r="H51" s="565"/>
      <c r="I51" s="565"/>
      <c r="J51" s="17"/>
      <c r="K51" s="17"/>
      <c r="L51" s="3"/>
      <c r="M51" s="3"/>
    </row>
    <row r="52" spans="1:13" s="51" customFormat="1" ht="16.5" customHeight="1">
      <c r="A52" s="34" t="s">
        <v>28</v>
      </c>
      <c r="B52" s="34"/>
      <c r="C52" s="34"/>
      <c r="D52" s="34"/>
      <c r="E52" s="34"/>
      <c r="F52" s="17"/>
      <c r="G52" s="38"/>
      <c r="H52" s="36" t="s">
        <v>29</v>
      </c>
      <c r="I52" s="34"/>
      <c r="J52" s="34"/>
      <c r="K52" s="34"/>
      <c r="L52" s="34"/>
      <c r="M52" s="34"/>
    </row>
    <row r="53" spans="1:13" s="51" customFormat="1" ht="16.5" customHeight="1">
      <c r="A53" s="569"/>
      <c r="B53" s="569"/>
      <c r="C53" s="569"/>
      <c r="D53" s="569"/>
      <c r="E53" s="569"/>
      <c r="F53" s="569"/>
      <c r="G53" s="457"/>
      <c r="H53" s="569"/>
      <c r="I53" s="569"/>
      <c r="J53" s="569"/>
      <c r="K53" s="569"/>
      <c r="L53" s="569"/>
      <c r="M53" s="569"/>
    </row>
    <row r="54" spans="1:13" s="51" customFormat="1" ht="16.5" customHeight="1">
      <c r="A54" s="571"/>
      <c r="B54" s="571"/>
      <c r="C54" s="571"/>
      <c r="D54" s="571"/>
      <c r="E54" s="571"/>
      <c r="F54" s="571"/>
      <c r="G54" s="457"/>
      <c r="H54" s="571"/>
      <c r="I54" s="571"/>
      <c r="J54" s="571"/>
      <c r="K54" s="571"/>
      <c r="L54" s="571"/>
      <c r="M54" s="571"/>
    </row>
    <row r="55" spans="1:13" s="51" customFormat="1" ht="16.5" customHeight="1">
      <c r="A55" s="571"/>
      <c r="B55" s="571"/>
      <c r="C55" s="571"/>
      <c r="D55" s="571"/>
      <c r="E55" s="571"/>
      <c r="F55" s="571"/>
      <c r="G55" s="57"/>
      <c r="H55" s="569"/>
      <c r="I55" s="569"/>
      <c r="J55" s="569"/>
      <c r="K55" s="569"/>
      <c r="L55" s="569"/>
      <c r="M55" s="569"/>
    </row>
    <row r="56" spans="1:13" s="51" customFormat="1" ht="16.5" customHeight="1">
      <c r="A56" s="569"/>
      <c r="B56" s="569"/>
      <c r="C56" s="569"/>
      <c r="D56" s="569"/>
      <c r="E56" s="569"/>
      <c r="F56" s="569"/>
      <c r="G56" s="57"/>
      <c r="H56" s="569"/>
      <c r="I56" s="569"/>
      <c r="J56" s="569"/>
      <c r="K56" s="569"/>
      <c r="L56" s="569"/>
      <c r="M56" s="569"/>
    </row>
    <row r="57" spans="1:13" s="51" customFormat="1" ht="16.5" customHeight="1">
      <c r="A57" s="570"/>
      <c r="B57" s="570"/>
      <c r="C57" s="570"/>
      <c r="D57" s="570"/>
      <c r="E57" s="570"/>
      <c r="F57" s="570"/>
      <c r="G57" s="39"/>
      <c r="H57" s="569"/>
      <c r="I57" s="569"/>
      <c r="J57" s="569"/>
      <c r="K57" s="569"/>
      <c r="L57" s="569"/>
      <c r="M57" s="569"/>
    </row>
    <row r="58" spans="1:13" s="3" customFormat="1" ht="16.5" customHeight="1">
      <c r="A58" s="571"/>
      <c r="B58" s="571"/>
      <c r="C58" s="571"/>
      <c r="D58" s="571"/>
      <c r="E58" s="571"/>
      <c r="F58" s="571"/>
      <c r="G58" s="457"/>
      <c r="H58" s="569"/>
      <c r="I58" s="569"/>
      <c r="J58" s="569"/>
      <c r="K58" s="569"/>
      <c r="L58" s="569"/>
      <c r="M58" s="569"/>
    </row>
    <row r="59" spans="1:13" s="3" customFormat="1" ht="16.5" customHeight="1">
      <c r="A59" s="571"/>
      <c r="B59" s="571"/>
      <c r="C59" s="571"/>
      <c r="D59" s="571"/>
      <c r="E59" s="571"/>
      <c r="F59" s="571"/>
      <c r="G59" s="57"/>
      <c r="H59" s="569"/>
      <c r="I59" s="569"/>
      <c r="J59" s="569"/>
      <c r="K59" s="569"/>
      <c r="L59" s="569"/>
      <c r="M59" s="569"/>
    </row>
    <row r="60" spans="1:13" s="3" customFormat="1" ht="16.5" customHeight="1">
      <c r="A60" s="571"/>
      <c r="B60" s="571"/>
      <c r="C60" s="571"/>
      <c r="D60" s="571"/>
      <c r="E60" s="571"/>
      <c r="F60" s="571"/>
      <c r="G60" s="457"/>
      <c r="H60" s="569"/>
      <c r="I60" s="569"/>
      <c r="J60" s="569"/>
      <c r="K60" s="569"/>
      <c r="L60" s="569"/>
      <c r="M60" s="569"/>
    </row>
    <row r="61" spans="1:13" s="3" customFormat="1" ht="16.5" customHeight="1">
      <c r="A61" s="571"/>
      <c r="B61" s="571"/>
      <c r="C61" s="571"/>
      <c r="D61" s="571"/>
      <c r="E61" s="571"/>
      <c r="F61" s="571"/>
      <c r="G61" s="457"/>
      <c r="H61" s="569"/>
      <c r="I61" s="569"/>
      <c r="J61" s="569"/>
      <c r="K61" s="569"/>
      <c r="L61" s="569"/>
      <c r="M61" s="569"/>
    </row>
    <row r="62" spans="1:13" s="3" customFormat="1" ht="16.5" customHeight="1">
      <c r="A62" s="571"/>
      <c r="B62" s="571"/>
      <c r="C62" s="571"/>
      <c r="D62" s="571"/>
      <c r="E62" s="571"/>
      <c r="F62" s="571"/>
      <c r="G62" s="57"/>
      <c r="H62" s="569"/>
      <c r="I62" s="569"/>
      <c r="J62" s="569"/>
      <c r="K62" s="569"/>
      <c r="L62" s="569"/>
      <c r="M62" s="569"/>
    </row>
    <row r="63" spans="1:13" s="3" customFormat="1" ht="16.5" customHeight="1">
      <c r="A63" s="572"/>
      <c r="B63" s="572"/>
      <c r="C63" s="572"/>
      <c r="D63" s="572"/>
      <c r="E63" s="572"/>
      <c r="F63" s="572"/>
      <c r="G63" s="57"/>
      <c r="H63" s="572"/>
      <c r="I63" s="572"/>
      <c r="J63" s="572"/>
      <c r="K63" s="572"/>
      <c r="L63" s="572"/>
      <c r="M63" s="572"/>
    </row>
    <row r="64" spans="1:13" s="3" customFormat="1" ht="16.5" customHeight="1">
      <c r="A64" s="70" t="s">
        <v>34</v>
      </c>
      <c r="B64" s="5"/>
      <c r="C64" s="4"/>
      <c r="H64" s="760" t="s">
        <v>35</v>
      </c>
      <c r="I64" s="761"/>
      <c r="J64" s="761"/>
      <c r="K64" s="762"/>
      <c r="L64" s="573" t="s">
        <v>36</v>
      </c>
      <c r="M64" s="573"/>
    </row>
    <row r="65" spans="1:13" s="3" customFormat="1" ht="16.5" customHeight="1">
      <c r="A65" s="576"/>
      <c r="B65" s="576"/>
      <c r="C65" s="576"/>
      <c r="D65" s="576"/>
      <c r="E65" s="576"/>
      <c r="F65" s="576"/>
      <c r="G65" s="71"/>
      <c r="H65" s="577" t="s">
        <v>14</v>
      </c>
      <c r="I65" s="577"/>
      <c r="J65" s="763" t="s">
        <v>24</v>
      </c>
      <c r="K65" s="764"/>
      <c r="L65" s="461" t="s">
        <v>14</v>
      </c>
      <c r="M65" s="461" t="s">
        <v>24</v>
      </c>
    </row>
    <row r="66" spans="1:13" s="3" customFormat="1" ht="16.5" customHeight="1">
      <c r="A66" s="576"/>
      <c r="B66" s="576"/>
      <c r="C66" s="576"/>
      <c r="D66" s="576"/>
      <c r="E66" s="576"/>
      <c r="F66" s="576"/>
      <c r="G66" s="72"/>
      <c r="H66" s="575"/>
      <c r="I66" s="575"/>
      <c r="J66" s="765"/>
      <c r="K66" s="766"/>
      <c r="L66" s="76"/>
      <c r="M66" s="460"/>
    </row>
    <row r="67" spans="1:13" s="3" customFormat="1" ht="16.5" customHeight="1">
      <c r="A67" s="459"/>
      <c r="B67" s="459"/>
      <c r="C67" s="459"/>
      <c r="D67" s="459"/>
      <c r="E67" s="459"/>
      <c r="F67" s="459"/>
      <c r="G67" s="72"/>
      <c r="H67" s="575"/>
      <c r="I67" s="575"/>
      <c r="J67" s="765"/>
      <c r="K67" s="766"/>
      <c r="L67" s="76"/>
      <c r="M67" s="460"/>
    </row>
    <row r="68" spans="1:13" s="3" customFormat="1" ht="16.5" customHeight="1">
      <c r="A68" s="574"/>
      <c r="B68" s="574"/>
      <c r="C68" s="574"/>
      <c r="D68" s="574"/>
      <c r="E68" s="574"/>
      <c r="F68" s="574"/>
      <c r="G68" s="72"/>
      <c r="H68" s="575"/>
      <c r="I68" s="575"/>
      <c r="J68" s="765"/>
      <c r="K68" s="766"/>
      <c r="L68" s="76"/>
      <c r="M68" s="460"/>
    </row>
    <row r="69" spans="1:13" s="3" customFormat="1" ht="16.5" customHeight="1">
      <c r="A69" s="767"/>
      <c r="B69" s="767"/>
      <c r="C69" s="767"/>
      <c r="D69" s="767"/>
      <c r="E69" s="767"/>
      <c r="F69" s="767"/>
      <c r="G69" s="72"/>
      <c r="H69" s="765"/>
      <c r="I69" s="766"/>
      <c r="J69" s="765"/>
      <c r="K69" s="766"/>
      <c r="L69" s="76"/>
      <c r="M69" s="460"/>
    </row>
    <row r="70" spans="1:13" s="3" customFormat="1" ht="16.5" customHeight="1">
      <c r="A70" s="767"/>
      <c r="B70" s="767"/>
      <c r="C70" s="767"/>
      <c r="D70" s="767"/>
      <c r="E70" s="767"/>
      <c r="F70" s="767"/>
      <c r="G70" s="72"/>
      <c r="H70" s="765"/>
      <c r="I70" s="766"/>
      <c r="J70" s="765"/>
      <c r="K70" s="766"/>
      <c r="L70" s="77"/>
      <c r="M70" s="460"/>
    </row>
    <row r="71" spans="1:13" s="3" customFormat="1" ht="70.8" customHeight="1">
      <c r="A71" s="767"/>
      <c r="B71" s="767"/>
      <c r="C71" s="767"/>
      <c r="D71" s="767"/>
      <c r="E71" s="767"/>
      <c r="F71" s="767"/>
      <c r="G71" s="72"/>
      <c r="H71" s="765"/>
      <c r="I71" s="766"/>
      <c r="J71" s="765"/>
      <c r="K71" s="766"/>
      <c r="M71" s="73"/>
    </row>
    <row r="72" spans="1:13" s="3" customFormat="1" ht="16.5" customHeight="1">
      <c r="A72" s="574"/>
      <c r="B72" s="574"/>
      <c r="C72" s="574"/>
      <c r="D72" s="574"/>
      <c r="E72" s="574"/>
      <c r="F72" s="574"/>
      <c r="G72" s="72"/>
      <c r="H72" s="575"/>
      <c r="I72" s="575"/>
      <c r="J72" s="765"/>
      <c r="K72" s="766"/>
      <c r="L72" s="77"/>
      <c r="M72" s="73"/>
    </row>
    <row r="73" spans="1:13" s="3" customFormat="1" ht="16.5" customHeight="1">
      <c r="A73" s="574"/>
      <c r="B73" s="574"/>
      <c r="C73" s="574"/>
      <c r="D73" s="574"/>
      <c r="E73" s="574"/>
      <c r="F73" s="574"/>
      <c r="G73" s="72"/>
      <c r="H73" s="575"/>
      <c r="I73" s="575"/>
      <c r="J73" s="765"/>
      <c r="K73" s="766"/>
      <c r="L73" s="77"/>
      <c r="M73" s="73"/>
    </row>
    <row r="74" spans="1:13" s="3" customFormat="1" ht="16.5" customHeight="1">
      <c r="A74" s="574"/>
      <c r="B74" s="574"/>
      <c r="C74" s="574"/>
      <c r="D74" s="574"/>
      <c r="E74" s="574"/>
      <c r="F74" s="574"/>
      <c r="G74" s="72"/>
      <c r="H74" s="575"/>
      <c r="I74" s="575"/>
      <c r="J74" s="765"/>
      <c r="K74" s="766"/>
      <c r="L74" s="77"/>
      <c r="M74" s="73"/>
    </row>
    <row r="75" spans="1:13" s="3" customFormat="1" ht="16.5" customHeight="1">
      <c r="A75" s="574"/>
      <c r="B75" s="574"/>
      <c r="C75" s="574"/>
      <c r="D75" s="574"/>
      <c r="E75" s="574"/>
      <c r="F75" s="574"/>
      <c r="G75" s="72"/>
      <c r="H75" s="575"/>
      <c r="I75" s="575"/>
      <c r="J75" s="765"/>
      <c r="K75" s="766"/>
      <c r="L75" s="77"/>
      <c r="M75" s="73"/>
    </row>
    <row r="76" spans="1:13" s="3" customFormat="1" ht="16.5" customHeight="1">
      <c r="A76" s="45"/>
      <c r="B76" s="46"/>
      <c r="C76" s="46"/>
      <c r="D76" s="46"/>
      <c r="E76" s="44"/>
      <c r="F76" s="46"/>
      <c r="G76" s="46"/>
      <c r="H76" s="46"/>
      <c r="I76" s="46"/>
      <c r="J76" s="46"/>
      <c r="K76" s="46"/>
      <c r="L76" s="47"/>
      <c r="M76" s="46"/>
    </row>
    <row r="77" spans="1:13" s="3" customFormat="1" ht="16.5" customHeight="1">
      <c r="A77" s="45" t="s">
        <v>45</v>
      </c>
      <c r="B77" s="46"/>
      <c r="C77" s="46"/>
      <c r="D77" s="46"/>
      <c r="E77" s="44"/>
      <c r="F77" s="46"/>
      <c r="G77" s="46"/>
      <c r="H77" s="46"/>
      <c r="I77" s="46"/>
      <c r="J77" s="46"/>
      <c r="K77" s="46"/>
      <c r="L77" s="47"/>
      <c r="M77" s="46"/>
    </row>
    <row r="78" spans="1:13" s="3" customFormat="1" ht="16.5" customHeight="1">
      <c r="A78" s="45"/>
      <c r="B78" s="46"/>
      <c r="C78" s="46"/>
      <c r="D78" s="46"/>
      <c r="E78" s="44"/>
      <c r="F78" s="46"/>
      <c r="G78" s="46"/>
      <c r="H78" s="46"/>
      <c r="I78" s="48"/>
      <c r="J78" s="48"/>
      <c r="K78" s="48"/>
      <c r="L78" s="47"/>
      <c r="M78" s="46"/>
    </row>
    <row r="79" spans="1:13" s="3" customFormat="1" ht="31.5" customHeight="1">
      <c r="A79" s="46" t="s">
        <v>46</v>
      </c>
      <c r="B79" s="578" t="s">
        <v>47</v>
      </c>
      <c r="C79" s="579"/>
      <c r="D79" s="578" t="s">
        <v>48</v>
      </c>
      <c r="E79" s="579"/>
      <c r="F79" s="578" t="s">
        <v>49</v>
      </c>
      <c r="G79" s="579"/>
      <c r="H79" s="578" t="s">
        <v>50</v>
      </c>
      <c r="I79" s="579"/>
      <c r="J79" s="578" t="s">
        <v>51</v>
      </c>
      <c r="K79" s="769"/>
      <c r="L79" s="579"/>
      <c r="M79" s="49"/>
    </row>
    <row r="80" spans="1:13" s="3" customFormat="1" ht="16.5" customHeight="1">
      <c r="A80" s="50"/>
      <c r="B80" s="583"/>
      <c r="C80" s="584"/>
      <c r="D80" s="587"/>
      <c r="E80" s="588"/>
      <c r="F80" s="665"/>
      <c r="G80" s="666"/>
      <c r="H80" s="665"/>
      <c r="I80" s="666"/>
      <c r="J80" s="587"/>
      <c r="K80" s="770"/>
      <c r="L80" s="588"/>
      <c r="M80" s="49"/>
    </row>
    <row r="81" spans="1:15" s="22" customFormat="1" ht="16.5" customHeight="1">
      <c r="A81" s="50"/>
      <c r="B81" s="585"/>
      <c r="C81" s="586"/>
      <c r="D81" s="589"/>
      <c r="E81" s="590"/>
      <c r="F81" s="667"/>
      <c r="G81" s="668"/>
      <c r="H81" s="667"/>
      <c r="I81" s="668"/>
      <c r="J81" s="589"/>
      <c r="K81" s="771"/>
      <c r="L81" s="590"/>
      <c r="M81" s="49"/>
    </row>
    <row r="82" spans="1:15" s="22" customFormat="1" ht="16.5" customHeight="1">
      <c r="A82" s="35"/>
      <c r="B82" s="27"/>
      <c r="C82" s="27"/>
      <c r="D82" s="27"/>
      <c r="E82" s="35"/>
      <c r="F82" s="58"/>
      <c r="G82" s="58"/>
      <c r="H82" s="58"/>
      <c r="I82" s="58"/>
      <c r="J82" s="68"/>
      <c r="K82" s="68"/>
      <c r="L82" s="68"/>
      <c r="M82" s="3"/>
    </row>
    <row r="83" spans="1:15" s="22" customFormat="1" ht="16.5" customHeight="1">
      <c r="A83" s="35" t="s">
        <v>53</v>
      </c>
      <c r="B83" s="27"/>
      <c r="C83" s="27"/>
      <c r="D83" s="35" t="s">
        <v>54</v>
      </c>
      <c r="F83" s="58"/>
      <c r="H83" s="35" t="s">
        <v>250</v>
      </c>
      <c r="I83" s="58"/>
      <c r="L83" s="68" t="s">
        <v>266</v>
      </c>
      <c r="M83" s="3"/>
    </row>
    <row r="84" spans="1:15" s="22" customFormat="1" ht="16.5" customHeight="1">
      <c r="A84" s="29"/>
      <c r="B84" s="29"/>
      <c r="C84" s="29"/>
      <c r="D84" s="29"/>
      <c r="E84" s="29"/>
      <c r="F84" s="29"/>
      <c r="H84" s="29"/>
      <c r="I84" s="29"/>
      <c r="J84" s="3"/>
      <c r="K84" s="3"/>
      <c r="L84" s="3"/>
      <c r="M84" s="3"/>
    </row>
    <row r="85" spans="1:15" s="22" customFormat="1" ht="16.5" customHeight="1">
      <c r="A85" s="673" t="s">
        <v>371</v>
      </c>
      <c r="B85" s="673"/>
      <c r="C85" s="318"/>
      <c r="D85" s="674" t="s">
        <v>296</v>
      </c>
      <c r="E85" s="674"/>
      <c r="F85" s="674"/>
      <c r="H85" s="675" t="s">
        <v>247</v>
      </c>
      <c r="I85" s="675"/>
      <c r="J85" s="675"/>
      <c r="K85" s="463"/>
      <c r="L85" s="768"/>
      <c r="M85" s="768"/>
      <c r="O85" s="218"/>
    </row>
    <row r="86" spans="1:15" s="3" customFormat="1" ht="16.5" customHeight="1">
      <c r="A86" s="663" t="s">
        <v>59</v>
      </c>
      <c r="B86" s="663"/>
      <c r="C86" s="319"/>
      <c r="D86" s="664" t="s">
        <v>60</v>
      </c>
      <c r="E86" s="664"/>
      <c r="F86" s="664"/>
      <c r="H86" s="663" t="s">
        <v>252</v>
      </c>
      <c r="I86" s="663"/>
      <c r="J86" s="663"/>
      <c r="K86" s="463"/>
      <c r="L86" s="320" t="s">
        <v>253</v>
      </c>
      <c r="M86" s="320"/>
    </row>
    <row r="87" spans="1:15" s="3" customFormat="1" ht="16.5" customHeight="1">
      <c r="A87" s="463"/>
      <c r="B87" s="463"/>
      <c r="C87" s="319"/>
      <c r="D87" s="464"/>
      <c r="E87" s="464"/>
      <c r="F87" s="464"/>
      <c r="H87" s="463"/>
      <c r="I87" s="463"/>
      <c r="J87" s="463"/>
      <c r="K87" s="463"/>
      <c r="L87" s="320"/>
      <c r="M87" s="320"/>
    </row>
    <row r="88" spans="1:15" s="3" customFormat="1" ht="16.5" customHeight="1">
      <c r="A88" s="37"/>
      <c r="B88" s="27"/>
      <c r="C88" s="27"/>
      <c r="D88" s="27"/>
      <c r="E88" s="27"/>
      <c r="F88" s="29"/>
      <c r="G88" s="29"/>
      <c r="H88" s="29"/>
      <c r="I88" s="29"/>
      <c r="J88" s="29"/>
      <c r="K88" s="29"/>
    </row>
    <row r="89" spans="1:15" s="3" customFormat="1" ht="16.5" customHeight="1">
      <c r="A89" s="37"/>
      <c r="B89" s="27"/>
      <c r="C89" s="27"/>
      <c r="D89" s="27"/>
      <c r="E89" s="27"/>
      <c r="F89" s="29"/>
      <c r="G89" s="29"/>
      <c r="H89" s="29"/>
      <c r="I89" s="29"/>
      <c r="J89" s="29"/>
      <c r="K89" s="29"/>
    </row>
    <row r="90" spans="1:15" s="3" customFormat="1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5" s="3" customFormat="1" ht="16.5" customHeight="1">
      <c r="A91" s="40"/>
      <c r="B91" s="40"/>
      <c r="C91" s="40"/>
      <c r="D91" s="40"/>
      <c r="E91" s="40"/>
      <c r="F91" s="1"/>
      <c r="G91" s="1"/>
      <c r="H91" s="1"/>
      <c r="I91" s="1"/>
      <c r="J91" s="1"/>
      <c r="K91" s="1"/>
      <c r="L91" s="1"/>
      <c r="M91" s="1"/>
    </row>
    <row r="92" spans="1:15" s="3" customFormat="1" ht="16.5" customHeight="1">
      <c r="A92" s="21" t="s">
        <v>0</v>
      </c>
      <c r="B92" s="554"/>
      <c r="C92" s="554"/>
      <c r="D92" s="554"/>
      <c r="E92" s="554"/>
      <c r="F92" s="554"/>
      <c r="G92" s="554"/>
      <c r="H92" s="554"/>
      <c r="I92" s="16"/>
      <c r="J92" s="22"/>
      <c r="K92" s="22"/>
      <c r="L92" s="555"/>
      <c r="M92" s="555"/>
    </row>
    <row r="93" spans="1:15" s="3" customFormat="1" ht="15" customHeight="1">
      <c r="A93" s="21" t="s">
        <v>2</v>
      </c>
      <c r="B93" s="556" t="s">
        <v>269</v>
      </c>
      <c r="C93" s="556"/>
      <c r="D93" s="556"/>
      <c r="E93" s="556"/>
      <c r="F93" s="556"/>
      <c r="G93" s="556"/>
      <c r="H93" s="556"/>
      <c r="I93" s="16"/>
      <c r="J93" s="22"/>
      <c r="K93" s="22"/>
      <c r="L93" s="555"/>
      <c r="M93" s="555"/>
    </row>
    <row r="94" spans="1:15" s="3" customFormat="1" ht="15" customHeight="1">
      <c r="A94" s="69"/>
      <c r="B94" s="554" t="s">
        <v>270</v>
      </c>
      <c r="C94" s="554"/>
      <c r="D94" s="554"/>
      <c r="E94" s="554"/>
      <c r="F94" s="554"/>
      <c r="G94" s="554"/>
      <c r="H94" s="554"/>
      <c r="I94" s="21" t="s">
        <v>5</v>
      </c>
      <c r="J94" s="22"/>
      <c r="K94" s="22"/>
      <c r="L94" s="557" t="s">
        <v>271</v>
      </c>
      <c r="M94" s="557"/>
    </row>
    <row r="95" spans="1:15" s="3" customFormat="1" ht="15" customHeight="1">
      <c r="A95" s="22" t="s">
        <v>10</v>
      </c>
      <c r="B95" s="556" t="s">
        <v>272</v>
      </c>
      <c r="C95" s="556"/>
      <c r="D95" s="556"/>
      <c r="E95" s="556"/>
      <c r="F95" s="556"/>
      <c r="G95" s="556"/>
      <c r="H95" s="556"/>
      <c r="I95" s="21" t="s">
        <v>8</v>
      </c>
      <c r="J95" s="21"/>
      <c r="K95" s="21"/>
      <c r="L95" s="669" t="s">
        <v>273</v>
      </c>
      <c r="M95" s="669"/>
    </row>
    <row r="96" spans="1:15" s="3" customFormat="1" ht="15" customHeight="1">
      <c r="A96" s="22"/>
      <c r="B96" s="16"/>
      <c r="C96" s="16"/>
      <c r="D96" s="16"/>
      <c r="E96" s="16"/>
      <c r="F96" s="16"/>
      <c r="G96" s="16"/>
      <c r="H96" s="16"/>
      <c r="I96" s="16"/>
      <c r="J96" s="59"/>
      <c r="K96" s="59"/>
      <c r="L96" s="451"/>
      <c r="M96" s="451"/>
    </row>
    <row r="97" spans="1:13" s="3" customFormat="1" ht="15" customHeight="1">
      <c r="A97" s="24" t="s">
        <v>12</v>
      </c>
      <c r="L97" s="555"/>
      <c r="M97" s="555"/>
    </row>
    <row r="98" spans="1:13" s="3" customFormat="1" ht="17.399999999999999">
      <c r="A98" s="552" t="s">
        <v>13</v>
      </c>
      <c r="B98" s="552" t="s">
        <v>14</v>
      </c>
      <c r="C98" s="552"/>
      <c r="D98" s="552"/>
      <c r="E98" s="552"/>
      <c r="F98" s="552"/>
      <c r="G98" s="552" t="s">
        <v>15</v>
      </c>
      <c r="H98" s="552"/>
      <c r="I98" s="552"/>
      <c r="J98" s="553" t="s">
        <v>16</v>
      </c>
      <c r="K98" s="553"/>
      <c r="L98" s="553"/>
      <c r="M98" s="552" t="s">
        <v>17</v>
      </c>
    </row>
    <row r="99" spans="1:13" s="3" customFormat="1" ht="21.9" customHeight="1">
      <c r="A99" s="552"/>
      <c r="B99" s="552"/>
      <c r="C99" s="552"/>
      <c r="D99" s="552"/>
      <c r="E99" s="552"/>
      <c r="F99" s="552"/>
      <c r="G99" s="552"/>
      <c r="H99" s="552"/>
      <c r="I99" s="552"/>
      <c r="J99" s="450" t="s">
        <v>18</v>
      </c>
      <c r="K99" s="450"/>
      <c r="L99" s="20" t="s">
        <v>19</v>
      </c>
      <c r="M99" s="552"/>
    </row>
    <row r="100" spans="1:13" s="3" customFormat="1" ht="21.9" customHeight="1">
      <c r="A100" s="452"/>
      <c r="B100" s="558"/>
      <c r="C100" s="558"/>
      <c r="D100" s="558"/>
      <c r="E100" s="558"/>
      <c r="F100" s="558"/>
      <c r="G100" s="559"/>
      <c r="H100" s="559"/>
      <c r="I100" s="559"/>
      <c r="J100" s="216"/>
      <c r="K100" s="216"/>
      <c r="L100" s="53"/>
      <c r="M100" s="460"/>
    </row>
    <row r="101" spans="1:13" s="3" customFormat="1" ht="21.9" customHeight="1">
      <c r="A101" s="215"/>
      <c r="B101" s="558"/>
      <c r="C101" s="558"/>
      <c r="D101" s="558"/>
      <c r="E101" s="558"/>
      <c r="F101" s="558"/>
      <c r="G101" s="559"/>
      <c r="H101" s="559"/>
      <c r="I101" s="559"/>
      <c r="J101" s="216"/>
      <c r="K101" s="216"/>
      <c r="L101" s="53"/>
      <c r="M101" s="460"/>
    </row>
    <row r="102" spans="1:13" s="3" customFormat="1" ht="21.9" customHeight="1">
      <c r="A102" s="215"/>
      <c r="B102" s="558"/>
      <c r="C102" s="558"/>
      <c r="D102" s="558"/>
      <c r="E102" s="558"/>
      <c r="F102" s="558"/>
      <c r="G102" s="559"/>
      <c r="H102" s="559"/>
      <c r="I102" s="559"/>
      <c r="J102" s="216"/>
      <c r="K102" s="216"/>
      <c r="L102" s="53"/>
      <c r="M102" s="460"/>
    </row>
    <row r="103" spans="1:13" s="3" customFormat="1" ht="21.9" customHeight="1">
      <c r="A103" s="215"/>
      <c r="B103" s="558"/>
      <c r="C103" s="558"/>
      <c r="D103" s="558"/>
      <c r="E103" s="558"/>
      <c r="F103" s="558"/>
      <c r="G103" s="559"/>
      <c r="H103" s="559"/>
      <c r="I103" s="559"/>
      <c r="J103" s="216"/>
      <c r="K103" s="216"/>
      <c r="L103" s="53"/>
      <c r="M103" s="460"/>
    </row>
    <row r="104" spans="1:13" s="3" customFormat="1" ht="21.9" customHeight="1">
      <c r="A104" s="215"/>
      <c r="B104" s="558"/>
      <c r="C104" s="558"/>
      <c r="D104" s="558"/>
      <c r="E104" s="558"/>
      <c r="F104" s="558"/>
      <c r="G104" s="559"/>
      <c r="H104" s="559"/>
      <c r="I104" s="559"/>
      <c r="J104" s="53"/>
      <c r="K104" s="53"/>
      <c r="L104" s="53"/>
      <c r="M104" s="460"/>
    </row>
    <row r="105" spans="1:13" s="3" customFormat="1" ht="21.9" customHeight="1">
      <c r="A105" s="54"/>
      <c r="B105" s="558"/>
      <c r="C105" s="558"/>
      <c r="D105" s="558"/>
      <c r="E105" s="558"/>
      <c r="F105" s="558"/>
      <c r="G105" s="559"/>
      <c r="H105" s="559"/>
      <c r="I105" s="559"/>
      <c r="J105" s="53"/>
      <c r="K105" s="53"/>
      <c r="L105" s="53"/>
      <c r="M105" s="460"/>
    </row>
    <row r="106" spans="1:13" s="3" customFormat="1" ht="21.9" customHeight="1">
      <c r="A106" s="54"/>
      <c r="B106" s="562"/>
      <c r="C106" s="562"/>
      <c r="D106" s="562"/>
      <c r="E106" s="562"/>
      <c r="F106" s="562"/>
      <c r="G106" s="559"/>
      <c r="H106" s="559"/>
      <c r="I106" s="559"/>
      <c r="J106" s="53"/>
      <c r="K106" s="53"/>
      <c r="L106" s="53"/>
      <c r="M106" s="460"/>
    </row>
    <row r="107" spans="1:13" s="3" customFormat="1" ht="21.9" customHeight="1">
      <c r="A107" s="54"/>
      <c r="B107" s="562"/>
      <c r="C107" s="562"/>
      <c r="D107" s="562"/>
      <c r="E107" s="562"/>
      <c r="F107" s="562"/>
      <c r="G107" s="559"/>
      <c r="H107" s="559"/>
      <c r="I107" s="559"/>
      <c r="J107" s="53"/>
      <c r="K107" s="53"/>
      <c r="L107" s="53"/>
      <c r="M107" s="460"/>
    </row>
    <row r="108" spans="1:13" s="3" customFormat="1" ht="21.9" customHeight="1">
      <c r="A108" s="61"/>
      <c r="B108" s="562"/>
      <c r="C108" s="562"/>
      <c r="D108" s="562"/>
      <c r="E108" s="562"/>
      <c r="F108" s="562"/>
      <c r="G108" s="559"/>
      <c r="H108" s="559"/>
      <c r="I108" s="559"/>
      <c r="J108" s="53"/>
      <c r="K108" s="53"/>
      <c r="L108" s="53"/>
      <c r="M108" s="460"/>
    </row>
    <row r="109" spans="1:13" s="3" customFormat="1" ht="21.9" customHeight="1">
      <c r="A109" s="61"/>
      <c r="B109" s="562"/>
      <c r="C109" s="562"/>
      <c r="D109" s="562"/>
      <c r="E109" s="562"/>
      <c r="F109" s="562"/>
      <c r="G109" s="559"/>
      <c r="H109" s="559"/>
      <c r="I109" s="559"/>
      <c r="J109" s="53"/>
      <c r="K109" s="53"/>
      <c r="L109" s="53"/>
      <c r="M109" s="460"/>
    </row>
    <row r="110" spans="1:13" s="3" customFormat="1" ht="21.9" customHeight="1">
      <c r="A110" s="61"/>
      <c r="B110" s="562"/>
      <c r="C110" s="562"/>
      <c r="D110" s="562"/>
      <c r="E110" s="562"/>
      <c r="F110" s="562"/>
      <c r="G110" s="559"/>
      <c r="H110" s="559"/>
      <c r="I110" s="559"/>
      <c r="J110" s="53"/>
      <c r="K110" s="53"/>
      <c r="L110" s="53"/>
      <c r="M110" s="460"/>
    </row>
    <row r="111" spans="1:13" s="3" customFormat="1" ht="21.9" customHeight="1">
      <c r="A111" s="61"/>
      <c r="B111" s="562"/>
      <c r="C111" s="562"/>
      <c r="D111" s="562"/>
      <c r="E111" s="562"/>
      <c r="F111" s="562"/>
      <c r="G111" s="559"/>
      <c r="H111" s="559"/>
      <c r="I111" s="559"/>
      <c r="J111" s="53"/>
      <c r="K111" s="53"/>
      <c r="L111" s="53"/>
      <c r="M111" s="460"/>
    </row>
    <row r="112" spans="1:13" s="3" customFormat="1" ht="21.9" customHeight="1">
      <c r="A112" s="61"/>
      <c r="B112" s="562"/>
      <c r="C112" s="562"/>
      <c r="D112" s="562"/>
      <c r="E112" s="562"/>
      <c r="F112" s="562"/>
      <c r="G112" s="559"/>
      <c r="H112" s="559"/>
      <c r="I112" s="559"/>
      <c r="J112" s="53"/>
      <c r="K112" s="53"/>
      <c r="L112" s="53"/>
      <c r="M112" s="460"/>
    </row>
    <row r="113" spans="1:13" s="3" customFormat="1" ht="21.9" customHeight="1">
      <c r="A113" s="61"/>
      <c r="B113" s="562"/>
      <c r="C113" s="562"/>
      <c r="D113" s="562"/>
      <c r="E113" s="562"/>
      <c r="F113" s="562"/>
      <c r="G113" s="559"/>
      <c r="H113" s="559"/>
      <c r="I113" s="559"/>
      <c r="J113" s="53"/>
      <c r="K113" s="53"/>
      <c r="L113" s="53"/>
      <c r="M113" s="460"/>
    </row>
    <row r="114" spans="1:13" s="3" customFormat="1" ht="21.9" customHeight="1">
      <c r="A114" s="61"/>
      <c r="B114" s="562"/>
      <c r="C114" s="562"/>
      <c r="D114" s="562"/>
      <c r="E114" s="562"/>
      <c r="F114" s="562"/>
      <c r="G114" s="559"/>
      <c r="H114" s="559"/>
      <c r="I114" s="559"/>
      <c r="J114" s="53"/>
      <c r="K114" s="53"/>
      <c r="L114" s="53"/>
      <c r="M114" s="460"/>
    </row>
    <row r="115" spans="1:13" s="3" customFormat="1" ht="21.9" customHeight="1">
      <c r="A115" s="61"/>
      <c r="B115" s="562"/>
      <c r="C115" s="562"/>
      <c r="D115" s="562"/>
      <c r="E115" s="562"/>
      <c r="F115" s="562"/>
      <c r="G115" s="559"/>
      <c r="H115" s="559"/>
      <c r="I115" s="559"/>
      <c r="J115" s="53"/>
      <c r="K115" s="53"/>
      <c r="L115" s="53"/>
      <c r="M115" s="460"/>
    </row>
    <row r="116" spans="1:13" s="3" customFormat="1" ht="21.9" customHeight="1">
      <c r="A116" s="61"/>
      <c r="B116" s="562"/>
      <c r="C116" s="562"/>
      <c r="D116" s="562"/>
      <c r="E116" s="562"/>
      <c r="F116" s="562"/>
      <c r="G116" s="559"/>
      <c r="H116" s="559"/>
      <c r="I116" s="559"/>
      <c r="J116" s="53"/>
      <c r="K116" s="53"/>
      <c r="L116" s="53"/>
      <c r="M116" s="460"/>
    </row>
    <row r="117" spans="1:13" s="3" customFormat="1" ht="21.9" customHeight="1">
      <c r="A117" s="61"/>
      <c r="B117" s="562"/>
      <c r="C117" s="562"/>
      <c r="D117" s="562"/>
      <c r="E117" s="562"/>
      <c r="F117" s="562"/>
      <c r="G117" s="559"/>
      <c r="H117" s="559"/>
      <c r="I117" s="559"/>
      <c r="J117" s="53"/>
      <c r="K117" s="53"/>
      <c r="L117" s="53"/>
      <c r="M117" s="460"/>
    </row>
    <row r="118" spans="1:13" s="3" customFormat="1" ht="21.9" customHeight="1">
      <c r="A118" s="61"/>
      <c r="B118" s="562"/>
      <c r="C118" s="562"/>
      <c r="D118" s="562"/>
      <c r="E118" s="562"/>
      <c r="F118" s="562"/>
      <c r="G118" s="559"/>
      <c r="H118" s="559"/>
      <c r="I118" s="559"/>
      <c r="J118" s="53"/>
      <c r="K118" s="53"/>
      <c r="L118" s="53"/>
      <c r="M118" s="460"/>
    </row>
    <row r="119" spans="1:13" s="3" customFormat="1" ht="21.9" customHeight="1">
      <c r="A119" s="61"/>
      <c r="B119" s="562"/>
      <c r="C119" s="562"/>
      <c r="D119" s="562"/>
      <c r="E119" s="562"/>
      <c r="F119" s="562"/>
      <c r="G119" s="559"/>
      <c r="H119" s="559"/>
      <c r="I119" s="559"/>
      <c r="J119" s="53"/>
      <c r="K119" s="53"/>
      <c r="L119" s="53"/>
      <c r="M119" s="460"/>
    </row>
    <row r="120" spans="1:13" s="3" customFormat="1" ht="21.9" customHeight="1">
      <c r="A120" s="454"/>
      <c r="B120" s="566"/>
      <c r="C120" s="566"/>
      <c r="D120" s="566"/>
      <c r="E120" s="566"/>
      <c r="F120" s="566"/>
      <c r="G120" s="454"/>
      <c r="H120" s="41"/>
      <c r="I120" s="41"/>
      <c r="J120" s="42"/>
      <c r="K120" s="42"/>
      <c r="L120" s="43"/>
    </row>
    <row r="121" spans="1:13" s="3" customFormat="1" ht="21.9" customHeight="1">
      <c r="A121" s="26" t="s">
        <v>23</v>
      </c>
      <c r="B121" s="456"/>
      <c r="C121" s="456"/>
      <c r="D121" s="456"/>
      <c r="E121" s="456"/>
      <c r="F121" s="17"/>
      <c r="G121" s="17"/>
      <c r="H121" s="17"/>
      <c r="I121" s="17"/>
      <c r="J121" s="17"/>
      <c r="K121" s="17"/>
    </row>
    <row r="122" spans="1:13" s="3" customFormat="1" ht="21.9" customHeight="1">
      <c r="A122" s="19" t="s">
        <v>13</v>
      </c>
      <c r="B122" s="567" t="s">
        <v>14</v>
      </c>
      <c r="C122" s="567"/>
      <c r="D122" s="567"/>
      <c r="E122" s="567"/>
      <c r="F122" s="567"/>
      <c r="G122" s="568" t="s">
        <v>24</v>
      </c>
      <c r="H122" s="568"/>
      <c r="I122" s="455" t="s">
        <v>17</v>
      </c>
      <c r="J122" s="450" t="s">
        <v>25</v>
      </c>
      <c r="K122" s="450"/>
      <c r="L122" s="450" t="s">
        <v>26</v>
      </c>
      <c r="M122" s="450" t="s">
        <v>27</v>
      </c>
    </row>
    <row r="123" spans="1:13" s="3" customFormat="1" ht="21.9" customHeight="1">
      <c r="A123" s="317"/>
      <c r="B123" s="563"/>
      <c r="C123" s="563"/>
      <c r="D123" s="563"/>
      <c r="E123" s="563"/>
      <c r="F123" s="563"/>
      <c r="G123" s="564"/>
      <c r="H123" s="564"/>
      <c r="I123" s="453"/>
      <c r="J123" s="453"/>
      <c r="K123" s="453"/>
      <c r="L123" s="460"/>
      <c r="M123" s="460"/>
    </row>
    <row r="124" spans="1:13" s="3" customFormat="1" ht="21.9" customHeight="1">
      <c r="A124" s="452"/>
      <c r="B124" s="563"/>
      <c r="C124" s="563"/>
      <c r="D124" s="563"/>
      <c r="E124" s="563"/>
      <c r="F124" s="563"/>
      <c r="G124" s="564"/>
      <c r="H124" s="564"/>
      <c r="I124" s="453"/>
      <c r="J124" s="453"/>
      <c r="K124" s="453"/>
      <c r="L124" s="460"/>
      <c r="M124" s="460"/>
    </row>
    <row r="125" spans="1:13" s="3" customFormat="1" ht="21.9" customHeight="1">
      <c r="A125" s="452"/>
      <c r="B125" s="563"/>
      <c r="C125" s="563"/>
      <c r="D125" s="563"/>
      <c r="E125" s="563"/>
      <c r="F125" s="563"/>
      <c r="G125" s="564"/>
      <c r="H125" s="564"/>
      <c r="I125" s="453"/>
      <c r="J125" s="453"/>
      <c r="K125" s="453"/>
      <c r="L125" s="460"/>
      <c r="M125" s="460"/>
    </row>
    <row r="126" spans="1:13" s="3" customFormat="1" ht="21.9" customHeight="1">
      <c r="A126" s="452"/>
      <c r="B126" s="563"/>
      <c r="C126" s="563"/>
      <c r="D126" s="563"/>
      <c r="E126" s="563"/>
      <c r="F126" s="563"/>
      <c r="G126" s="564"/>
      <c r="H126" s="564"/>
      <c r="I126" s="453"/>
      <c r="J126" s="453"/>
      <c r="K126" s="453"/>
      <c r="L126" s="460"/>
      <c r="M126" s="460"/>
    </row>
    <row r="127" spans="1:13" s="3" customFormat="1" ht="21.9" customHeight="1">
      <c r="A127" s="32"/>
      <c r="B127" s="565"/>
      <c r="C127" s="565"/>
      <c r="D127" s="565"/>
      <c r="E127" s="565"/>
      <c r="F127" s="565"/>
      <c r="G127" s="565"/>
      <c r="H127" s="565"/>
      <c r="I127" s="565"/>
      <c r="J127" s="17"/>
      <c r="K127" s="17"/>
    </row>
    <row r="128" spans="1:13" s="3" customFormat="1" ht="21.9" customHeight="1">
      <c r="A128" s="34" t="s">
        <v>28</v>
      </c>
      <c r="B128" s="34"/>
      <c r="C128" s="34"/>
      <c r="D128" s="34"/>
      <c r="E128" s="34"/>
      <c r="F128" s="17"/>
      <c r="G128" s="38"/>
      <c r="H128" s="36" t="s">
        <v>29</v>
      </c>
      <c r="I128" s="34"/>
      <c r="J128" s="34"/>
      <c r="K128" s="34"/>
      <c r="L128" s="34"/>
      <c r="M128" s="34"/>
    </row>
    <row r="129" spans="1:13" s="3" customFormat="1" ht="21.9" customHeight="1">
      <c r="A129" s="569"/>
      <c r="B129" s="569"/>
      <c r="C129" s="569"/>
      <c r="D129" s="569"/>
      <c r="E129" s="569"/>
      <c r="F129" s="569"/>
      <c r="G129" s="457"/>
      <c r="H129" s="569"/>
      <c r="I129" s="569"/>
      <c r="J129" s="569"/>
      <c r="K129" s="569"/>
      <c r="L129" s="569"/>
      <c r="M129" s="569"/>
    </row>
    <row r="130" spans="1:13" s="3" customFormat="1" ht="21.9" customHeight="1">
      <c r="A130" s="571"/>
      <c r="B130" s="571"/>
      <c r="C130" s="571"/>
      <c r="D130" s="571"/>
      <c r="E130" s="571"/>
      <c r="F130" s="571"/>
      <c r="G130" s="457"/>
      <c r="H130" s="569"/>
      <c r="I130" s="569"/>
      <c r="J130" s="569"/>
      <c r="K130" s="569"/>
      <c r="L130" s="569"/>
      <c r="M130" s="569"/>
    </row>
    <row r="131" spans="1:13" s="3" customFormat="1" ht="21.9" customHeight="1">
      <c r="A131" s="571"/>
      <c r="B131" s="571"/>
      <c r="C131" s="571"/>
      <c r="D131" s="571"/>
      <c r="E131" s="571"/>
      <c r="F131" s="571"/>
      <c r="G131" s="57"/>
      <c r="H131" s="569"/>
      <c r="I131" s="569"/>
      <c r="J131" s="569"/>
      <c r="K131" s="569"/>
      <c r="L131" s="569"/>
      <c r="M131" s="569"/>
    </row>
    <row r="132" spans="1:13" s="3" customFormat="1" ht="21.9" customHeight="1">
      <c r="A132" s="569"/>
      <c r="B132" s="569"/>
      <c r="C132" s="569"/>
      <c r="D132" s="569"/>
      <c r="E132" s="569"/>
      <c r="F132" s="569"/>
      <c r="G132" s="57"/>
      <c r="H132" s="569"/>
      <c r="I132" s="569"/>
      <c r="J132" s="569"/>
      <c r="K132" s="569"/>
      <c r="L132" s="569"/>
      <c r="M132" s="569"/>
    </row>
    <row r="133" spans="1:13" s="3" customFormat="1" ht="21.9" customHeight="1">
      <c r="A133" s="570"/>
      <c r="B133" s="570"/>
      <c r="C133" s="570"/>
      <c r="D133" s="570"/>
      <c r="E133" s="570"/>
      <c r="F133" s="570"/>
      <c r="G133" s="39"/>
      <c r="H133" s="569"/>
      <c r="I133" s="569"/>
      <c r="J133" s="569"/>
      <c r="K133" s="569"/>
      <c r="L133" s="569"/>
      <c r="M133" s="569"/>
    </row>
    <row r="134" spans="1:13" s="3" customFormat="1" ht="21.9" customHeight="1">
      <c r="A134" s="571"/>
      <c r="B134" s="571"/>
      <c r="C134" s="571"/>
      <c r="D134" s="571"/>
      <c r="E134" s="571"/>
      <c r="F134" s="571"/>
      <c r="G134" s="457"/>
      <c r="H134" s="569"/>
      <c r="I134" s="569"/>
      <c r="J134" s="569"/>
      <c r="K134" s="569"/>
      <c r="L134" s="569"/>
      <c r="M134" s="569"/>
    </row>
    <row r="135" spans="1:13" s="3" customFormat="1" ht="21.9" customHeight="1">
      <c r="A135" s="571"/>
      <c r="B135" s="571"/>
      <c r="C135" s="571"/>
      <c r="D135" s="571"/>
      <c r="E135" s="571"/>
      <c r="F135" s="571"/>
      <c r="G135" s="57"/>
      <c r="H135" s="569"/>
      <c r="I135" s="569"/>
      <c r="J135" s="569"/>
      <c r="K135" s="569"/>
      <c r="L135" s="569"/>
      <c r="M135" s="569"/>
    </row>
    <row r="136" spans="1:13" s="3" customFormat="1" ht="21.9" customHeight="1">
      <c r="A136" s="571"/>
      <c r="B136" s="571"/>
      <c r="C136" s="571"/>
      <c r="D136" s="571"/>
      <c r="E136" s="571"/>
      <c r="F136" s="571"/>
      <c r="G136" s="457"/>
      <c r="H136" s="569"/>
      <c r="I136" s="569"/>
      <c r="J136" s="569"/>
      <c r="K136" s="569"/>
      <c r="L136" s="569"/>
      <c r="M136" s="569"/>
    </row>
    <row r="137" spans="1:13" s="3" customFormat="1" ht="21.9" customHeight="1">
      <c r="A137" s="571"/>
      <c r="B137" s="571"/>
      <c r="C137" s="571"/>
      <c r="D137" s="571"/>
      <c r="E137" s="571"/>
      <c r="F137" s="571"/>
      <c r="G137" s="457"/>
      <c r="H137" s="569"/>
      <c r="I137" s="569"/>
      <c r="J137" s="569"/>
      <c r="K137" s="569"/>
      <c r="L137" s="569"/>
      <c r="M137" s="569"/>
    </row>
    <row r="138" spans="1:13" s="3" customFormat="1" ht="21.9" customHeight="1">
      <c r="A138" s="571"/>
      <c r="B138" s="571"/>
      <c r="C138" s="571"/>
      <c r="D138" s="571"/>
      <c r="E138" s="571"/>
      <c r="F138" s="571"/>
      <c r="G138" s="57"/>
      <c r="H138" s="569"/>
      <c r="I138" s="569"/>
      <c r="J138" s="569"/>
      <c r="K138" s="569"/>
      <c r="L138" s="569"/>
      <c r="M138" s="569"/>
    </row>
    <row r="139" spans="1:13" s="3" customFormat="1" ht="21.9" customHeight="1">
      <c r="A139" s="572"/>
      <c r="B139" s="572"/>
      <c r="C139" s="572"/>
      <c r="D139" s="572"/>
      <c r="E139" s="572"/>
      <c r="F139" s="572"/>
      <c r="G139" s="57"/>
      <c r="H139" s="572"/>
      <c r="I139" s="572"/>
      <c r="J139" s="572"/>
      <c r="K139" s="572"/>
      <c r="L139" s="572"/>
      <c r="M139" s="572"/>
    </row>
    <row r="140" spans="1:13" s="3" customFormat="1" ht="21.9" customHeight="1">
      <c r="A140" s="70" t="s">
        <v>34</v>
      </c>
      <c r="B140" s="5"/>
      <c r="C140" s="4"/>
      <c r="H140" s="573" t="s">
        <v>35</v>
      </c>
      <c r="I140" s="573"/>
      <c r="J140" s="573"/>
      <c r="K140" s="458"/>
      <c r="L140" s="573" t="s">
        <v>36</v>
      </c>
      <c r="M140" s="573"/>
    </row>
    <row r="141" spans="1:13" s="3" customFormat="1" ht="21.9" customHeight="1">
      <c r="A141" s="576"/>
      <c r="B141" s="576"/>
      <c r="C141" s="576"/>
      <c r="D141" s="576"/>
      <c r="E141" s="576"/>
      <c r="F141" s="576"/>
      <c r="G141" s="71"/>
      <c r="H141" s="577" t="s">
        <v>14</v>
      </c>
      <c r="I141" s="577"/>
      <c r="J141" s="461" t="s">
        <v>24</v>
      </c>
      <c r="K141" s="461"/>
      <c r="L141" s="461" t="s">
        <v>14</v>
      </c>
      <c r="M141" s="461" t="s">
        <v>24</v>
      </c>
    </row>
    <row r="142" spans="1:13" s="3" customFormat="1" ht="21.9" customHeight="1">
      <c r="A142" s="574"/>
      <c r="B142" s="574"/>
      <c r="C142" s="574"/>
      <c r="D142" s="574"/>
      <c r="E142" s="574"/>
      <c r="F142" s="574"/>
      <c r="G142" s="72"/>
      <c r="H142" s="575"/>
      <c r="I142" s="575"/>
      <c r="J142" s="460"/>
      <c r="K142" s="460"/>
      <c r="L142" s="76"/>
      <c r="M142" s="460"/>
    </row>
    <row r="143" spans="1:13" s="3" customFormat="1" ht="21.9" customHeight="1">
      <c r="A143" s="574"/>
      <c r="B143" s="574"/>
      <c r="C143" s="574"/>
      <c r="D143" s="574"/>
      <c r="E143" s="574"/>
      <c r="F143" s="574"/>
      <c r="G143" s="72"/>
      <c r="H143" s="575"/>
      <c r="I143" s="575"/>
      <c r="J143" s="460"/>
      <c r="K143" s="460"/>
      <c r="L143" s="76"/>
      <c r="M143" s="460"/>
    </row>
    <row r="144" spans="1:13" s="3" customFormat="1" ht="21.9" customHeight="1">
      <c r="A144" s="574"/>
      <c r="B144" s="574"/>
      <c r="C144" s="574"/>
      <c r="D144" s="574"/>
      <c r="E144" s="574"/>
      <c r="F144" s="574"/>
      <c r="G144" s="72"/>
      <c r="H144" s="575"/>
      <c r="I144" s="575"/>
      <c r="J144" s="460"/>
      <c r="K144" s="460"/>
      <c r="L144" s="76"/>
      <c r="M144" s="460"/>
    </row>
    <row r="145" spans="1:13" s="3" customFormat="1" ht="21.9" customHeight="1">
      <c r="A145" s="574"/>
      <c r="B145" s="574"/>
      <c r="C145" s="574"/>
      <c r="D145" s="574"/>
      <c r="E145" s="574"/>
      <c r="F145" s="574"/>
      <c r="G145" s="72"/>
      <c r="H145" s="575"/>
      <c r="I145" s="575"/>
      <c r="J145" s="460"/>
      <c r="K145" s="460"/>
      <c r="L145" s="76"/>
      <c r="M145" s="460"/>
    </row>
    <row r="146" spans="1:13" s="3" customFormat="1" ht="21.9" customHeight="1">
      <c r="A146" s="574"/>
      <c r="B146" s="574"/>
      <c r="C146" s="574"/>
      <c r="D146" s="574"/>
      <c r="E146" s="574"/>
      <c r="F146" s="574"/>
      <c r="G146" s="72"/>
      <c r="H146" s="575"/>
      <c r="I146" s="575"/>
      <c r="J146" s="460"/>
      <c r="K146" s="460"/>
      <c r="L146" s="77"/>
      <c r="M146" s="460"/>
    </row>
    <row r="147" spans="1:13" s="3" customFormat="1" ht="21.9" customHeight="1">
      <c r="A147" s="574"/>
      <c r="B147" s="574"/>
      <c r="C147" s="574"/>
      <c r="D147" s="574"/>
      <c r="E147" s="574"/>
      <c r="F147" s="574"/>
      <c r="G147" s="72"/>
      <c r="H147" s="575"/>
      <c r="I147" s="575"/>
      <c r="J147" s="73"/>
      <c r="K147" s="72"/>
      <c r="M147" s="73"/>
    </row>
    <row r="148" spans="1:13" s="3" customFormat="1" ht="21.9" customHeight="1">
      <c r="A148" s="574"/>
      <c r="B148" s="574"/>
      <c r="C148" s="574"/>
      <c r="D148" s="574"/>
      <c r="E148" s="574"/>
      <c r="F148" s="574"/>
      <c r="G148" s="72"/>
      <c r="H148" s="575"/>
      <c r="I148" s="575"/>
      <c r="J148" s="73"/>
      <c r="K148" s="73"/>
      <c r="L148" s="77"/>
      <c r="M148" s="73"/>
    </row>
    <row r="149" spans="1:13" s="3" customFormat="1" ht="21.9" customHeight="1">
      <c r="A149" s="574"/>
      <c r="B149" s="574"/>
      <c r="C149" s="574"/>
      <c r="D149" s="574"/>
      <c r="E149" s="574"/>
      <c r="F149" s="574"/>
      <c r="G149" s="72"/>
      <c r="H149" s="575"/>
      <c r="I149" s="575"/>
      <c r="J149" s="73"/>
      <c r="K149" s="73"/>
      <c r="L149" s="77"/>
      <c r="M149" s="73"/>
    </row>
    <row r="150" spans="1:13" s="3" customFormat="1" ht="21.9" customHeight="1">
      <c r="A150" s="574"/>
      <c r="B150" s="574"/>
      <c r="C150" s="574"/>
      <c r="D150" s="574"/>
      <c r="E150" s="574"/>
      <c r="F150" s="574"/>
      <c r="G150" s="72"/>
      <c r="H150" s="575"/>
      <c r="I150" s="575"/>
      <c r="J150" s="73"/>
      <c r="K150" s="73"/>
      <c r="L150" s="77"/>
      <c r="M150" s="73"/>
    </row>
    <row r="151" spans="1:13" s="3" customFormat="1" ht="21.9" customHeight="1">
      <c r="A151" s="574"/>
      <c r="B151" s="574"/>
      <c r="C151" s="574"/>
      <c r="D151" s="574"/>
      <c r="E151" s="574"/>
      <c r="F151" s="574"/>
      <c r="G151" s="72"/>
      <c r="H151" s="575"/>
      <c r="I151" s="575"/>
      <c r="J151" s="73"/>
      <c r="K151" s="73"/>
      <c r="L151" s="77"/>
      <c r="M151" s="73"/>
    </row>
    <row r="152" spans="1:13" s="3" customFormat="1" ht="21.9" customHeight="1">
      <c r="A152" s="45"/>
      <c r="B152" s="46"/>
      <c r="C152" s="46"/>
      <c r="D152" s="46"/>
      <c r="E152" s="44"/>
      <c r="F152" s="46"/>
      <c r="G152" s="46"/>
      <c r="H152" s="46"/>
      <c r="I152" s="46"/>
      <c r="J152" s="46"/>
      <c r="K152" s="46"/>
      <c r="L152" s="47"/>
      <c r="M152" s="46"/>
    </row>
    <row r="153" spans="1:13" s="3" customFormat="1" ht="21.9" customHeight="1">
      <c r="A153" s="45" t="s">
        <v>45</v>
      </c>
      <c r="B153" s="46"/>
      <c r="C153" s="46"/>
      <c r="D153" s="46"/>
      <c r="E153" s="44"/>
      <c r="F153" s="46"/>
      <c r="G153" s="46"/>
      <c r="H153" s="46"/>
      <c r="I153" s="46"/>
      <c r="J153" s="46"/>
      <c r="K153" s="46"/>
      <c r="L153" s="47"/>
      <c r="M153" s="46"/>
    </row>
    <row r="154" spans="1:13" s="3" customFormat="1" ht="21.9" customHeight="1">
      <c r="A154" s="45"/>
      <c r="B154" s="46"/>
      <c r="C154" s="46"/>
      <c r="D154" s="46"/>
      <c r="E154" s="44"/>
      <c r="F154" s="46"/>
      <c r="G154" s="46"/>
      <c r="H154" s="46"/>
      <c r="I154" s="48"/>
      <c r="J154" s="48"/>
      <c r="K154" s="48"/>
      <c r="L154" s="47"/>
      <c r="M154" s="46"/>
    </row>
    <row r="155" spans="1:13" s="3" customFormat="1" ht="21.9" customHeight="1">
      <c r="A155" s="46" t="s">
        <v>46</v>
      </c>
      <c r="B155" s="578" t="s">
        <v>47</v>
      </c>
      <c r="C155" s="579"/>
      <c r="D155" s="578" t="s">
        <v>48</v>
      </c>
      <c r="E155" s="579"/>
      <c r="F155" s="578" t="s">
        <v>49</v>
      </c>
      <c r="G155" s="579"/>
      <c r="H155" s="578" t="s">
        <v>50</v>
      </c>
      <c r="I155" s="579"/>
      <c r="J155" s="578" t="s">
        <v>51</v>
      </c>
      <c r="K155" s="769"/>
      <c r="L155" s="579"/>
      <c r="M155" s="49"/>
    </row>
    <row r="156" spans="1:13" s="3" customFormat="1" ht="21.9" customHeight="1">
      <c r="A156" s="50"/>
      <c r="B156" s="583"/>
      <c r="C156" s="584"/>
      <c r="D156" s="587"/>
      <c r="E156" s="588"/>
      <c r="F156" s="665"/>
      <c r="G156" s="666"/>
      <c r="H156" s="665"/>
      <c r="I156" s="666"/>
      <c r="J156" s="587"/>
      <c r="K156" s="770"/>
      <c r="L156" s="588"/>
      <c r="M156" s="49"/>
    </row>
    <row r="157" spans="1:13" s="3" customFormat="1" ht="21.9" customHeight="1">
      <c r="A157" s="50"/>
      <c r="B157" s="585"/>
      <c r="C157" s="586"/>
      <c r="D157" s="589"/>
      <c r="E157" s="590"/>
      <c r="F157" s="667"/>
      <c r="G157" s="668"/>
      <c r="H157" s="667"/>
      <c r="I157" s="668"/>
      <c r="J157" s="589"/>
      <c r="K157" s="771"/>
      <c r="L157" s="590"/>
      <c r="M157" s="49"/>
    </row>
    <row r="158" spans="1:13" s="3" customFormat="1" ht="21.9" customHeight="1">
      <c r="A158" s="35"/>
      <c r="B158" s="27"/>
      <c r="C158" s="27"/>
      <c r="D158" s="27"/>
      <c r="E158" s="35"/>
      <c r="F158" s="58"/>
      <c r="G158" s="58"/>
      <c r="H158" s="58"/>
      <c r="I158" s="58"/>
      <c r="J158" s="68"/>
      <c r="K158" s="68"/>
      <c r="L158" s="68"/>
    </row>
    <row r="159" spans="1:13" s="3" customFormat="1" ht="21.9" customHeight="1">
      <c r="A159" s="35" t="s">
        <v>53</v>
      </c>
      <c r="B159" s="27"/>
      <c r="C159" s="27"/>
      <c r="D159" s="35" t="s">
        <v>54</v>
      </c>
      <c r="E159" s="22"/>
      <c r="F159" s="58"/>
      <c r="G159" s="22"/>
      <c r="H159" s="35" t="s">
        <v>250</v>
      </c>
      <c r="I159" s="58"/>
      <c r="J159" s="22"/>
      <c r="K159" s="22"/>
      <c r="L159" s="68" t="s">
        <v>266</v>
      </c>
    </row>
    <row r="160" spans="1:13" s="3" customFormat="1" ht="21.9" customHeight="1">
      <c r="A160" s="29"/>
      <c r="B160" s="29"/>
      <c r="C160" s="29"/>
      <c r="D160" s="29"/>
      <c r="E160" s="29"/>
      <c r="F160" s="29"/>
      <c r="G160" s="22"/>
      <c r="H160" s="29"/>
      <c r="I160" s="29"/>
    </row>
    <row r="161" spans="1:13" s="3" customFormat="1" ht="21.9" customHeight="1">
      <c r="A161" s="580"/>
      <c r="B161" s="580"/>
      <c r="C161" s="318"/>
      <c r="D161" s="671" t="s">
        <v>267</v>
      </c>
      <c r="E161" s="671"/>
      <c r="F161" s="671"/>
      <c r="G161" s="22"/>
      <c r="H161" s="672" t="s">
        <v>247</v>
      </c>
      <c r="I161" s="672"/>
      <c r="J161" s="672"/>
      <c r="K161" s="462"/>
      <c r="L161" s="662" t="s">
        <v>268</v>
      </c>
      <c r="M161" s="662"/>
    </row>
    <row r="162" spans="1:13" s="3" customFormat="1" ht="21.9" customHeight="1">
      <c r="A162" s="663" t="s">
        <v>59</v>
      </c>
      <c r="B162" s="663"/>
      <c r="C162" s="319"/>
      <c r="D162" s="664" t="s">
        <v>60</v>
      </c>
      <c r="E162" s="664"/>
      <c r="F162" s="664"/>
      <c r="H162" s="663" t="s">
        <v>252</v>
      </c>
      <c r="I162" s="663"/>
      <c r="J162" s="663"/>
      <c r="K162" s="463"/>
      <c r="L162" s="320" t="s">
        <v>253</v>
      </c>
      <c r="M162" s="320"/>
    </row>
    <row r="163" spans="1:13" s="3" customFormat="1" ht="21.9" customHeight="1">
      <c r="A163" s="32"/>
      <c r="B163" s="32"/>
      <c r="C163" s="32"/>
      <c r="D163" s="32"/>
      <c r="E163" s="32"/>
      <c r="F163" s="31"/>
      <c r="G163" s="31"/>
      <c r="H163" s="31"/>
      <c r="I163" s="31"/>
      <c r="J163" s="31"/>
      <c r="K163" s="31"/>
    </row>
    <row r="164" spans="1:13" s="3" customFormat="1" ht="21.9" customHeight="1">
      <c r="A164" s="32"/>
      <c r="B164" s="32"/>
      <c r="C164" s="32"/>
      <c r="D164" s="32"/>
      <c r="E164" s="32"/>
      <c r="F164" s="31"/>
      <c r="G164" s="31"/>
      <c r="H164" s="31"/>
      <c r="I164" s="31"/>
      <c r="J164" s="31"/>
      <c r="K164" s="31"/>
    </row>
    <row r="165" spans="1:13" s="3" customFormat="1" ht="21.9" customHeight="1">
      <c r="A165" s="32"/>
      <c r="B165" s="32"/>
      <c r="C165" s="32"/>
      <c r="D165" s="32"/>
      <c r="E165" s="32"/>
      <c r="F165" s="33"/>
      <c r="G165" s="33"/>
      <c r="H165" s="33"/>
      <c r="I165" s="33"/>
      <c r="J165" s="33"/>
      <c r="K165" s="33"/>
    </row>
    <row r="166" spans="1:13" s="3" customFormat="1" ht="21.9" customHeight="1">
      <c r="A166" s="32"/>
      <c r="B166" s="32"/>
      <c r="C166" s="32"/>
      <c r="D166" s="32"/>
      <c r="E166" s="32"/>
      <c r="F166" s="33"/>
      <c r="G166" s="33"/>
      <c r="H166" s="33"/>
      <c r="I166" s="33"/>
      <c r="J166" s="33"/>
      <c r="K166" s="33"/>
    </row>
    <row r="167" spans="1:13" s="3" customFormat="1" ht="21.9" customHeight="1">
      <c r="A167" s="13"/>
      <c r="B167" s="13"/>
      <c r="C167" s="13"/>
      <c r="D167" s="13"/>
      <c r="E167" s="13"/>
      <c r="F167" s="14"/>
      <c r="G167" s="14"/>
      <c r="H167" s="14"/>
      <c r="I167" s="14"/>
      <c r="J167" s="14"/>
      <c r="K167" s="14"/>
      <c r="L167" s="9"/>
      <c r="M167" s="9"/>
    </row>
    <row r="168" spans="1:13" s="3" customFormat="1" ht="21.9" customHeight="1">
      <c r="A168" s="13"/>
      <c r="B168" s="13"/>
      <c r="C168" s="13"/>
      <c r="D168" s="13"/>
      <c r="E168" s="13"/>
      <c r="F168" s="14"/>
      <c r="G168" s="14"/>
      <c r="H168" s="14"/>
      <c r="I168" s="14"/>
      <c r="J168" s="14"/>
      <c r="K168" s="14"/>
      <c r="L168" s="9"/>
      <c r="M168" s="9"/>
    </row>
    <row r="169" spans="1:13" s="3" customFormat="1" ht="21.9" customHeight="1">
      <c r="A169" s="13"/>
      <c r="B169" s="13"/>
      <c r="C169" s="13"/>
      <c r="D169" s="13"/>
      <c r="E169" s="13"/>
      <c r="F169" s="14"/>
      <c r="G169" s="14"/>
      <c r="H169" s="14"/>
      <c r="I169" s="14"/>
      <c r="J169" s="14"/>
      <c r="K169" s="14"/>
      <c r="L169" s="9"/>
      <c r="M169" s="9"/>
    </row>
    <row r="170" spans="1:13" s="3" customFormat="1" ht="21.9" customHeight="1">
      <c r="A170" s="13"/>
      <c r="B170" s="13"/>
      <c r="C170" s="13"/>
      <c r="D170" s="13"/>
      <c r="E170" s="13"/>
      <c r="F170" s="14"/>
      <c r="G170" s="14"/>
      <c r="H170" s="14"/>
      <c r="I170" s="14"/>
      <c r="J170" s="14"/>
      <c r="K170" s="14"/>
      <c r="L170" s="9"/>
      <c r="M170" s="9"/>
    </row>
    <row r="171" spans="1:13" s="3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  <c r="K171" s="14"/>
      <c r="L171" s="9"/>
      <c r="M171" s="9"/>
    </row>
    <row r="172" spans="1:13" s="3" customFormat="1" ht="21.9" customHeight="1">
      <c r="A172" s="13"/>
      <c r="B172" s="13"/>
      <c r="C172" s="13"/>
      <c r="D172" s="13"/>
      <c r="E172" s="13"/>
      <c r="F172" s="10"/>
      <c r="G172" s="10"/>
      <c r="H172" s="10"/>
      <c r="I172" s="10"/>
      <c r="J172" s="10"/>
      <c r="K172" s="10"/>
      <c r="L172" s="9"/>
      <c r="M172" s="9"/>
    </row>
    <row r="173" spans="1:13" s="9" customFormat="1" ht="21.9" customHeight="1">
      <c r="A173" s="13"/>
      <c r="B173" s="13"/>
      <c r="C173" s="13"/>
      <c r="D173" s="13"/>
      <c r="E173" s="13"/>
      <c r="F173" s="14"/>
      <c r="G173" s="14"/>
      <c r="H173" s="14"/>
      <c r="I173" s="14"/>
      <c r="J173" s="14"/>
      <c r="K173" s="14"/>
    </row>
    <row r="174" spans="1:13" s="9" customFormat="1" ht="21.9" customHeight="1">
      <c r="A174" s="13"/>
      <c r="B174" s="13"/>
      <c r="C174" s="13"/>
      <c r="D174" s="13"/>
      <c r="E174" s="13"/>
      <c r="F174" s="14"/>
      <c r="G174" s="14"/>
      <c r="H174" s="14"/>
      <c r="I174" s="14"/>
      <c r="J174" s="14"/>
      <c r="K174" s="14"/>
    </row>
    <row r="175" spans="1:13" s="9" customFormat="1" ht="21.9" customHeight="1">
      <c r="A175" s="13"/>
      <c r="B175" s="13"/>
      <c r="C175" s="13"/>
      <c r="D175" s="13"/>
      <c r="E175" s="13"/>
      <c r="F175" s="14"/>
      <c r="G175" s="14"/>
      <c r="H175" s="14"/>
      <c r="I175" s="14"/>
      <c r="J175" s="14"/>
      <c r="K175" s="14"/>
    </row>
    <row r="176" spans="1:13" s="9" customFormat="1" ht="21.9" customHeight="1">
      <c r="A176" s="13"/>
      <c r="B176" s="13"/>
      <c r="C176" s="13"/>
      <c r="D176" s="13"/>
      <c r="E176" s="13"/>
      <c r="F176" s="8"/>
      <c r="G176" s="8"/>
      <c r="H176" s="8"/>
      <c r="I176" s="8"/>
      <c r="J176" s="8"/>
      <c r="K176" s="8"/>
    </row>
    <row r="177" spans="1:11" s="9" customFormat="1" ht="21.9" customHeight="1">
      <c r="A177" s="13"/>
      <c r="B177" s="13"/>
      <c r="C177" s="13"/>
      <c r="D177" s="13"/>
      <c r="E177" s="13"/>
      <c r="F177" s="14"/>
      <c r="G177" s="14"/>
      <c r="H177" s="14"/>
      <c r="I177" s="14"/>
      <c r="J177" s="14"/>
      <c r="K177" s="14"/>
    </row>
    <row r="178" spans="1:11" s="9" customFormat="1" ht="21.9" customHeight="1">
      <c r="A178" s="13"/>
      <c r="B178" s="13"/>
      <c r="C178" s="13"/>
      <c r="D178" s="13"/>
      <c r="E178" s="13"/>
      <c r="F178" s="10"/>
      <c r="G178" s="10"/>
      <c r="H178" s="10"/>
      <c r="I178" s="10"/>
      <c r="J178" s="10"/>
      <c r="K178" s="10"/>
    </row>
    <row r="179" spans="1:11" s="9" customFormat="1" ht="21.9" customHeight="1">
      <c r="A179" s="13"/>
      <c r="B179" s="13"/>
      <c r="C179" s="13"/>
      <c r="D179" s="13"/>
      <c r="E179" s="13"/>
      <c r="F179" s="12"/>
      <c r="G179" s="12"/>
      <c r="H179" s="12"/>
      <c r="I179" s="12"/>
      <c r="J179" s="12"/>
      <c r="K179" s="12"/>
    </row>
    <row r="180" spans="1:11" s="9" customFormat="1" ht="21.9" customHeight="1">
      <c r="A180" s="13"/>
      <c r="B180" s="13"/>
      <c r="C180" s="13"/>
      <c r="D180" s="13"/>
      <c r="E180" s="13"/>
      <c r="F180" s="12"/>
      <c r="G180" s="12"/>
      <c r="H180" s="12"/>
      <c r="I180" s="12"/>
      <c r="J180" s="12"/>
      <c r="K180" s="12"/>
    </row>
    <row r="181" spans="1:11" s="9" customFormat="1" ht="21.9" customHeight="1">
      <c r="A181" s="13"/>
      <c r="B181" s="13"/>
      <c r="C181" s="13"/>
      <c r="D181" s="13"/>
      <c r="E181" s="13"/>
      <c r="F181" s="12"/>
      <c r="G181" s="12"/>
      <c r="H181" s="12"/>
      <c r="I181" s="12"/>
      <c r="J181" s="12"/>
      <c r="K181" s="12"/>
    </row>
    <row r="182" spans="1:11" s="9" customFormat="1" ht="21.9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  <c r="K182" s="12"/>
    </row>
    <row r="183" spans="1:11" s="9" customFormat="1" ht="21.9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  <c r="K183" s="12"/>
    </row>
    <row r="184" spans="1:11" s="9" customFormat="1" ht="21.9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  <c r="K184" s="12"/>
    </row>
    <row r="185" spans="1:11" s="9" customFormat="1" ht="21.9" customHeight="1">
      <c r="A185" s="13"/>
      <c r="B185" s="13"/>
      <c r="C185" s="13"/>
      <c r="D185" s="13"/>
      <c r="E185" s="13"/>
      <c r="F185" s="14"/>
      <c r="G185" s="14"/>
      <c r="H185" s="14"/>
      <c r="I185" s="14"/>
      <c r="J185" s="14"/>
      <c r="K185" s="14"/>
    </row>
    <row r="186" spans="1:11" s="9" customFormat="1" ht="21.9" customHeight="1">
      <c r="A186" s="13"/>
      <c r="B186" s="13"/>
      <c r="C186" s="13"/>
      <c r="D186" s="13"/>
      <c r="E186" s="13"/>
      <c r="F186" s="8"/>
      <c r="G186" s="8"/>
      <c r="H186" s="8"/>
      <c r="I186" s="8"/>
      <c r="J186" s="8"/>
      <c r="K186" s="8"/>
    </row>
    <row r="187" spans="1:11" s="9" customFormat="1" ht="21.9" customHeight="1">
      <c r="A187" s="13"/>
      <c r="B187" s="13"/>
      <c r="C187" s="13"/>
      <c r="D187" s="13"/>
      <c r="E187" s="13"/>
      <c r="F187" s="8"/>
      <c r="G187" s="8"/>
      <c r="H187" s="8"/>
      <c r="I187" s="8"/>
      <c r="J187" s="8"/>
      <c r="K187" s="8"/>
    </row>
    <row r="188" spans="1:11" s="9" customFormat="1" ht="21.9" customHeight="1">
      <c r="A188" s="13"/>
      <c r="B188" s="13"/>
      <c r="C188" s="13"/>
      <c r="D188" s="13"/>
      <c r="E188" s="13"/>
      <c r="F188" s="8"/>
      <c r="G188" s="8"/>
      <c r="H188" s="8"/>
      <c r="I188" s="8"/>
      <c r="J188" s="8"/>
      <c r="K188" s="8"/>
    </row>
    <row r="189" spans="1:11" s="9" customFormat="1" ht="21.9" customHeight="1">
      <c r="A189" s="13"/>
      <c r="B189" s="13"/>
      <c r="C189" s="13"/>
      <c r="D189" s="13"/>
      <c r="E189" s="13"/>
      <c r="F189" s="8"/>
      <c r="G189" s="8"/>
      <c r="H189" s="8"/>
      <c r="I189" s="8"/>
      <c r="J189" s="8"/>
      <c r="K189" s="8"/>
    </row>
    <row r="190" spans="1:11" s="9" customFormat="1" ht="21.9" customHeight="1">
      <c r="A190" s="13"/>
      <c r="B190" s="13"/>
      <c r="C190" s="13"/>
      <c r="D190" s="13"/>
      <c r="E190" s="13"/>
      <c r="F190" s="8"/>
      <c r="G190" s="8"/>
      <c r="H190" s="8"/>
      <c r="I190" s="8"/>
      <c r="J190" s="8"/>
      <c r="K190" s="8"/>
    </row>
    <row r="191" spans="1:11" s="9" customFormat="1" ht="21.9" customHeight="1">
      <c r="A191" s="13"/>
      <c r="B191" s="13"/>
      <c r="C191" s="13"/>
      <c r="D191" s="13"/>
      <c r="E191" s="13"/>
      <c r="F191" s="8"/>
      <c r="G191" s="8"/>
      <c r="H191" s="8"/>
      <c r="I191" s="8"/>
      <c r="J191" s="8"/>
      <c r="K191" s="8"/>
    </row>
    <row r="192" spans="1:11" s="9" customFormat="1" ht="21.9" customHeight="1">
      <c r="A192" s="13"/>
      <c r="B192" s="13"/>
      <c r="C192" s="13"/>
      <c r="D192" s="13"/>
      <c r="E192" s="13"/>
      <c r="F192" s="10"/>
      <c r="G192" s="10"/>
      <c r="H192" s="10"/>
      <c r="I192" s="10"/>
      <c r="J192" s="10"/>
      <c r="K192" s="10"/>
    </row>
    <row r="193" spans="1:11" s="9" customFormat="1" ht="21.9" customHeight="1">
      <c r="A193" s="13"/>
      <c r="B193" s="13"/>
      <c r="C193" s="13"/>
      <c r="D193" s="13"/>
      <c r="E193" s="13"/>
      <c r="F193" s="10"/>
      <c r="G193" s="10"/>
      <c r="H193" s="10"/>
      <c r="I193" s="10"/>
      <c r="J193" s="10"/>
      <c r="K193" s="10"/>
    </row>
    <row r="194" spans="1:11" s="9" customFormat="1" ht="21.9" customHeight="1">
      <c r="A194" s="13"/>
      <c r="B194" s="13"/>
      <c r="C194" s="13"/>
      <c r="D194" s="13"/>
      <c r="E194" s="13"/>
      <c r="F194" s="10"/>
      <c r="G194" s="10"/>
      <c r="H194" s="10"/>
      <c r="I194" s="10"/>
      <c r="J194" s="10"/>
      <c r="K194" s="10"/>
    </row>
    <row r="195" spans="1:11" s="9" customFormat="1" ht="21.9" customHeight="1">
      <c r="A195" s="13"/>
      <c r="B195" s="13"/>
      <c r="C195" s="13"/>
      <c r="D195" s="13"/>
      <c r="E195" s="13"/>
      <c r="F195" s="10"/>
      <c r="G195" s="10"/>
      <c r="H195" s="10"/>
      <c r="I195" s="10"/>
      <c r="J195" s="10"/>
      <c r="K195" s="10"/>
    </row>
    <row r="196" spans="1:11" s="9" customFormat="1" ht="21.9" customHeight="1">
      <c r="A196" s="13"/>
      <c r="B196" s="13"/>
      <c r="C196" s="13"/>
      <c r="D196" s="13"/>
      <c r="E196" s="13"/>
      <c r="F196" s="12"/>
      <c r="G196" s="12"/>
      <c r="H196" s="12"/>
      <c r="I196" s="12"/>
      <c r="J196" s="12"/>
      <c r="K196" s="12"/>
    </row>
    <row r="197" spans="1:11" s="9" customFormat="1" ht="21.9" customHeight="1">
      <c r="A197" s="13"/>
      <c r="B197" s="13"/>
      <c r="C197" s="13"/>
      <c r="D197" s="13"/>
      <c r="E197" s="13"/>
      <c r="F197" s="12"/>
      <c r="G197" s="12"/>
      <c r="H197" s="12"/>
      <c r="I197" s="12"/>
      <c r="J197" s="12"/>
      <c r="K197" s="12"/>
    </row>
    <row r="198" spans="1:11" s="9" customFormat="1" ht="21.9" customHeight="1">
      <c r="A198" s="13"/>
      <c r="B198" s="13"/>
      <c r="C198" s="13"/>
      <c r="D198" s="13"/>
      <c r="E198" s="13"/>
      <c r="F198" s="12"/>
      <c r="G198" s="12"/>
      <c r="H198" s="12"/>
      <c r="I198" s="12"/>
      <c r="J198" s="12"/>
      <c r="K198" s="12"/>
    </row>
    <row r="199" spans="1:11" s="9" customFormat="1" ht="21.9" customHeight="1">
      <c r="A199" s="13"/>
      <c r="B199" s="13"/>
      <c r="C199" s="13"/>
      <c r="D199" s="13"/>
      <c r="E199" s="13"/>
      <c r="F199" s="8"/>
      <c r="G199" s="8"/>
      <c r="H199" s="8"/>
      <c r="I199" s="8"/>
      <c r="J199" s="8"/>
      <c r="K199" s="8"/>
    </row>
    <row r="200" spans="1:11" s="9" customFormat="1" ht="21.9" customHeight="1">
      <c r="A200" s="13"/>
      <c r="B200" s="13"/>
      <c r="C200" s="13"/>
      <c r="D200" s="13"/>
      <c r="E200" s="13"/>
      <c r="F200" s="8"/>
      <c r="G200" s="8"/>
      <c r="H200" s="8"/>
      <c r="I200" s="8"/>
      <c r="J200" s="8"/>
      <c r="K200" s="8"/>
    </row>
    <row r="201" spans="1:11" s="9" customFormat="1" ht="21.9" customHeight="1">
      <c r="A201" s="13"/>
      <c r="B201" s="13"/>
      <c r="C201" s="13"/>
      <c r="D201" s="13"/>
      <c r="E201" s="13"/>
      <c r="F201" s="12"/>
      <c r="G201" s="12"/>
      <c r="H201" s="12"/>
      <c r="I201" s="12"/>
      <c r="J201" s="12"/>
      <c r="K201" s="12"/>
    </row>
    <row r="202" spans="1:11" s="9" customFormat="1" ht="21.9" customHeight="1">
      <c r="A202" s="13"/>
      <c r="B202" s="13"/>
      <c r="C202" s="13"/>
      <c r="D202" s="13"/>
      <c r="E202" s="13"/>
      <c r="F202" s="12"/>
      <c r="G202" s="12"/>
      <c r="H202" s="12"/>
      <c r="I202" s="12"/>
      <c r="J202" s="12"/>
      <c r="K202" s="12"/>
    </row>
    <row r="203" spans="1:11" s="9" customFormat="1" ht="21.9" customHeight="1">
      <c r="A203" s="13"/>
      <c r="B203" s="13"/>
      <c r="C203" s="13"/>
      <c r="D203" s="13"/>
      <c r="E203" s="13"/>
      <c r="F203" s="8"/>
      <c r="G203" s="8"/>
      <c r="H203" s="8"/>
      <c r="I203" s="8"/>
      <c r="J203" s="8"/>
      <c r="K203" s="8"/>
    </row>
    <row r="204" spans="1:11" s="9" customFormat="1" ht="21.9" customHeight="1">
      <c r="A204" s="13"/>
      <c r="B204" s="13"/>
      <c r="C204" s="13"/>
      <c r="D204" s="13"/>
      <c r="E204" s="13"/>
      <c r="F204" s="8"/>
      <c r="G204" s="8"/>
      <c r="H204" s="8"/>
      <c r="I204" s="8"/>
      <c r="J204" s="8"/>
      <c r="K204" s="8"/>
    </row>
    <row r="205" spans="1:11" s="9" customFormat="1" ht="21.9" customHeight="1">
      <c r="A205" s="13"/>
      <c r="B205" s="13"/>
      <c r="C205" s="13"/>
      <c r="D205" s="13"/>
      <c r="E205" s="13"/>
      <c r="F205" s="8"/>
      <c r="G205" s="8"/>
      <c r="H205" s="8"/>
      <c r="I205" s="8"/>
      <c r="J205" s="8"/>
      <c r="K205" s="8"/>
    </row>
    <row r="206" spans="1:11" s="9" customFormat="1" ht="21.9" customHeight="1">
      <c r="A206" s="13"/>
      <c r="B206" s="13"/>
      <c r="C206" s="13"/>
      <c r="D206" s="13"/>
      <c r="E206" s="13"/>
      <c r="F206" s="8"/>
      <c r="G206" s="8"/>
      <c r="H206" s="8"/>
      <c r="I206" s="8"/>
      <c r="J206" s="8"/>
      <c r="K206" s="8"/>
    </row>
    <row r="207" spans="1:11" s="9" customFormat="1" ht="21.9" customHeight="1">
      <c r="A207" s="13"/>
      <c r="B207" s="13"/>
      <c r="C207" s="13"/>
      <c r="D207" s="13"/>
      <c r="E207" s="13"/>
      <c r="F207" s="8"/>
      <c r="G207" s="8"/>
      <c r="H207" s="8"/>
      <c r="I207" s="8"/>
      <c r="J207" s="8"/>
      <c r="K207" s="8"/>
    </row>
    <row r="208" spans="1:11" s="9" customFormat="1" ht="21.9" customHeight="1">
      <c r="A208" s="13"/>
      <c r="B208" s="13"/>
      <c r="C208" s="13"/>
      <c r="D208" s="13"/>
      <c r="E208" s="13"/>
      <c r="F208" s="8"/>
      <c r="G208" s="8"/>
      <c r="H208" s="8"/>
      <c r="I208" s="8"/>
      <c r="J208" s="8"/>
      <c r="K208" s="8"/>
    </row>
    <row r="209" spans="1:11" s="9" customFormat="1" ht="21.9" customHeight="1">
      <c r="A209" s="13"/>
      <c r="B209" s="13"/>
      <c r="C209" s="13"/>
      <c r="D209" s="13"/>
      <c r="E209" s="13"/>
      <c r="F209" s="11"/>
      <c r="G209" s="11"/>
      <c r="H209" s="11"/>
      <c r="I209" s="11"/>
      <c r="J209" s="11"/>
      <c r="K209" s="11"/>
    </row>
    <row r="210" spans="1:11" s="9" customFormat="1" ht="21.9" customHeight="1">
      <c r="A210" s="13"/>
      <c r="B210" s="13"/>
      <c r="C210" s="13"/>
      <c r="D210" s="13"/>
      <c r="E210" s="13"/>
      <c r="F210" s="11"/>
      <c r="G210" s="11"/>
      <c r="H210" s="11"/>
      <c r="I210" s="11"/>
      <c r="J210" s="11"/>
      <c r="K210" s="11"/>
    </row>
    <row r="211" spans="1:11" s="9" customFormat="1" ht="21.9" customHeight="1">
      <c r="A211" s="13"/>
      <c r="B211" s="13"/>
      <c r="C211" s="13"/>
      <c r="D211" s="13"/>
      <c r="E211" s="13"/>
      <c r="F211" s="11"/>
      <c r="G211" s="11"/>
      <c r="H211" s="11"/>
      <c r="I211" s="11"/>
      <c r="J211" s="11"/>
      <c r="K211" s="11"/>
    </row>
    <row r="212" spans="1:11" s="9" customFormat="1" ht="21.9" customHeight="1">
      <c r="A212" s="13"/>
      <c r="B212" s="13"/>
      <c r="C212" s="13"/>
      <c r="D212" s="13"/>
      <c r="E212" s="13"/>
      <c r="F212" s="11"/>
      <c r="G212" s="11"/>
      <c r="H212" s="11"/>
      <c r="I212" s="11"/>
      <c r="J212" s="11"/>
      <c r="K212" s="11"/>
    </row>
    <row r="213" spans="1:11" s="9" customFormat="1" ht="21.9" customHeight="1">
      <c r="A213" s="15"/>
      <c r="B213" s="15"/>
      <c r="C213" s="15"/>
      <c r="D213" s="15"/>
      <c r="E213" s="15"/>
      <c r="F213" s="12"/>
      <c r="G213" s="12"/>
      <c r="H213" s="12"/>
      <c r="I213" s="12"/>
      <c r="J213" s="12"/>
      <c r="K213" s="12"/>
    </row>
    <row r="214" spans="1:11" s="9" customFormat="1" ht="21.9" customHeight="1">
      <c r="A214" s="15"/>
      <c r="B214" s="15"/>
      <c r="C214" s="15"/>
      <c r="D214" s="15"/>
      <c r="E214" s="15"/>
      <c r="F214" s="11"/>
      <c r="G214" s="11"/>
      <c r="H214" s="11"/>
      <c r="I214" s="11"/>
      <c r="J214" s="11"/>
      <c r="K214" s="11"/>
    </row>
    <row r="215" spans="1:11" s="9" customFormat="1" ht="21.9" customHeight="1">
      <c r="A215" s="15"/>
      <c r="B215" s="15"/>
      <c r="C215" s="15"/>
      <c r="D215" s="15"/>
      <c r="E215" s="15"/>
      <c r="F215" s="12"/>
      <c r="G215" s="12"/>
      <c r="H215" s="12"/>
      <c r="I215" s="12"/>
      <c r="J215" s="12"/>
      <c r="K215" s="12"/>
    </row>
    <row r="216" spans="1:11" s="9" customFormat="1" ht="21.9" customHeight="1">
      <c r="A216" s="15"/>
      <c r="B216" s="15"/>
      <c r="C216" s="15"/>
      <c r="D216" s="15"/>
      <c r="E216" s="15"/>
      <c r="F216" s="12"/>
      <c r="G216" s="12"/>
      <c r="H216" s="12"/>
      <c r="I216" s="12"/>
      <c r="J216" s="12"/>
      <c r="K216" s="12"/>
    </row>
    <row r="217" spans="1:11" s="9" customFormat="1" ht="21.9" customHeight="1">
      <c r="A217" s="15"/>
      <c r="B217" s="15"/>
      <c r="C217" s="15"/>
      <c r="D217" s="15"/>
      <c r="E217" s="15"/>
      <c r="F217" s="12"/>
      <c r="G217" s="12"/>
      <c r="H217" s="12"/>
      <c r="I217" s="12"/>
      <c r="J217" s="12"/>
      <c r="K217" s="12"/>
    </row>
    <row r="218" spans="1:11" s="9" customFormat="1" ht="21.9" customHeight="1">
      <c r="A218" s="15"/>
      <c r="B218" s="15"/>
      <c r="C218" s="15"/>
      <c r="D218" s="15"/>
      <c r="E218" s="15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5"/>
      <c r="B219" s="15"/>
      <c r="C219" s="15"/>
      <c r="D219" s="15"/>
      <c r="E219" s="15"/>
      <c r="F219" s="12"/>
      <c r="G219" s="12"/>
      <c r="H219" s="12"/>
      <c r="I219" s="12"/>
      <c r="J219" s="12"/>
      <c r="K219" s="12"/>
    </row>
    <row r="220" spans="1:11" s="9" customFormat="1" ht="21.9" customHeight="1">
      <c r="A220" s="15"/>
      <c r="B220" s="15"/>
      <c r="C220" s="15"/>
      <c r="D220" s="15"/>
      <c r="E220" s="15"/>
      <c r="F220" s="12"/>
      <c r="G220" s="12"/>
      <c r="H220" s="12"/>
      <c r="I220" s="12"/>
      <c r="J220" s="12"/>
      <c r="K220" s="12"/>
    </row>
    <row r="221" spans="1:11" s="9" customFormat="1" ht="21.9" customHeight="1">
      <c r="A221" s="15"/>
      <c r="B221" s="15"/>
      <c r="C221" s="15"/>
      <c r="D221" s="15"/>
      <c r="E221" s="15"/>
      <c r="F221" s="8"/>
      <c r="G221" s="8"/>
      <c r="H221" s="8"/>
      <c r="I221" s="8"/>
      <c r="J221" s="8"/>
      <c r="K221" s="8"/>
    </row>
    <row r="222" spans="1:11" s="9" customFormat="1" ht="21.9" customHeight="1">
      <c r="A222" s="15"/>
      <c r="B222" s="15"/>
      <c r="C222" s="15"/>
      <c r="D222" s="15"/>
      <c r="E222" s="15"/>
      <c r="F222" s="12"/>
      <c r="G222" s="12"/>
      <c r="H222" s="12"/>
      <c r="I222" s="12"/>
      <c r="J222" s="12"/>
      <c r="K222" s="12"/>
    </row>
    <row r="223" spans="1:11" s="9" customFormat="1" ht="21.9" customHeight="1">
      <c r="A223" s="15"/>
      <c r="B223" s="15"/>
      <c r="C223" s="15"/>
      <c r="D223" s="15"/>
      <c r="E223" s="15"/>
      <c r="F223" s="12"/>
      <c r="G223" s="12"/>
      <c r="H223" s="12"/>
      <c r="I223" s="12"/>
      <c r="J223" s="12"/>
      <c r="K223" s="12"/>
    </row>
    <row r="224" spans="1:11" s="9" customFormat="1" ht="21.9" customHeight="1">
      <c r="A224" s="15"/>
      <c r="B224" s="15"/>
      <c r="C224" s="15"/>
      <c r="D224" s="15"/>
      <c r="E224" s="15"/>
      <c r="F224" s="12"/>
      <c r="G224" s="12"/>
      <c r="H224" s="12"/>
      <c r="I224" s="12"/>
      <c r="J224" s="12"/>
      <c r="K224" s="12"/>
    </row>
    <row r="225" spans="1:11" s="9" customFormat="1" ht="21.9" customHeight="1">
      <c r="A225" s="15"/>
      <c r="B225" s="15"/>
      <c r="C225" s="15"/>
      <c r="D225" s="15"/>
      <c r="E225" s="15"/>
      <c r="F225" s="8"/>
      <c r="G225" s="8"/>
      <c r="H225" s="8"/>
      <c r="I225" s="8"/>
      <c r="J225" s="8"/>
      <c r="K225" s="8"/>
    </row>
    <row r="226" spans="1:11" s="9" customFormat="1" ht="21.9" customHeight="1">
      <c r="A226" s="15"/>
      <c r="B226" s="15"/>
      <c r="C226" s="15"/>
      <c r="D226" s="15"/>
      <c r="E226" s="15"/>
      <c r="F226" s="8"/>
      <c r="G226" s="8"/>
      <c r="H226" s="8"/>
      <c r="I226" s="8"/>
      <c r="J226" s="8"/>
      <c r="K226" s="8"/>
    </row>
    <row r="227" spans="1:11" s="9" customFormat="1" ht="21.9" customHeight="1">
      <c r="A227" s="15"/>
      <c r="B227" s="15"/>
      <c r="C227" s="15"/>
      <c r="D227" s="15"/>
      <c r="E227" s="15"/>
      <c r="F227" s="8"/>
      <c r="G227" s="8"/>
      <c r="H227" s="8"/>
      <c r="I227" s="8"/>
      <c r="J227" s="8"/>
      <c r="K227" s="8"/>
    </row>
    <row r="228" spans="1:11" s="9" customFormat="1" ht="21.9" customHeight="1">
      <c r="A228" s="15"/>
      <c r="B228" s="15"/>
      <c r="C228" s="15"/>
      <c r="D228" s="15"/>
      <c r="E228" s="15"/>
      <c r="F228" s="8"/>
      <c r="G228" s="8"/>
      <c r="H228" s="8"/>
      <c r="I228" s="8"/>
      <c r="J228" s="8"/>
      <c r="K228" s="8"/>
    </row>
    <row r="229" spans="1:11" s="9" customFormat="1" ht="21.9" customHeight="1">
      <c r="A229" s="15"/>
      <c r="B229" s="15"/>
      <c r="C229" s="15"/>
      <c r="D229" s="15"/>
      <c r="E229" s="15"/>
      <c r="F229" s="8"/>
      <c r="G229" s="8"/>
      <c r="H229" s="8"/>
      <c r="I229" s="8"/>
      <c r="J229" s="8"/>
      <c r="K229" s="8"/>
    </row>
    <row r="230" spans="1:11" s="9" customFormat="1" ht="21.9" customHeight="1">
      <c r="A230" s="15"/>
      <c r="B230" s="15"/>
      <c r="C230" s="15"/>
      <c r="D230" s="15"/>
      <c r="E230" s="15"/>
      <c r="F230" s="8"/>
      <c r="G230" s="8"/>
      <c r="H230" s="8"/>
      <c r="I230" s="8"/>
      <c r="J230" s="8"/>
      <c r="K230" s="8"/>
    </row>
    <row r="231" spans="1:11" s="9" customFormat="1" ht="21.9" customHeight="1">
      <c r="A231" s="15"/>
      <c r="B231" s="15"/>
      <c r="C231" s="15"/>
      <c r="D231" s="15"/>
      <c r="E231" s="15"/>
      <c r="F231" s="11"/>
      <c r="G231" s="11"/>
      <c r="H231" s="11"/>
      <c r="I231" s="11"/>
      <c r="J231" s="11"/>
      <c r="K231" s="11"/>
    </row>
    <row r="232" spans="1:11" s="9" customFormat="1" ht="21.9" customHeight="1">
      <c r="A232" s="15"/>
      <c r="B232" s="15"/>
      <c r="C232" s="15"/>
      <c r="D232" s="15"/>
      <c r="E232" s="15"/>
      <c r="F232" s="11"/>
      <c r="G232" s="11"/>
      <c r="H232" s="11"/>
      <c r="I232" s="11"/>
      <c r="J232" s="11"/>
      <c r="K232" s="11"/>
    </row>
    <row r="233" spans="1:11" s="9" customFormat="1" ht="21.9" customHeight="1">
      <c r="A233" s="15"/>
      <c r="B233" s="15"/>
      <c r="C233" s="15"/>
      <c r="D233" s="15"/>
      <c r="E233" s="15"/>
      <c r="F233" s="11"/>
      <c r="G233" s="11"/>
      <c r="H233" s="11"/>
      <c r="I233" s="11"/>
      <c r="J233" s="11"/>
      <c r="K233" s="11"/>
    </row>
    <row r="234" spans="1:11" s="9" customFormat="1" ht="21.9" customHeight="1">
      <c r="A234" s="15"/>
      <c r="B234" s="15"/>
      <c r="C234" s="15"/>
      <c r="D234" s="15"/>
      <c r="E234" s="15"/>
      <c r="F234" s="11"/>
      <c r="G234" s="11"/>
      <c r="H234" s="11"/>
      <c r="I234" s="11"/>
      <c r="J234" s="11"/>
      <c r="K234" s="11"/>
    </row>
    <row r="235" spans="1:11" s="9" customFormat="1" ht="21.9" customHeight="1">
      <c r="A235" s="15"/>
      <c r="B235" s="15"/>
      <c r="C235" s="15"/>
      <c r="D235" s="15"/>
      <c r="E235" s="15"/>
      <c r="F235" s="11"/>
      <c r="G235" s="11"/>
      <c r="H235" s="11"/>
      <c r="I235" s="11"/>
      <c r="J235" s="11"/>
      <c r="K235" s="11"/>
    </row>
    <row r="236" spans="1:11" s="9" customFormat="1" ht="21.9" customHeight="1">
      <c r="A236" s="15"/>
      <c r="B236" s="15"/>
      <c r="C236" s="15"/>
      <c r="D236" s="15"/>
      <c r="E236" s="15"/>
      <c r="F236" s="11"/>
      <c r="G236" s="11"/>
      <c r="H236" s="11"/>
      <c r="I236" s="11"/>
      <c r="J236" s="11"/>
      <c r="K236" s="11"/>
    </row>
    <row r="237" spans="1:11" s="9" customFormat="1" ht="21.9" customHeight="1">
      <c r="A237" s="15"/>
      <c r="B237" s="15"/>
      <c r="C237" s="15"/>
      <c r="D237" s="15"/>
      <c r="E237" s="15"/>
      <c r="F237" s="8"/>
      <c r="G237" s="8"/>
      <c r="H237" s="8"/>
      <c r="I237" s="8"/>
      <c r="J237" s="8"/>
      <c r="K237" s="8"/>
    </row>
    <row r="238" spans="1:11" s="9" customFormat="1" ht="21.9" customHeight="1">
      <c r="A238" s="15"/>
      <c r="B238" s="15"/>
      <c r="C238" s="15"/>
      <c r="D238" s="15"/>
      <c r="E238" s="15"/>
      <c r="F238" s="8"/>
      <c r="G238" s="8"/>
      <c r="H238" s="8"/>
      <c r="I238" s="8"/>
      <c r="J238" s="8"/>
      <c r="K238" s="8"/>
    </row>
    <row r="239" spans="1:11" s="9" customFormat="1" ht="21.9" customHeight="1">
      <c r="A239" s="15"/>
      <c r="B239" s="15"/>
      <c r="C239" s="15"/>
      <c r="D239" s="15"/>
      <c r="E239" s="15"/>
      <c r="F239" s="8"/>
      <c r="G239" s="8"/>
      <c r="H239" s="8"/>
      <c r="I239" s="8"/>
      <c r="J239" s="8"/>
      <c r="K239" s="8"/>
    </row>
    <row r="240" spans="1:11" s="9" customFormat="1" ht="21.9" customHeight="1">
      <c r="A240" s="15"/>
      <c r="B240" s="15"/>
      <c r="C240" s="15"/>
      <c r="D240" s="15"/>
      <c r="E240" s="15"/>
      <c r="F240" s="8"/>
      <c r="G240" s="8"/>
      <c r="H240" s="8"/>
      <c r="I240" s="8"/>
      <c r="J240" s="8"/>
      <c r="K240" s="8"/>
    </row>
    <row r="241" spans="1:11" s="9" customFormat="1" ht="21.9" customHeight="1">
      <c r="A241" s="15"/>
      <c r="B241" s="15"/>
      <c r="C241" s="15"/>
      <c r="D241" s="15"/>
      <c r="E241" s="15"/>
      <c r="F241" s="8"/>
      <c r="G241" s="8"/>
      <c r="H241" s="8"/>
      <c r="I241" s="8"/>
      <c r="J241" s="8"/>
      <c r="K241" s="8"/>
    </row>
    <row r="242" spans="1:11" s="9" customFormat="1" ht="21.9" customHeight="1">
      <c r="A242" s="15"/>
      <c r="B242" s="15"/>
      <c r="C242" s="15"/>
      <c r="D242" s="15"/>
      <c r="E242" s="15"/>
      <c r="F242" s="8"/>
      <c r="G242" s="8"/>
      <c r="H242" s="8"/>
      <c r="I242" s="8"/>
      <c r="J242" s="8"/>
      <c r="K242" s="8"/>
    </row>
    <row r="243" spans="1:11" s="9" customFormat="1" ht="21.9" customHeight="1">
      <c r="A243" s="15"/>
      <c r="B243" s="15"/>
      <c r="C243" s="15"/>
      <c r="D243" s="15"/>
      <c r="E243" s="15"/>
      <c r="F243" s="8"/>
      <c r="G243" s="8"/>
      <c r="H243" s="8"/>
      <c r="I243" s="8"/>
      <c r="J243" s="8"/>
      <c r="K243" s="8"/>
    </row>
    <row r="244" spans="1:11" s="9" customFormat="1" ht="21.9" customHeight="1">
      <c r="A244" s="6"/>
      <c r="B244" s="6"/>
      <c r="C244" s="6"/>
      <c r="D244" s="6"/>
      <c r="E244" s="6"/>
      <c r="F244" s="12"/>
      <c r="G244" s="12"/>
      <c r="H244" s="12"/>
      <c r="I244" s="12"/>
      <c r="J244" s="12"/>
      <c r="K244" s="12"/>
    </row>
    <row r="245" spans="1:11" s="9" customFormat="1" ht="21.9" customHeight="1">
      <c r="A245" s="6"/>
      <c r="B245" s="6"/>
      <c r="C245" s="6"/>
      <c r="D245" s="6"/>
      <c r="E245" s="6"/>
      <c r="F245" s="12"/>
      <c r="G245" s="12"/>
      <c r="H245" s="12"/>
      <c r="I245" s="12"/>
      <c r="J245" s="12"/>
      <c r="K245" s="12"/>
    </row>
    <row r="246" spans="1:11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  <c r="K246" s="11"/>
    </row>
    <row r="247" spans="1:11" s="9" customFormat="1" ht="21.9" customHeight="1">
      <c r="A247" s="6"/>
      <c r="B247" s="6"/>
      <c r="C247" s="6"/>
      <c r="D247" s="6"/>
      <c r="E247" s="6"/>
      <c r="F247" s="12"/>
      <c r="G247" s="12"/>
      <c r="H247" s="12"/>
      <c r="I247" s="12"/>
      <c r="J247" s="12"/>
      <c r="K247" s="12"/>
    </row>
    <row r="248" spans="1:11" s="9" customFormat="1" ht="21.9" customHeight="1">
      <c r="A248" s="6"/>
      <c r="B248" s="6"/>
      <c r="C248" s="6"/>
      <c r="D248" s="6"/>
      <c r="E248" s="6"/>
      <c r="F248" s="8"/>
      <c r="G248" s="8"/>
      <c r="H248" s="8"/>
      <c r="I248" s="8"/>
      <c r="J248" s="8"/>
      <c r="K248" s="8"/>
    </row>
    <row r="249" spans="1:11" s="9" customFormat="1" ht="21.9" customHeight="1">
      <c r="A249" s="6"/>
      <c r="B249" s="6"/>
      <c r="C249" s="6"/>
      <c r="D249" s="6"/>
      <c r="E249" s="6"/>
      <c r="F249" s="8"/>
      <c r="G249" s="8"/>
      <c r="H249" s="8"/>
      <c r="I249" s="8"/>
      <c r="J249" s="8"/>
      <c r="K249" s="8"/>
    </row>
    <row r="250" spans="1:11" s="9" customFormat="1" ht="21.9" customHeight="1">
      <c r="A250" s="6"/>
      <c r="B250" s="6"/>
      <c r="C250" s="6"/>
      <c r="D250" s="6"/>
      <c r="E250" s="6"/>
      <c r="F250" s="11"/>
      <c r="G250" s="11"/>
      <c r="H250" s="11"/>
      <c r="I250" s="11"/>
      <c r="J250" s="11"/>
      <c r="K250" s="11"/>
    </row>
    <row r="251" spans="1:11" s="9" customFormat="1" ht="21.9" customHeight="1">
      <c r="A251" s="6"/>
      <c r="B251" s="6"/>
      <c r="C251" s="6"/>
      <c r="D251" s="6"/>
      <c r="E251" s="6"/>
      <c r="F251" s="12"/>
      <c r="G251" s="12"/>
      <c r="H251" s="12"/>
      <c r="I251" s="12"/>
      <c r="J251" s="12"/>
      <c r="K251" s="12"/>
    </row>
    <row r="252" spans="1:11" s="9" customFormat="1" ht="21.9" customHeight="1">
      <c r="A252" s="6"/>
      <c r="B252" s="6"/>
      <c r="C252" s="6"/>
      <c r="D252" s="6"/>
      <c r="E252" s="6"/>
      <c r="F252" s="11"/>
      <c r="G252" s="11"/>
      <c r="H252" s="11"/>
      <c r="I252" s="11"/>
      <c r="J252" s="11"/>
      <c r="K252" s="11"/>
    </row>
    <row r="253" spans="1:11" s="9" customFormat="1" ht="21.9" customHeight="1">
      <c r="A253" s="6"/>
      <c r="B253" s="6"/>
      <c r="C253" s="6"/>
      <c r="D253" s="6"/>
      <c r="E253" s="6"/>
      <c r="F253" s="11"/>
      <c r="G253" s="11"/>
      <c r="H253" s="11"/>
      <c r="I253" s="11"/>
      <c r="J253" s="11"/>
      <c r="K253" s="11"/>
    </row>
    <row r="254" spans="1:11" s="9" customFormat="1" ht="21.9" customHeight="1">
      <c r="A254" s="6"/>
      <c r="B254" s="6"/>
      <c r="C254" s="6"/>
      <c r="D254" s="6"/>
      <c r="E254" s="6"/>
      <c r="F254" s="11"/>
      <c r="G254" s="11"/>
      <c r="H254" s="11"/>
      <c r="I254" s="11"/>
      <c r="J254" s="11"/>
      <c r="K254" s="11"/>
    </row>
    <row r="255" spans="1:11" s="9" customFormat="1" ht="21.9" customHeight="1">
      <c r="A255" s="6"/>
      <c r="B255" s="6"/>
      <c r="C255" s="6"/>
      <c r="D255" s="6"/>
      <c r="E255" s="6"/>
      <c r="F255" s="11"/>
      <c r="G255" s="11"/>
      <c r="H255" s="11"/>
      <c r="I255" s="11"/>
      <c r="J255" s="11"/>
      <c r="K255" s="11"/>
    </row>
    <row r="256" spans="1:11" s="9" customFormat="1" ht="21.9" customHeight="1">
      <c r="A256" s="6"/>
      <c r="B256" s="6"/>
      <c r="C256" s="6"/>
      <c r="D256" s="6"/>
      <c r="E256" s="6"/>
      <c r="F256" s="11"/>
      <c r="G256" s="11"/>
      <c r="H256" s="11"/>
      <c r="I256" s="11"/>
      <c r="J256" s="11"/>
      <c r="K256" s="11"/>
    </row>
    <row r="257" spans="1:11" s="9" customFormat="1" ht="21.9" customHeight="1">
      <c r="A257" s="6"/>
      <c r="B257" s="6"/>
      <c r="C257" s="6"/>
      <c r="D257" s="6"/>
      <c r="E257" s="6"/>
      <c r="F257" s="11"/>
      <c r="G257" s="11"/>
      <c r="H257" s="11"/>
      <c r="I257" s="11"/>
      <c r="J257" s="11"/>
      <c r="K257" s="11"/>
    </row>
    <row r="258" spans="1:11" s="9" customFormat="1" ht="21.9" customHeight="1">
      <c r="A258" s="6"/>
      <c r="B258" s="6"/>
      <c r="C258" s="6"/>
      <c r="D258" s="6"/>
      <c r="E258" s="6"/>
      <c r="F258" s="11"/>
      <c r="G258" s="11"/>
      <c r="H258" s="11"/>
      <c r="I258" s="11"/>
      <c r="J258" s="11"/>
      <c r="K258" s="11"/>
    </row>
    <row r="259" spans="1:11" s="9" customFormat="1" ht="21.9" customHeight="1">
      <c r="A259" s="6"/>
      <c r="B259" s="6"/>
      <c r="C259" s="6"/>
      <c r="D259" s="6"/>
      <c r="E259" s="6"/>
      <c r="F259" s="11"/>
      <c r="G259" s="11"/>
      <c r="H259" s="11"/>
      <c r="I259" s="11"/>
      <c r="J259" s="11"/>
      <c r="K259" s="11"/>
    </row>
    <row r="260" spans="1:11" s="9" customFormat="1" ht="21.9" customHeight="1">
      <c r="A260" s="6"/>
      <c r="B260" s="6"/>
      <c r="C260" s="6"/>
      <c r="D260" s="6"/>
      <c r="E260" s="6"/>
      <c r="F260" s="8"/>
      <c r="G260" s="8"/>
      <c r="H260" s="8"/>
      <c r="I260" s="8"/>
      <c r="J260" s="8"/>
      <c r="K260" s="8"/>
    </row>
    <row r="261" spans="1:11" s="9" customFormat="1" ht="21.9" customHeight="1">
      <c r="A261" s="6"/>
      <c r="B261" s="6"/>
      <c r="C261" s="6"/>
      <c r="D261" s="6"/>
      <c r="E261" s="6"/>
      <c r="F261" s="8"/>
      <c r="G261" s="8"/>
      <c r="H261" s="8"/>
      <c r="I261" s="8"/>
      <c r="J261" s="8"/>
      <c r="K261" s="8"/>
    </row>
    <row r="262" spans="1:11" s="9" customFormat="1" ht="21.9" customHeight="1">
      <c r="A262" s="6"/>
      <c r="B262" s="6"/>
      <c r="C262" s="6"/>
      <c r="D262" s="6"/>
      <c r="E262" s="6"/>
      <c r="F262" s="8"/>
      <c r="G262" s="8"/>
      <c r="H262" s="8"/>
      <c r="I262" s="8"/>
      <c r="J262" s="8"/>
      <c r="K262" s="8"/>
    </row>
    <row r="263" spans="1:11" s="9" customFormat="1" ht="21.9" customHeight="1">
      <c r="A263" s="6"/>
      <c r="B263" s="6"/>
      <c r="C263" s="6"/>
      <c r="D263" s="6"/>
      <c r="E263" s="6"/>
      <c r="F263" s="8"/>
      <c r="G263" s="8"/>
      <c r="H263" s="8"/>
      <c r="I263" s="8"/>
      <c r="J263" s="8"/>
      <c r="K263" s="8"/>
    </row>
    <row r="264" spans="1:11" s="9" customFormat="1" ht="21.9" customHeight="1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21.9" customHeight="1">
      <c r="A265" s="6"/>
      <c r="B265" s="6"/>
      <c r="C265" s="6"/>
      <c r="D265" s="6"/>
      <c r="E265" s="6"/>
      <c r="F265" s="8"/>
      <c r="G265" s="8"/>
      <c r="H265" s="8"/>
      <c r="I265" s="8"/>
      <c r="J265" s="8"/>
      <c r="K265" s="8"/>
    </row>
    <row r="266" spans="1:11" s="9" customFormat="1" ht="13.2">
      <c r="A266" s="6"/>
      <c r="B266" s="6"/>
      <c r="C266" s="6"/>
      <c r="D266" s="6"/>
      <c r="E266" s="6"/>
      <c r="F266" s="12"/>
      <c r="G266" s="12"/>
      <c r="H266" s="12"/>
      <c r="I266" s="12"/>
      <c r="J266" s="12"/>
      <c r="K266" s="12"/>
    </row>
    <row r="267" spans="1:11" s="9" customFormat="1" ht="13.2">
      <c r="A267" s="6"/>
      <c r="B267" s="6"/>
      <c r="C267" s="6"/>
      <c r="D267" s="6"/>
      <c r="E267" s="6"/>
      <c r="F267" s="10"/>
      <c r="G267" s="10"/>
      <c r="H267" s="10"/>
      <c r="I267" s="10"/>
      <c r="J267" s="10"/>
      <c r="K267" s="10"/>
    </row>
    <row r="268" spans="1:11" s="9" customFormat="1" ht="13.2">
      <c r="A268" s="6"/>
      <c r="B268" s="6"/>
      <c r="C268" s="6"/>
      <c r="D268" s="6"/>
      <c r="E268" s="6"/>
      <c r="F268" s="12"/>
      <c r="G268" s="12"/>
      <c r="H268" s="12"/>
      <c r="I268" s="12"/>
      <c r="J268" s="12"/>
      <c r="K268" s="12"/>
    </row>
    <row r="269" spans="1:11" s="9" customFormat="1" ht="13.2">
      <c r="A269" s="6"/>
      <c r="B269" s="6"/>
      <c r="C269" s="6"/>
      <c r="D269" s="6"/>
      <c r="E269" s="6"/>
      <c r="F269" s="12"/>
      <c r="G269" s="12"/>
      <c r="H269" s="12"/>
      <c r="I269" s="12"/>
      <c r="J269" s="12"/>
      <c r="K269" s="12"/>
    </row>
    <row r="270" spans="1:11" s="9" customFormat="1" ht="13.2">
      <c r="A270" s="6"/>
      <c r="B270" s="6"/>
      <c r="C270" s="6"/>
      <c r="D270" s="6"/>
      <c r="E270" s="6"/>
      <c r="F270" s="8"/>
      <c r="G270" s="8"/>
      <c r="H270" s="8"/>
      <c r="I270" s="8"/>
      <c r="J270" s="8"/>
      <c r="K270" s="8"/>
    </row>
    <row r="271" spans="1:11" s="9" customFormat="1" ht="13.2">
      <c r="A271" s="6"/>
      <c r="B271" s="6"/>
      <c r="C271" s="6"/>
      <c r="D271" s="6"/>
      <c r="E271" s="6"/>
      <c r="F271" s="8"/>
      <c r="G271" s="8"/>
      <c r="H271" s="8"/>
      <c r="I271" s="8"/>
      <c r="J271" s="8"/>
      <c r="K271" s="8"/>
    </row>
    <row r="272" spans="1:11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  <c r="K272" s="8"/>
    </row>
    <row r="273" spans="1:11" s="9" customFormat="1" ht="13.2">
      <c r="A273" s="6"/>
      <c r="B273" s="6"/>
      <c r="C273" s="6"/>
      <c r="D273" s="6"/>
      <c r="E273" s="6"/>
      <c r="F273" s="8"/>
      <c r="G273" s="8"/>
      <c r="H273" s="8"/>
      <c r="I273" s="8"/>
      <c r="J273" s="8"/>
      <c r="K273" s="8"/>
    </row>
    <row r="274" spans="1:11" s="9" customFormat="1" ht="13.2">
      <c r="A274" s="6"/>
      <c r="B274" s="6"/>
      <c r="C274" s="6"/>
      <c r="D274" s="6"/>
      <c r="E274" s="6"/>
      <c r="F274" s="11"/>
      <c r="G274" s="11"/>
      <c r="H274" s="11"/>
      <c r="I274" s="11"/>
      <c r="J274" s="11"/>
      <c r="K274" s="11"/>
    </row>
    <row r="275" spans="1:11" s="9" customFormat="1" ht="13.2">
      <c r="A275" s="6"/>
      <c r="B275" s="6"/>
      <c r="C275" s="6"/>
      <c r="D275" s="6"/>
      <c r="E275" s="6"/>
      <c r="F275" s="12"/>
      <c r="G275" s="12"/>
      <c r="H275" s="12"/>
      <c r="I275" s="12"/>
      <c r="J275" s="12"/>
      <c r="K275" s="12"/>
    </row>
    <row r="276" spans="1:11" s="9" customFormat="1" ht="13.2">
      <c r="A276" s="6"/>
      <c r="B276" s="6"/>
      <c r="C276" s="6"/>
      <c r="D276" s="6"/>
      <c r="E276" s="6"/>
      <c r="F276" s="10"/>
      <c r="G276" s="10"/>
      <c r="H276" s="10"/>
      <c r="I276" s="10"/>
      <c r="J276" s="10"/>
      <c r="K276" s="10"/>
    </row>
    <row r="277" spans="1:11" s="9" customFormat="1" ht="13.2">
      <c r="A277" s="6"/>
      <c r="B277" s="6"/>
      <c r="C277" s="6"/>
      <c r="D277" s="6"/>
      <c r="E277" s="6"/>
      <c r="F277" s="11"/>
      <c r="G277" s="11"/>
      <c r="H277" s="11"/>
      <c r="I277" s="11"/>
      <c r="J277" s="11"/>
      <c r="K277" s="11"/>
    </row>
    <row r="278" spans="1:11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  <c r="K278" s="8"/>
    </row>
    <row r="279" spans="1:11" s="9" customFormat="1" ht="13.2">
      <c r="A279" s="6"/>
      <c r="B279" s="6"/>
      <c r="C279" s="6"/>
      <c r="D279" s="6"/>
      <c r="E279" s="6"/>
      <c r="F279" s="7"/>
      <c r="G279" s="7"/>
      <c r="H279" s="7"/>
      <c r="I279" s="7"/>
      <c r="J279" s="7"/>
      <c r="K279" s="7"/>
    </row>
    <row r="280" spans="1:11" s="9" customFormat="1" ht="13.2">
      <c r="A280" s="6"/>
      <c r="B280" s="6"/>
      <c r="C280" s="6"/>
      <c r="D280" s="6"/>
      <c r="E280" s="6"/>
      <c r="F280" s="7"/>
      <c r="G280" s="7"/>
      <c r="H280" s="7"/>
      <c r="I280" s="7"/>
      <c r="J280" s="7"/>
      <c r="K280" s="7"/>
    </row>
    <row r="281" spans="1:11" s="9" customFormat="1" ht="13.2">
      <c r="A281" s="6"/>
      <c r="B281" s="6"/>
      <c r="C281" s="6"/>
      <c r="D281" s="6"/>
      <c r="E281" s="6"/>
      <c r="F281" s="7"/>
      <c r="G281" s="7"/>
      <c r="H281" s="7"/>
      <c r="I281" s="7"/>
      <c r="J281" s="7"/>
      <c r="K281" s="7"/>
    </row>
    <row r="282" spans="1:11" s="9" customFormat="1" ht="13.2">
      <c r="A282" s="6"/>
      <c r="B282" s="6"/>
      <c r="C282" s="6"/>
      <c r="D282" s="6"/>
      <c r="E282" s="6"/>
      <c r="F282" s="7"/>
      <c r="G282" s="7"/>
      <c r="H282" s="7"/>
      <c r="I282" s="7"/>
      <c r="J282" s="7"/>
      <c r="K282" s="7"/>
    </row>
    <row r="283" spans="1:11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  <c r="K283" s="8"/>
    </row>
    <row r="284" spans="1:11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  <c r="K284" s="8"/>
    </row>
    <row r="285" spans="1:11" s="9" customFormat="1" ht="13.2">
      <c r="A285" s="6"/>
      <c r="B285" s="6"/>
      <c r="C285" s="6"/>
      <c r="D285" s="6"/>
      <c r="E285" s="6"/>
      <c r="F285" s="8"/>
      <c r="G285" s="8"/>
      <c r="H285" s="8"/>
      <c r="I285" s="8"/>
      <c r="J285" s="8"/>
      <c r="K285" s="8"/>
    </row>
    <row r="286" spans="1:11" s="9" customFormat="1" ht="13.2">
      <c r="A286" s="6"/>
      <c r="B286" s="6"/>
      <c r="C286" s="6"/>
      <c r="D286" s="6"/>
      <c r="E286" s="6"/>
      <c r="F286" s="8"/>
      <c r="G286" s="8"/>
      <c r="H286" s="8"/>
      <c r="I286" s="8"/>
      <c r="J286" s="8"/>
      <c r="K286" s="8"/>
    </row>
    <row r="287" spans="1:11" s="9" customFormat="1" ht="13.2">
      <c r="A287" s="6"/>
      <c r="B287" s="6"/>
      <c r="C287" s="6"/>
      <c r="D287" s="6"/>
      <c r="E287" s="6"/>
      <c r="F287" s="8"/>
      <c r="G287" s="8"/>
      <c r="H287" s="8"/>
      <c r="I287" s="8"/>
      <c r="J287" s="8"/>
      <c r="K287" s="8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8"/>
      <c r="G289" s="8"/>
      <c r="H289" s="8"/>
      <c r="I289" s="8"/>
      <c r="J289" s="8"/>
      <c r="K289" s="8"/>
    </row>
    <row r="290" spans="1:11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  <c r="K290" s="8"/>
    </row>
    <row r="291" spans="1:11" s="9" customFormat="1" ht="13.2">
      <c r="A291" s="6"/>
      <c r="B291" s="6"/>
      <c r="C291" s="6"/>
      <c r="D291" s="6"/>
      <c r="E291" s="6"/>
      <c r="F291" s="12"/>
      <c r="G291" s="12"/>
      <c r="H291" s="12"/>
      <c r="I291" s="12"/>
      <c r="J291" s="12"/>
      <c r="K291" s="12"/>
    </row>
    <row r="292" spans="1:11" s="9" customFormat="1" ht="13.2">
      <c r="A292" s="6"/>
      <c r="B292" s="6"/>
      <c r="C292" s="6"/>
      <c r="D292" s="6"/>
      <c r="E292" s="6"/>
      <c r="F292" s="11"/>
      <c r="G292" s="11"/>
      <c r="H292" s="11"/>
      <c r="I292" s="11"/>
      <c r="J292" s="11"/>
      <c r="K292" s="11"/>
    </row>
    <row r="293" spans="1:11" s="9" customFormat="1" ht="13.2">
      <c r="A293" s="6"/>
      <c r="B293" s="6"/>
      <c r="C293" s="6"/>
      <c r="D293" s="6"/>
      <c r="E293" s="6"/>
      <c r="F293" s="12"/>
      <c r="G293" s="12"/>
      <c r="H293" s="12"/>
      <c r="I293" s="12"/>
      <c r="J293" s="12"/>
      <c r="K293" s="12"/>
    </row>
    <row r="294" spans="1:11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  <c r="K294" s="8"/>
    </row>
    <row r="295" spans="1:11" s="9" customFormat="1" ht="13.2">
      <c r="A295" s="6"/>
      <c r="B295" s="6"/>
      <c r="C295" s="6"/>
      <c r="D295" s="6"/>
      <c r="E295" s="6"/>
      <c r="F295" s="12"/>
      <c r="G295" s="12"/>
      <c r="H295" s="12"/>
      <c r="I295" s="12"/>
      <c r="J295" s="12"/>
      <c r="K295" s="12"/>
    </row>
    <row r="296" spans="1:11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  <c r="K296" s="8"/>
    </row>
    <row r="297" spans="1:11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  <c r="K297" s="8"/>
    </row>
    <row r="298" spans="1:11" s="9" customFormat="1" ht="13.2">
      <c r="A298" s="6"/>
      <c r="B298" s="6"/>
      <c r="C298" s="6"/>
      <c r="D298" s="6"/>
      <c r="E298" s="6"/>
      <c r="F298" s="12"/>
      <c r="G298" s="12"/>
      <c r="H298" s="12"/>
      <c r="I298" s="12"/>
      <c r="J298" s="12"/>
      <c r="K298" s="12"/>
    </row>
    <row r="299" spans="1:11" s="9" customFormat="1" ht="13.2">
      <c r="A299" s="6"/>
      <c r="B299" s="6"/>
      <c r="C299" s="6"/>
      <c r="D299" s="6"/>
      <c r="E299" s="6"/>
      <c r="F299" s="8"/>
      <c r="G299" s="8"/>
      <c r="H299" s="8"/>
      <c r="I299" s="8"/>
      <c r="J299" s="8"/>
      <c r="K299" s="8"/>
    </row>
    <row r="300" spans="1:11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  <c r="K300" s="8"/>
    </row>
    <row r="301" spans="1:11" s="9" customFormat="1" ht="13.2">
      <c r="A301" s="6"/>
      <c r="B301" s="6"/>
      <c r="C301" s="6"/>
      <c r="D301" s="6"/>
      <c r="E301" s="6"/>
      <c r="F301" s="11"/>
      <c r="G301" s="11"/>
      <c r="H301" s="11"/>
      <c r="I301" s="11"/>
      <c r="J301" s="11"/>
      <c r="K301" s="11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  <c r="K303" s="8"/>
    </row>
    <row r="304" spans="1:11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  <c r="K304" s="8"/>
    </row>
    <row r="305" spans="1:11" s="9" customFormat="1" ht="13.2">
      <c r="A305" s="6"/>
      <c r="B305" s="6"/>
      <c r="C305" s="6"/>
      <c r="D305" s="6"/>
      <c r="E305" s="6"/>
      <c r="F305" s="11"/>
      <c r="G305" s="11"/>
      <c r="H305" s="11"/>
      <c r="I305" s="11"/>
      <c r="J305" s="11"/>
      <c r="K305" s="11"/>
    </row>
    <row r="306" spans="1:11" s="9" customFormat="1" ht="13.2">
      <c r="A306" s="6"/>
      <c r="B306" s="6"/>
      <c r="C306" s="6"/>
      <c r="D306" s="6"/>
      <c r="E306" s="6"/>
      <c r="F306" s="8"/>
      <c r="G306" s="8"/>
      <c r="H306" s="8"/>
      <c r="I306" s="8"/>
      <c r="J306" s="8"/>
      <c r="K306" s="8"/>
    </row>
    <row r="307" spans="1:11" s="9" customFormat="1" ht="13.2">
      <c r="A307" s="6"/>
      <c r="B307" s="6"/>
      <c r="C307" s="6"/>
      <c r="D307" s="6"/>
      <c r="E307" s="6"/>
      <c r="F307" s="8"/>
      <c r="G307" s="8"/>
      <c r="H307" s="8"/>
      <c r="I307" s="8"/>
      <c r="J307" s="8"/>
      <c r="K307" s="8"/>
    </row>
    <row r="308" spans="1:11" s="9" customFormat="1" ht="13.2">
      <c r="A308" s="6"/>
      <c r="B308" s="6"/>
      <c r="C308" s="6"/>
      <c r="D308" s="6"/>
      <c r="E308" s="6"/>
      <c r="F308" s="8"/>
      <c r="G308" s="8"/>
      <c r="H308" s="8"/>
      <c r="I308" s="8"/>
      <c r="J308" s="8"/>
      <c r="K308" s="8"/>
    </row>
    <row r="309" spans="1:11" s="9" customFormat="1" ht="13.2">
      <c r="A309" s="6"/>
      <c r="B309" s="6"/>
      <c r="C309" s="6"/>
      <c r="D309" s="6"/>
      <c r="E309" s="6"/>
      <c r="F309" s="8"/>
      <c r="G309" s="8"/>
      <c r="H309" s="8"/>
      <c r="I309" s="8"/>
      <c r="J309" s="8"/>
      <c r="K309" s="8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  <c r="K311" s="8"/>
    </row>
    <row r="312" spans="1:11" s="9" customFormat="1" ht="13.2">
      <c r="A312" s="6"/>
      <c r="B312" s="6"/>
      <c r="C312" s="6"/>
      <c r="D312" s="6"/>
      <c r="E312" s="6"/>
      <c r="F312" s="10"/>
      <c r="G312" s="10"/>
      <c r="H312" s="10"/>
      <c r="I312" s="10"/>
      <c r="J312" s="10"/>
      <c r="K312" s="10"/>
    </row>
    <row r="313" spans="1:11" s="9" customFormat="1" ht="13.2">
      <c r="A313" s="6"/>
      <c r="B313" s="6"/>
      <c r="C313" s="6"/>
      <c r="D313" s="6"/>
      <c r="E313" s="6"/>
      <c r="F313" s="11"/>
      <c r="G313" s="11"/>
      <c r="H313" s="11"/>
      <c r="I313" s="11"/>
      <c r="J313" s="11"/>
      <c r="K313" s="11"/>
    </row>
    <row r="314" spans="1:11" s="9" customFormat="1" ht="13.2">
      <c r="A314" s="6"/>
      <c r="B314" s="6"/>
      <c r="C314" s="6"/>
      <c r="D314" s="6"/>
      <c r="E314" s="6"/>
      <c r="F314" s="8"/>
      <c r="G314" s="8"/>
      <c r="H314" s="8"/>
      <c r="I314" s="8"/>
      <c r="J314" s="8"/>
      <c r="K314" s="8"/>
    </row>
    <row r="315" spans="1:11" s="9" customFormat="1" ht="13.2">
      <c r="A315" s="6"/>
      <c r="B315" s="6"/>
      <c r="C315" s="6"/>
      <c r="D315" s="6"/>
      <c r="E315" s="6"/>
      <c r="F315" s="11"/>
      <c r="G315" s="11"/>
      <c r="H315" s="11"/>
      <c r="I315" s="11"/>
      <c r="J315" s="11"/>
      <c r="K315" s="11"/>
    </row>
    <row r="316" spans="1:11" s="9" customFormat="1" ht="13.2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</row>
    <row r="317" spans="1:11" s="9" customFormat="1" ht="13.2">
      <c r="A317" s="6"/>
      <c r="B317" s="6"/>
      <c r="C317" s="6"/>
      <c r="D317" s="6"/>
      <c r="E317" s="6"/>
      <c r="F317" s="8"/>
      <c r="G317" s="8"/>
      <c r="H317" s="8"/>
      <c r="I317" s="8"/>
      <c r="J317" s="8"/>
      <c r="K317" s="8"/>
    </row>
    <row r="318" spans="1:11" s="9" customFormat="1" ht="13.2">
      <c r="A318" s="6"/>
      <c r="B318" s="6"/>
      <c r="C318" s="6"/>
      <c r="D318" s="6"/>
      <c r="E318" s="6"/>
      <c r="F318" s="11"/>
      <c r="G318" s="11"/>
      <c r="H318" s="11"/>
      <c r="I318" s="11"/>
      <c r="J318" s="11"/>
      <c r="K318" s="11"/>
    </row>
    <row r="319" spans="1:11" s="9" customFormat="1" ht="13.2">
      <c r="A319" s="6"/>
      <c r="B319" s="6"/>
      <c r="C319" s="6"/>
      <c r="D319" s="6"/>
      <c r="E319" s="6"/>
      <c r="F319" s="11"/>
      <c r="G319" s="11"/>
      <c r="H319" s="11"/>
      <c r="I319" s="11"/>
      <c r="J319" s="11"/>
      <c r="K319" s="11"/>
    </row>
    <row r="320" spans="1:11" s="9" customFormat="1" ht="13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 s="9" customFormat="1" ht="13.2">
      <c r="A321" s="6"/>
      <c r="B321" s="6"/>
      <c r="C321" s="6"/>
      <c r="D321" s="6"/>
      <c r="E321" s="6"/>
      <c r="F321" s="11"/>
      <c r="G321" s="11"/>
      <c r="H321" s="11"/>
      <c r="I321" s="11"/>
      <c r="J321" s="11"/>
      <c r="K321" s="11"/>
    </row>
    <row r="322" spans="1:11" s="9" customFormat="1" ht="13.2">
      <c r="A322" s="6"/>
      <c r="B322" s="6"/>
      <c r="C322" s="6"/>
      <c r="D322" s="6"/>
      <c r="E322" s="6"/>
      <c r="F322" s="11"/>
      <c r="G322" s="11"/>
      <c r="H322" s="11"/>
      <c r="I322" s="11"/>
      <c r="J322" s="11"/>
      <c r="K322" s="11"/>
    </row>
    <row r="323" spans="1:11" s="9" customFormat="1" ht="13.2">
      <c r="A323" s="6"/>
      <c r="B323" s="6"/>
      <c r="C323" s="6"/>
      <c r="D323" s="6"/>
      <c r="E323" s="6"/>
      <c r="F323" s="8"/>
      <c r="G323" s="8"/>
      <c r="H323" s="8"/>
      <c r="I323" s="8"/>
      <c r="J323" s="8"/>
      <c r="K323" s="8"/>
    </row>
    <row r="324" spans="1:11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  <c r="K324" s="8"/>
    </row>
    <row r="325" spans="1:11" s="9" customFormat="1" ht="13.2">
      <c r="A325" s="6"/>
      <c r="B325" s="6"/>
      <c r="C325" s="6"/>
      <c r="D325" s="6"/>
      <c r="E325" s="6"/>
      <c r="F325" s="8"/>
      <c r="G325" s="8"/>
      <c r="H325" s="8"/>
      <c r="I325" s="8"/>
      <c r="J325" s="8"/>
      <c r="K325" s="8"/>
    </row>
    <row r="326" spans="1:11" s="9" customFormat="1" ht="13.2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</row>
    <row r="327" spans="1:11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</row>
    <row r="328" spans="1:11" s="9" customFormat="1" ht="13.2">
      <c r="A328" s="6"/>
      <c r="B328" s="6"/>
      <c r="C328" s="6"/>
      <c r="D328" s="6"/>
      <c r="E328" s="6"/>
      <c r="F328" s="7"/>
      <c r="G328" s="7"/>
      <c r="H328" s="7"/>
      <c r="I328" s="7"/>
      <c r="J328" s="7"/>
      <c r="K328" s="7"/>
    </row>
    <row r="329" spans="1:11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  <c r="K329" s="7"/>
    </row>
    <row r="330" spans="1:11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  <c r="K330" s="8"/>
    </row>
    <row r="331" spans="1:11" s="9" customFormat="1" ht="13.2">
      <c r="A331" s="6"/>
      <c r="B331" s="6"/>
      <c r="C331" s="6"/>
      <c r="D331" s="6"/>
      <c r="E331" s="6"/>
      <c r="F331" s="11"/>
      <c r="G331" s="11"/>
      <c r="H331" s="11"/>
      <c r="I331" s="11"/>
      <c r="J331" s="11"/>
      <c r="K331" s="11"/>
    </row>
    <row r="332" spans="1:11" s="9" customFormat="1" ht="13.2">
      <c r="A332" s="6"/>
      <c r="B332" s="6"/>
      <c r="C332" s="6"/>
      <c r="D332" s="6"/>
      <c r="E332" s="6"/>
      <c r="F332" s="7"/>
      <c r="G332" s="7"/>
      <c r="H332" s="7"/>
      <c r="I332" s="7"/>
      <c r="J332" s="7"/>
      <c r="K332" s="7"/>
    </row>
    <row r="333" spans="1:11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  <c r="K333" s="8"/>
    </row>
    <row r="334" spans="1:11" s="9" customFormat="1" ht="13.2">
      <c r="A334" s="6"/>
      <c r="B334" s="6"/>
      <c r="C334" s="6"/>
      <c r="D334" s="6"/>
      <c r="E334" s="6"/>
      <c r="F334" s="7"/>
      <c r="G334" s="7"/>
      <c r="H334" s="7"/>
      <c r="I334" s="7"/>
      <c r="J334" s="7"/>
      <c r="K334" s="7"/>
    </row>
    <row r="335" spans="1:11" s="9" customFormat="1" ht="13.2">
      <c r="A335" s="6"/>
      <c r="B335" s="6"/>
      <c r="C335" s="6"/>
      <c r="D335" s="6"/>
      <c r="E335" s="6"/>
      <c r="F335" s="7"/>
      <c r="G335" s="7"/>
      <c r="H335" s="7"/>
      <c r="I335" s="7"/>
      <c r="J335" s="7"/>
      <c r="K335" s="7"/>
    </row>
    <row r="336" spans="1:11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  <c r="K336" s="8"/>
    </row>
    <row r="337" spans="1:11" s="9" customFormat="1" ht="13.2">
      <c r="A337" s="6"/>
      <c r="B337" s="6"/>
      <c r="C337" s="6"/>
      <c r="D337" s="6"/>
      <c r="E337" s="6"/>
      <c r="F337" s="8"/>
      <c r="G337" s="8"/>
      <c r="H337" s="8"/>
      <c r="I337" s="8"/>
      <c r="J337" s="8"/>
      <c r="K337" s="8"/>
    </row>
    <row r="338" spans="1:11" s="9" customFormat="1" ht="13.2">
      <c r="A338" s="6"/>
      <c r="B338" s="6"/>
      <c r="C338" s="6"/>
      <c r="D338" s="6"/>
      <c r="E338" s="6"/>
      <c r="F338" s="8"/>
      <c r="G338" s="8"/>
      <c r="H338" s="8"/>
      <c r="I338" s="8"/>
      <c r="J338" s="8"/>
      <c r="K338" s="8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7"/>
      <c r="G343" s="7"/>
      <c r="H343" s="7"/>
      <c r="I343" s="7"/>
      <c r="J343" s="7"/>
      <c r="K343" s="7"/>
    </row>
    <row r="344" spans="1:11" s="9" customFormat="1" ht="13.2">
      <c r="A344" s="6"/>
      <c r="B344" s="6"/>
      <c r="C344" s="6"/>
      <c r="D344" s="6"/>
      <c r="E344" s="6"/>
      <c r="F344" s="7"/>
      <c r="G344" s="7"/>
      <c r="H344" s="7"/>
      <c r="I344" s="7"/>
      <c r="J344" s="7"/>
      <c r="K344" s="7"/>
    </row>
    <row r="345" spans="1:11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</row>
    <row r="346" spans="1:11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</row>
    <row r="347" spans="1:11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</row>
    <row r="348" spans="1:11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</row>
    <row r="360" spans="1:11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</row>
    <row r="367" spans="1:11" s="9" customFormat="1" ht="13.2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</row>
    <row r="368" spans="1:11" s="9" customFormat="1" ht="13.2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8"/>
      <c r="G371" s="8"/>
      <c r="H371" s="8"/>
      <c r="I371" s="8"/>
      <c r="J371" s="8"/>
      <c r="K371" s="8"/>
    </row>
    <row r="372" spans="1:11" s="9" customFormat="1" ht="13.2">
      <c r="A372" s="6"/>
      <c r="B372" s="6"/>
      <c r="C372" s="6"/>
      <c r="D372" s="6"/>
      <c r="E372" s="6"/>
      <c r="F372" s="10"/>
      <c r="G372" s="10"/>
      <c r="H372" s="10"/>
      <c r="I372" s="10"/>
      <c r="J372" s="10"/>
      <c r="K372" s="10"/>
    </row>
    <row r="373" spans="1:11" s="9" customFormat="1" ht="13.2">
      <c r="A373" s="6"/>
      <c r="B373" s="6"/>
      <c r="C373" s="6"/>
      <c r="D373" s="6"/>
      <c r="E373" s="6"/>
      <c r="F373" s="10"/>
      <c r="G373" s="10"/>
      <c r="H373" s="10"/>
      <c r="I373" s="10"/>
      <c r="J373" s="10"/>
      <c r="K373" s="10"/>
    </row>
    <row r="374" spans="1:11" s="9" customFormat="1" ht="13.2">
      <c r="A374" s="6"/>
      <c r="B374" s="6"/>
      <c r="C374" s="6"/>
      <c r="D374" s="6"/>
      <c r="E374" s="6"/>
      <c r="F374" s="10"/>
      <c r="G374" s="10"/>
      <c r="H374" s="10"/>
      <c r="I374" s="10"/>
      <c r="J374" s="10"/>
      <c r="K374" s="10"/>
    </row>
    <row r="375" spans="1:11" s="9" customFormat="1" ht="13.2">
      <c r="A375" s="6"/>
      <c r="B375" s="6"/>
      <c r="C375" s="6"/>
      <c r="D375" s="6"/>
      <c r="E375" s="6"/>
      <c r="F375" s="8"/>
      <c r="G375" s="8"/>
      <c r="H375" s="8"/>
      <c r="I375" s="8"/>
      <c r="J375" s="8"/>
      <c r="K375" s="8"/>
    </row>
    <row r="376" spans="1:11" s="9" customFormat="1" ht="13.2">
      <c r="A376" s="6"/>
      <c r="B376" s="6"/>
      <c r="C376" s="6"/>
      <c r="D376" s="6"/>
      <c r="E376" s="6"/>
      <c r="F376" s="8"/>
      <c r="G376" s="8"/>
      <c r="H376" s="8"/>
      <c r="I376" s="8"/>
      <c r="J376" s="8"/>
      <c r="K376" s="8"/>
    </row>
    <row r="377" spans="1:11" s="9" customFormat="1" ht="13.2">
      <c r="A377" s="6"/>
      <c r="B377" s="6"/>
      <c r="C377" s="6"/>
      <c r="D377" s="6"/>
      <c r="E377" s="6"/>
      <c r="F377" s="10"/>
      <c r="G377" s="10"/>
      <c r="H377" s="10"/>
      <c r="I377" s="10"/>
      <c r="J377" s="10"/>
      <c r="K377" s="10"/>
    </row>
    <row r="378" spans="1:11" s="9" customFormat="1" ht="13.2">
      <c r="A378" s="6"/>
      <c r="B378" s="6"/>
      <c r="C378" s="6"/>
      <c r="D378" s="6"/>
      <c r="E378" s="6"/>
      <c r="F378" s="10"/>
      <c r="G378" s="10"/>
      <c r="H378" s="10"/>
      <c r="I378" s="10"/>
      <c r="J378" s="10"/>
      <c r="K378" s="10"/>
    </row>
    <row r="379" spans="1:11" s="9" customFormat="1" ht="13.2">
      <c r="A379" s="6"/>
      <c r="B379" s="6"/>
      <c r="C379" s="6"/>
      <c r="D379" s="6"/>
      <c r="E379" s="6"/>
      <c r="F379" s="10"/>
      <c r="G379" s="10"/>
      <c r="H379" s="10"/>
      <c r="I379" s="10"/>
      <c r="J379" s="10"/>
      <c r="K379" s="10"/>
    </row>
    <row r="380" spans="1:11" s="9" customFormat="1" ht="13.2">
      <c r="A380" s="6"/>
      <c r="B380" s="6"/>
      <c r="C380" s="6"/>
      <c r="D380" s="6"/>
      <c r="E380" s="6"/>
      <c r="F380" s="8"/>
      <c r="G380" s="8"/>
      <c r="H380" s="8"/>
      <c r="I380" s="8"/>
      <c r="J380" s="8"/>
      <c r="K380" s="8"/>
    </row>
    <row r="381" spans="1:11" s="9" customFormat="1" ht="13.2">
      <c r="A381" s="6"/>
      <c r="B381" s="6"/>
      <c r="C381" s="6"/>
      <c r="D381" s="6"/>
      <c r="E381" s="6"/>
      <c r="F381" s="8"/>
      <c r="G381" s="8"/>
      <c r="H381" s="8"/>
      <c r="I381" s="8"/>
      <c r="J381" s="8"/>
      <c r="K381" s="8"/>
    </row>
    <row r="382" spans="1:11" s="9" customFormat="1" ht="13.2">
      <c r="A382" s="6"/>
      <c r="B382" s="6"/>
      <c r="C382" s="6"/>
      <c r="D382" s="6"/>
      <c r="E382" s="6"/>
      <c r="F382" s="8"/>
      <c r="G382" s="8"/>
      <c r="H382" s="8"/>
      <c r="I382" s="8"/>
      <c r="J382" s="8"/>
      <c r="K382" s="8"/>
    </row>
    <row r="383" spans="1:11" s="9" customFormat="1" ht="13.2">
      <c r="A383" s="6"/>
      <c r="B383" s="6"/>
      <c r="C383" s="6"/>
      <c r="D383" s="6"/>
      <c r="E383" s="6"/>
      <c r="F383" s="12"/>
      <c r="G383" s="12"/>
      <c r="H383" s="12"/>
      <c r="I383" s="12"/>
      <c r="J383" s="12"/>
      <c r="K383" s="12"/>
    </row>
    <row r="384" spans="1:11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  <c r="K384" s="12"/>
    </row>
    <row r="385" spans="1:11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  <c r="K385" s="12"/>
    </row>
    <row r="386" spans="1:11" s="9" customFormat="1" ht="13.2">
      <c r="A386" s="13"/>
      <c r="B386" s="13"/>
      <c r="C386" s="13"/>
      <c r="D386" s="13"/>
      <c r="E386" s="13"/>
      <c r="F386" s="12"/>
      <c r="G386" s="12"/>
      <c r="H386" s="12"/>
      <c r="I386" s="12"/>
      <c r="J386" s="12"/>
      <c r="K386" s="12"/>
    </row>
    <row r="387" spans="1:11" s="9" customFormat="1" ht="13.2">
      <c r="A387" s="13"/>
      <c r="B387" s="13"/>
      <c r="C387" s="13"/>
      <c r="D387" s="13"/>
      <c r="E387" s="13"/>
      <c r="F387" s="12"/>
      <c r="G387" s="12"/>
      <c r="H387" s="12"/>
      <c r="I387" s="12"/>
      <c r="J387" s="12"/>
      <c r="K387" s="12"/>
    </row>
    <row r="388" spans="1:11" s="9" customFormat="1" ht="13.2">
      <c r="A388" s="13"/>
      <c r="B388" s="13"/>
      <c r="C388" s="13"/>
      <c r="D388" s="13"/>
      <c r="E388" s="13"/>
      <c r="F388" s="12"/>
      <c r="G388" s="12"/>
      <c r="H388" s="12"/>
      <c r="I388" s="12"/>
      <c r="J388" s="12"/>
      <c r="K388" s="12"/>
    </row>
    <row r="389" spans="1:11" s="9" customFormat="1" ht="13.2">
      <c r="A389" s="13"/>
      <c r="B389" s="13"/>
      <c r="C389" s="13"/>
      <c r="D389" s="13"/>
      <c r="E389" s="13"/>
      <c r="F389" s="12"/>
      <c r="G389" s="12"/>
      <c r="H389" s="12"/>
      <c r="I389" s="12"/>
      <c r="J389" s="12"/>
      <c r="K389" s="12"/>
    </row>
    <row r="390" spans="1:11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</row>
    <row r="391" spans="1:11" s="9" customFormat="1" ht="13.2">
      <c r="A391" s="13"/>
      <c r="B391" s="13"/>
      <c r="C391" s="13"/>
      <c r="D391" s="13"/>
      <c r="E391" s="13"/>
      <c r="F391" s="12"/>
      <c r="G391" s="12"/>
      <c r="H391" s="12"/>
      <c r="I391" s="12"/>
      <c r="J391" s="12"/>
      <c r="K391" s="12"/>
    </row>
    <row r="392" spans="1:11" s="9" customFormat="1" ht="13.2">
      <c r="A392" s="13"/>
      <c r="B392" s="13"/>
      <c r="C392" s="13"/>
      <c r="D392" s="13"/>
      <c r="E392" s="13"/>
      <c r="F392" s="11"/>
      <c r="G392" s="11"/>
      <c r="H392" s="11"/>
      <c r="I392" s="11"/>
      <c r="J392" s="11"/>
      <c r="K392" s="11"/>
    </row>
    <row r="393" spans="1:11" s="9" customFormat="1" ht="13.2">
      <c r="A393" s="13"/>
      <c r="B393" s="13"/>
      <c r="C393" s="13"/>
      <c r="D393" s="13"/>
      <c r="E393" s="13"/>
      <c r="F393" s="11"/>
      <c r="G393" s="11"/>
      <c r="H393" s="11"/>
      <c r="I393" s="11"/>
      <c r="J393" s="11"/>
      <c r="K393" s="11"/>
    </row>
    <row r="394" spans="1:11" s="9" customFormat="1" ht="13.2">
      <c r="A394" s="13"/>
      <c r="B394" s="13"/>
      <c r="C394" s="13"/>
      <c r="D394" s="13"/>
      <c r="E394" s="13"/>
      <c r="F394" s="11"/>
      <c r="G394" s="11"/>
      <c r="H394" s="11"/>
      <c r="I394" s="11"/>
      <c r="J394" s="11"/>
      <c r="K394" s="11"/>
    </row>
    <row r="395" spans="1:11" s="9" customFormat="1" ht="13.2">
      <c r="A395" s="13"/>
      <c r="B395" s="13"/>
      <c r="C395" s="13"/>
      <c r="D395" s="13"/>
      <c r="E395" s="13"/>
      <c r="F395" s="11"/>
      <c r="G395" s="11"/>
      <c r="H395" s="11"/>
      <c r="I395" s="11"/>
      <c r="J395" s="11"/>
      <c r="K395" s="11"/>
    </row>
    <row r="396" spans="1:11" s="9" customFormat="1" ht="13.2">
      <c r="A396" s="13"/>
      <c r="B396" s="13"/>
      <c r="C396" s="13"/>
      <c r="D396" s="13"/>
      <c r="E396" s="13"/>
      <c r="F396" s="12"/>
      <c r="G396" s="12"/>
      <c r="H396" s="12"/>
      <c r="I396" s="12"/>
      <c r="J396" s="12"/>
      <c r="K396" s="12"/>
    </row>
    <row r="397" spans="1:11" s="9" customFormat="1" ht="13.2">
      <c r="A397" s="13"/>
      <c r="B397" s="13"/>
      <c r="C397" s="13"/>
      <c r="D397" s="13"/>
      <c r="E397" s="13"/>
      <c r="F397" s="12"/>
      <c r="G397" s="12"/>
      <c r="H397" s="12"/>
      <c r="I397" s="12"/>
      <c r="J397" s="12"/>
      <c r="K397" s="12"/>
    </row>
    <row r="398" spans="1:11" s="9" customFormat="1" ht="13.2">
      <c r="A398" s="13"/>
      <c r="B398" s="13"/>
      <c r="C398" s="13"/>
      <c r="D398" s="13"/>
      <c r="E398" s="13"/>
      <c r="F398" s="12"/>
      <c r="G398" s="12"/>
      <c r="H398" s="12"/>
      <c r="I398" s="12"/>
      <c r="J398" s="12"/>
      <c r="K398" s="12"/>
    </row>
    <row r="399" spans="1:11" s="9" customFormat="1" ht="13.2">
      <c r="A399" s="13"/>
      <c r="B399" s="13"/>
      <c r="C399" s="13"/>
      <c r="D399" s="13"/>
      <c r="E399" s="13"/>
      <c r="F399" s="8"/>
      <c r="G399" s="8"/>
      <c r="H399" s="8"/>
      <c r="I399" s="8"/>
      <c r="J399" s="8"/>
      <c r="K399" s="8"/>
    </row>
    <row r="400" spans="1:11" s="9" customFormat="1" ht="13.2">
      <c r="A400" s="13"/>
      <c r="B400" s="13"/>
      <c r="C400" s="13"/>
      <c r="D400" s="13"/>
      <c r="E400" s="13"/>
      <c r="F400" s="12"/>
      <c r="G400" s="12"/>
      <c r="H400" s="12"/>
      <c r="I400" s="12"/>
      <c r="J400" s="12"/>
      <c r="K400" s="12"/>
    </row>
    <row r="401" spans="1:11" s="9" customFormat="1" ht="13.2">
      <c r="A401" s="13"/>
      <c r="B401" s="13"/>
      <c r="C401" s="13"/>
      <c r="D401" s="13"/>
      <c r="E401" s="13"/>
      <c r="F401" s="12"/>
      <c r="G401" s="12"/>
      <c r="H401" s="12"/>
      <c r="I401" s="12"/>
      <c r="J401" s="12"/>
      <c r="K401" s="12"/>
    </row>
    <row r="402" spans="1:11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  <c r="K402" s="14"/>
    </row>
    <row r="403" spans="1:11" s="9" customFormat="1" ht="13.2">
      <c r="A403" s="13"/>
      <c r="B403" s="13"/>
      <c r="C403" s="13"/>
      <c r="D403" s="13"/>
      <c r="E403" s="13"/>
      <c r="F403" s="14"/>
      <c r="G403" s="14"/>
      <c r="H403" s="14"/>
      <c r="I403" s="14"/>
      <c r="J403" s="14"/>
      <c r="K403" s="14"/>
    </row>
    <row r="404" spans="1:11" s="9" customFormat="1" ht="13.2">
      <c r="A404" s="13"/>
      <c r="B404" s="13"/>
      <c r="C404" s="13"/>
      <c r="D404" s="13"/>
      <c r="E404" s="13"/>
      <c r="F404" s="14"/>
      <c r="G404" s="14"/>
      <c r="H404" s="14"/>
      <c r="I404" s="14"/>
      <c r="J404" s="14"/>
      <c r="K404" s="14"/>
    </row>
    <row r="405" spans="1:11" s="9" customFormat="1" ht="13.2">
      <c r="A405" s="13"/>
      <c r="B405" s="13"/>
      <c r="C405" s="13"/>
      <c r="D405" s="13"/>
      <c r="E405" s="13"/>
      <c r="F405" s="14"/>
      <c r="G405" s="14"/>
      <c r="H405" s="14"/>
      <c r="I405" s="14"/>
      <c r="J405" s="14"/>
      <c r="K405" s="14"/>
    </row>
    <row r="406" spans="1:11" s="9" customFormat="1" ht="13.2">
      <c r="A406" s="13"/>
      <c r="B406" s="13"/>
      <c r="C406" s="13"/>
      <c r="D406" s="13"/>
      <c r="E406" s="13"/>
      <c r="F406" s="14"/>
      <c r="G406" s="14"/>
      <c r="H406" s="14"/>
      <c r="I406" s="14"/>
      <c r="J406" s="14"/>
      <c r="K406" s="14"/>
    </row>
    <row r="407" spans="1:11" s="9" customFormat="1" ht="13.2">
      <c r="A407" s="13"/>
      <c r="B407" s="13"/>
      <c r="C407" s="13"/>
      <c r="D407" s="13"/>
      <c r="E407" s="13"/>
      <c r="F407" s="14"/>
      <c r="G407" s="14"/>
      <c r="H407" s="14"/>
      <c r="I407" s="14"/>
      <c r="J407" s="14"/>
      <c r="K407" s="14"/>
    </row>
    <row r="408" spans="1:11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</row>
    <row r="409" spans="1:11" s="9" customFormat="1" ht="13.2">
      <c r="A409" s="13"/>
      <c r="B409" s="13"/>
      <c r="C409" s="13"/>
      <c r="D409" s="13"/>
      <c r="E409" s="13"/>
      <c r="F409" s="10"/>
      <c r="G409" s="10"/>
      <c r="H409" s="10"/>
      <c r="I409" s="10"/>
      <c r="J409" s="10"/>
      <c r="K409" s="10"/>
    </row>
    <row r="410" spans="1:11" s="9" customFormat="1" ht="13.2">
      <c r="A410" s="13"/>
      <c r="B410" s="13"/>
      <c r="C410" s="13"/>
      <c r="D410" s="13"/>
      <c r="E410" s="13"/>
      <c r="F410" s="14"/>
      <c r="G410" s="14"/>
      <c r="H410" s="14"/>
      <c r="I410" s="14"/>
      <c r="J410" s="14"/>
      <c r="K410" s="14"/>
    </row>
    <row r="411" spans="1:11" s="9" customFormat="1" ht="13.2">
      <c r="A411" s="13"/>
      <c r="B411" s="13"/>
      <c r="C411" s="13"/>
      <c r="D411" s="13"/>
      <c r="E411" s="13"/>
      <c r="F411" s="14"/>
      <c r="G411" s="14"/>
      <c r="H411" s="14"/>
      <c r="I411" s="14"/>
      <c r="J411" s="14"/>
      <c r="K411" s="14"/>
    </row>
    <row r="412" spans="1:11" s="9" customFormat="1" ht="13.2">
      <c r="A412" s="13"/>
      <c r="B412" s="13"/>
      <c r="C412" s="13"/>
      <c r="D412" s="13"/>
      <c r="E412" s="13"/>
      <c r="F412" s="14"/>
      <c r="G412" s="14"/>
      <c r="H412" s="14"/>
      <c r="I412" s="14"/>
      <c r="J412" s="14"/>
      <c r="K412" s="14"/>
    </row>
    <row r="413" spans="1:11" s="9" customFormat="1" ht="13.2">
      <c r="A413" s="13"/>
      <c r="B413" s="13"/>
      <c r="C413" s="13"/>
      <c r="D413" s="13"/>
      <c r="E413" s="13"/>
      <c r="F413" s="8"/>
      <c r="G413" s="8"/>
      <c r="H413" s="8"/>
      <c r="I413" s="8"/>
      <c r="J413" s="8"/>
      <c r="K413" s="8"/>
    </row>
    <row r="414" spans="1:11" s="9" customFormat="1" ht="13.2">
      <c r="A414" s="13"/>
      <c r="B414" s="13"/>
      <c r="C414" s="13"/>
      <c r="D414" s="13"/>
      <c r="E414" s="13"/>
      <c r="F414" s="14"/>
      <c r="G414" s="14"/>
      <c r="H414" s="14"/>
      <c r="I414" s="14"/>
      <c r="J414" s="14"/>
      <c r="K414" s="14"/>
    </row>
    <row r="415" spans="1:11" s="9" customFormat="1" ht="13.2">
      <c r="A415" s="13"/>
      <c r="B415" s="13"/>
      <c r="C415" s="13"/>
      <c r="D415" s="13"/>
      <c r="E415" s="13"/>
      <c r="F415" s="10"/>
      <c r="G415" s="10"/>
      <c r="H415" s="10"/>
      <c r="I415" s="10"/>
      <c r="J415" s="10"/>
      <c r="K415" s="10"/>
    </row>
    <row r="416" spans="1:11" s="9" customFormat="1" ht="13.2">
      <c r="A416" s="13"/>
      <c r="B416" s="13"/>
      <c r="C416" s="13"/>
      <c r="D416" s="13"/>
      <c r="E416" s="13"/>
      <c r="F416" s="12"/>
      <c r="G416" s="12"/>
      <c r="H416" s="12"/>
      <c r="I416" s="12"/>
      <c r="J416" s="12"/>
      <c r="K416" s="12"/>
    </row>
    <row r="417" spans="1:11" s="9" customFormat="1" ht="13.2">
      <c r="A417" s="13"/>
      <c r="B417" s="13"/>
      <c r="C417" s="13"/>
      <c r="D417" s="13"/>
      <c r="E417" s="13"/>
      <c r="F417" s="12"/>
      <c r="G417" s="12"/>
      <c r="H417" s="12"/>
      <c r="I417" s="12"/>
      <c r="J417" s="12"/>
      <c r="K417" s="12"/>
    </row>
    <row r="418" spans="1:11" s="9" customFormat="1" ht="13.2">
      <c r="A418" s="13"/>
      <c r="B418" s="13"/>
      <c r="C418" s="13"/>
      <c r="D418" s="13"/>
      <c r="E418" s="13"/>
      <c r="F418" s="12"/>
      <c r="G418" s="12"/>
      <c r="H418" s="12"/>
      <c r="I418" s="12"/>
      <c r="J418" s="12"/>
      <c r="K418" s="12"/>
    </row>
    <row r="419" spans="1:11" s="9" customFormat="1" ht="13.2">
      <c r="A419" s="13"/>
      <c r="B419" s="13"/>
      <c r="C419" s="13"/>
      <c r="D419" s="13"/>
      <c r="E419" s="13"/>
      <c r="F419" s="12"/>
      <c r="G419" s="12"/>
      <c r="H419" s="12"/>
      <c r="I419" s="12"/>
      <c r="J419" s="12"/>
      <c r="K419" s="12"/>
    </row>
    <row r="420" spans="1:11" s="9" customFormat="1" ht="13.2">
      <c r="A420" s="13"/>
      <c r="B420" s="13"/>
      <c r="C420" s="13"/>
      <c r="D420" s="13"/>
      <c r="E420" s="13"/>
      <c r="F420" s="12"/>
      <c r="G420" s="12"/>
      <c r="H420" s="12"/>
      <c r="I420" s="12"/>
      <c r="J420" s="12"/>
      <c r="K420" s="12"/>
    </row>
    <row r="421" spans="1:11" s="9" customFormat="1" ht="13.2">
      <c r="A421" s="13"/>
      <c r="B421" s="13"/>
      <c r="C421" s="13"/>
      <c r="D421" s="13"/>
      <c r="E421" s="13"/>
      <c r="F421" s="12"/>
      <c r="G421" s="12"/>
      <c r="H421" s="12"/>
      <c r="I421" s="12"/>
      <c r="J421" s="12"/>
      <c r="K421" s="12"/>
    </row>
    <row r="422" spans="1:11" s="9" customFormat="1" ht="13.2">
      <c r="A422" s="13"/>
      <c r="B422" s="13"/>
      <c r="C422" s="13"/>
      <c r="D422" s="13"/>
      <c r="E422" s="13"/>
      <c r="F422" s="14"/>
      <c r="G422" s="14"/>
      <c r="H422" s="14"/>
      <c r="I422" s="14"/>
      <c r="J422" s="14"/>
      <c r="K422" s="14"/>
    </row>
    <row r="423" spans="1:11" s="9" customFormat="1" ht="13.2">
      <c r="A423" s="13"/>
      <c r="B423" s="13"/>
      <c r="C423" s="13"/>
      <c r="D423" s="13"/>
      <c r="E423" s="13"/>
      <c r="F423" s="8"/>
      <c r="G423" s="8"/>
      <c r="H423" s="8"/>
      <c r="I423" s="8"/>
      <c r="J423" s="8"/>
      <c r="K423" s="8"/>
    </row>
    <row r="424" spans="1:11" s="9" customFormat="1" ht="13.2">
      <c r="A424" s="13"/>
      <c r="B424" s="13"/>
      <c r="C424" s="13"/>
      <c r="D424" s="13"/>
      <c r="E424" s="13"/>
      <c r="F424" s="8"/>
      <c r="G424" s="8"/>
      <c r="H424" s="8"/>
      <c r="I424" s="8"/>
      <c r="J424" s="8"/>
      <c r="K424" s="8"/>
    </row>
    <row r="425" spans="1:11" s="9" customFormat="1" ht="13.2">
      <c r="A425" s="13"/>
      <c r="B425" s="13"/>
      <c r="C425" s="13"/>
      <c r="D425" s="13"/>
      <c r="E425" s="13"/>
      <c r="F425" s="8"/>
      <c r="G425" s="8"/>
      <c r="H425" s="8"/>
      <c r="I425" s="8"/>
      <c r="J425" s="8"/>
      <c r="K425" s="8"/>
    </row>
    <row r="426" spans="1:11" s="9" customFormat="1" ht="13.2">
      <c r="A426" s="13"/>
      <c r="B426" s="13"/>
      <c r="C426" s="13"/>
      <c r="D426" s="13"/>
      <c r="E426" s="13"/>
      <c r="F426" s="8"/>
      <c r="G426" s="8"/>
      <c r="H426" s="8"/>
      <c r="I426" s="8"/>
      <c r="J426" s="8"/>
      <c r="K426" s="8"/>
    </row>
    <row r="427" spans="1:11" s="9" customFormat="1" ht="13.2">
      <c r="A427" s="13"/>
      <c r="B427" s="13"/>
      <c r="C427" s="13"/>
      <c r="D427" s="13"/>
      <c r="E427" s="13"/>
      <c r="F427" s="8"/>
      <c r="G427" s="8"/>
      <c r="H427" s="8"/>
      <c r="I427" s="8"/>
      <c r="J427" s="8"/>
      <c r="K427" s="8"/>
    </row>
    <row r="428" spans="1:11" s="9" customFormat="1" ht="13.2">
      <c r="A428" s="13"/>
      <c r="B428" s="13"/>
      <c r="C428" s="13"/>
      <c r="D428" s="13"/>
      <c r="E428" s="13"/>
      <c r="F428" s="8"/>
      <c r="G428" s="8"/>
      <c r="H428" s="8"/>
      <c r="I428" s="8"/>
      <c r="J428" s="8"/>
      <c r="K428" s="8"/>
    </row>
    <row r="429" spans="1:11" s="9" customFormat="1" ht="13.2">
      <c r="A429" s="13"/>
      <c r="B429" s="13"/>
      <c r="C429" s="13"/>
      <c r="D429" s="13"/>
      <c r="E429" s="13"/>
      <c r="F429" s="10"/>
      <c r="G429" s="10"/>
      <c r="H429" s="10"/>
      <c r="I429" s="10"/>
      <c r="J429" s="10"/>
      <c r="K429" s="10"/>
    </row>
    <row r="430" spans="1:11" s="9" customFormat="1" ht="13.2">
      <c r="A430" s="13"/>
      <c r="B430" s="13"/>
      <c r="C430" s="13"/>
      <c r="D430" s="13"/>
      <c r="E430" s="13"/>
      <c r="F430" s="10"/>
      <c r="G430" s="10"/>
      <c r="H430" s="10"/>
      <c r="I430" s="10"/>
      <c r="J430" s="10"/>
      <c r="K430" s="10"/>
    </row>
    <row r="431" spans="1:11" s="9" customFormat="1" ht="13.2">
      <c r="A431" s="13"/>
      <c r="B431" s="13"/>
      <c r="C431" s="13"/>
      <c r="D431" s="13"/>
      <c r="E431" s="13"/>
      <c r="F431" s="10"/>
      <c r="G431" s="10"/>
      <c r="H431" s="10"/>
      <c r="I431" s="10"/>
      <c r="J431" s="10"/>
      <c r="K431" s="10"/>
    </row>
    <row r="432" spans="1:11" s="9" customFormat="1" ht="13.2">
      <c r="A432" s="13"/>
      <c r="B432" s="13"/>
      <c r="C432" s="13"/>
      <c r="D432" s="13"/>
      <c r="E432" s="13"/>
      <c r="F432" s="10"/>
      <c r="G432" s="10"/>
      <c r="H432" s="10"/>
      <c r="I432" s="10"/>
      <c r="J432" s="10"/>
      <c r="K432" s="10"/>
    </row>
    <row r="433" spans="1:11" s="9" customFormat="1" ht="13.2">
      <c r="A433" s="13"/>
      <c r="B433" s="13"/>
      <c r="C433" s="13"/>
      <c r="D433" s="13"/>
      <c r="E433" s="13"/>
      <c r="F433" s="12"/>
      <c r="G433" s="12"/>
      <c r="H433" s="12"/>
      <c r="I433" s="12"/>
      <c r="J433" s="12"/>
      <c r="K433" s="12"/>
    </row>
    <row r="434" spans="1:11" s="9" customFormat="1" ht="13.2">
      <c r="A434" s="13"/>
      <c r="B434" s="13"/>
      <c r="C434" s="13"/>
      <c r="D434" s="13"/>
      <c r="E434" s="13"/>
      <c r="F434" s="12"/>
      <c r="G434" s="12"/>
      <c r="H434" s="12"/>
      <c r="I434" s="12"/>
      <c r="J434" s="12"/>
      <c r="K434" s="12"/>
    </row>
    <row r="435" spans="1:11" s="9" customFormat="1" ht="13.2">
      <c r="A435" s="13"/>
      <c r="B435" s="13"/>
      <c r="C435" s="13"/>
      <c r="D435" s="13"/>
      <c r="E435" s="13"/>
      <c r="F435" s="12"/>
      <c r="G435" s="12"/>
      <c r="H435" s="12"/>
      <c r="I435" s="12"/>
      <c r="J435" s="12"/>
      <c r="K435" s="12"/>
    </row>
    <row r="436" spans="1:11" s="9" customFormat="1" ht="13.2">
      <c r="A436" s="13"/>
      <c r="B436" s="13"/>
      <c r="C436" s="13"/>
      <c r="D436" s="13"/>
      <c r="E436" s="13"/>
      <c r="F436" s="8"/>
      <c r="G436" s="8"/>
      <c r="H436" s="8"/>
      <c r="I436" s="8"/>
      <c r="J436" s="8"/>
      <c r="K436" s="8"/>
    </row>
    <row r="437" spans="1:11" s="9" customFormat="1" ht="13.2">
      <c r="A437" s="13"/>
      <c r="B437" s="13"/>
      <c r="C437" s="13"/>
      <c r="D437" s="13"/>
      <c r="E437" s="13"/>
      <c r="F437" s="8"/>
      <c r="G437" s="8"/>
      <c r="H437" s="8"/>
      <c r="I437" s="8"/>
      <c r="J437" s="8"/>
      <c r="K437" s="8"/>
    </row>
    <row r="438" spans="1:11" s="9" customFormat="1" ht="13.2">
      <c r="A438" s="13"/>
      <c r="B438" s="13"/>
      <c r="C438" s="13"/>
      <c r="D438" s="13"/>
      <c r="E438" s="13"/>
      <c r="F438" s="12"/>
      <c r="G438" s="12"/>
      <c r="H438" s="12"/>
      <c r="I438" s="12"/>
      <c r="J438" s="12"/>
      <c r="K438" s="12"/>
    </row>
    <row r="439" spans="1:11" s="9" customFormat="1" ht="13.2">
      <c r="A439" s="13"/>
      <c r="B439" s="13"/>
      <c r="C439" s="13"/>
      <c r="D439" s="13"/>
      <c r="E439" s="13"/>
      <c r="F439" s="12"/>
      <c r="G439" s="12"/>
      <c r="H439" s="12"/>
      <c r="I439" s="12"/>
      <c r="J439" s="12"/>
      <c r="K439" s="12"/>
    </row>
    <row r="440" spans="1:11" s="9" customFormat="1" ht="13.2">
      <c r="A440" s="13"/>
      <c r="B440" s="13"/>
      <c r="C440" s="13"/>
      <c r="D440" s="13"/>
      <c r="E440" s="13"/>
      <c r="F440" s="8"/>
      <c r="G440" s="8"/>
      <c r="H440" s="8"/>
      <c r="I440" s="8"/>
      <c r="J440" s="8"/>
      <c r="K440" s="8"/>
    </row>
    <row r="441" spans="1:11" s="9" customFormat="1" ht="13.2">
      <c r="A441" s="13"/>
      <c r="B441" s="13"/>
      <c r="C441" s="13"/>
      <c r="D441" s="13"/>
      <c r="E441" s="13"/>
      <c r="F441" s="8"/>
      <c r="G441" s="8"/>
      <c r="H441" s="8"/>
      <c r="I441" s="8"/>
      <c r="J441" s="8"/>
      <c r="K441" s="8"/>
    </row>
    <row r="442" spans="1:11" s="9" customFormat="1" ht="13.2">
      <c r="A442" s="13"/>
      <c r="B442" s="13"/>
      <c r="C442" s="13"/>
      <c r="D442" s="13"/>
      <c r="E442" s="13"/>
      <c r="F442" s="8"/>
      <c r="G442" s="8"/>
      <c r="H442" s="8"/>
      <c r="I442" s="8"/>
      <c r="J442" s="8"/>
      <c r="K442" s="8"/>
    </row>
    <row r="443" spans="1:11" s="9" customFormat="1" ht="13.2">
      <c r="A443" s="13"/>
      <c r="B443" s="13"/>
      <c r="C443" s="13"/>
      <c r="D443" s="13"/>
      <c r="E443" s="13"/>
      <c r="F443" s="8"/>
      <c r="G443" s="8"/>
      <c r="H443" s="8"/>
      <c r="I443" s="8"/>
      <c r="J443" s="8"/>
      <c r="K443" s="8"/>
    </row>
    <row r="444" spans="1:11" s="9" customFormat="1" ht="13.2">
      <c r="A444" s="13"/>
      <c r="B444" s="13"/>
      <c r="C444" s="13"/>
      <c r="D444" s="13"/>
      <c r="E444" s="13"/>
      <c r="F444" s="8"/>
      <c r="G444" s="8"/>
      <c r="H444" s="8"/>
      <c r="I444" s="8"/>
      <c r="J444" s="8"/>
      <c r="K444" s="8"/>
    </row>
    <row r="445" spans="1:11" s="9" customFormat="1" ht="13.2">
      <c r="A445" s="13"/>
      <c r="B445" s="13"/>
      <c r="C445" s="13"/>
      <c r="D445" s="13"/>
      <c r="E445" s="13"/>
      <c r="F445" s="8"/>
      <c r="G445" s="8"/>
      <c r="H445" s="8"/>
      <c r="I445" s="8"/>
      <c r="J445" s="8"/>
      <c r="K445" s="8"/>
    </row>
    <row r="446" spans="1:11" s="9" customFormat="1" ht="13.2">
      <c r="A446" s="13"/>
      <c r="B446" s="13"/>
      <c r="C446" s="13"/>
      <c r="D446" s="13"/>
      <c r="E446" s="13"/>
      <c r="F446" s="11"/>
      <c r="G446" s="11"/>
      <c r="H446" s="11"/>
      <c r="I446" s="11"/>
      <c r="J446" s="11"/>
      <c r="K446" s="11"/>
    </row>
    <row r="447" spans="1:11" s="9" customFormat="1" ht="13.2">
      <c r="A447" s="13"/>
      <c r="B447" s="13"/>
      <c r="C447" s="13"/>
      <c r="D447" s="13"/>
      <c r="E447" s="13"/>
      <c r="F447" s="11"/>
      <c r="G447" s="11"/>
      <c r="H447" s="11"/>
      <c r="I447" s="11"/>
      <c r="J447" s="11"/>
      <c r="K447" s="11"/>
    </row>
    <row r="448" spans="1:11" s="9" customFormat="1" ht="13.2">
      <c r="A448" s="13"/>
      <c r="B448" s="13"/>
      <c r="C448" s="13"/>
      <c r="D448" s="13"/>
      <c r="E448" s="13"/>
      <c r="F448" s="11"/>
      <c r="G448" s="11"/>
      <c r="H448" s="11"/>
      <c r="I448" s="11"/>
      <c r="J448" s="11"/>
      <c r="K448" s="11"/>
    </row>
    <row r="449" spans="1:11" s="9" customFormat="1" ht="13.2">
      <c r="A449" s="13"/>
      <c r="B449" s="13"/>
      <c r="C449" s="13"/>
      <c r="D449" s="13"/>
      <c r="E449" s="13"/>
      <c r="F449" s="11"/>
      <c r="G449" s="11"/>
      <c r="H449" s="11"/>
      <c r="I449" s="11"/>
      <c r="J449" s="11"/>
      <c r="K449" s="11"/>
    </row>
    <row r="450" spans="1:11" s="9" customFormat="1" ht="13.2">
      <c r="A450" s="15"/>
      <c r="B450" s="15"/>
      <c r="C450" s="15"/>
      <c r="D450" s="15"/>
      <c r="E450" s="15"/>
      <c r="F450" s="12"/>
      <c r="G450" s="12"/>
      <c r="H450" s="12"/>
      <c r="I450" s="12"/>
      <c r="J450" s="12"/>
      <c r="K450" s="12"/>
    </row>
    <row r="451" spans="1:11" s="9" customFormat="1" ht="13.2">
      <c r="A451" s="15"/>
      <c r="B451" s="15"/>
      <c r="C451" s="15"/>
      <c r="D451" s="15"/>
      <c r="E451" s="15"/>
      <c r="F451" s="11"/>
      <c r="G451" s="11"/>
      <c r="H451" s="11"/>
      <c r="I451" s="11"/>
      <c r="J451" s="11"/>
      <c r="K451" s="11"/>
    </row>
    <row r="452" spans="1:11" s="9" customFormat="1" ht="13.2">
      <c r="A452" s="15"/>
      <c r="B452" s="15"/>
      <c r="C452" s="15"/>
      <c r="D452" s="15"/>
      <c r="E452" s="15"/>
      <c r="F452" s="12"/>
      <c r="G452" s="12"/>
      <c r="H452" s="12"/>
      <c r="I452" s="12"/>
      <c r="J452" s="12"/>
      <c r="K452" s="12"/>
    </row>
    <row r="453" spans="1:11" s="9" customFormat="1" ht="13.2">
      <c r="A453" s="15"/>
      <c r="B453" s="15"/>
      <c r="C453" s="15"/>
      <c r="D453" s="15"/>
      <c r="E453" s="15"/>
      <c r="F453" s="12"/>
      <c r="G453" s="12"/>
      <c r="H453" s="12"/>
      <c r="I453" s="12"/>
      <c r="J453" s="12"/>
      <c r="K453" s="12"/>
    </row>
    <row r="454" spans="1:11" s="9" customFormat="1" ht="13.2">
      <c r="A454" s="15"/>
      <c r="B454" s="15"/>
      <c r="C454" s="15"/>
      <c r="D454" s="15"/>
      <c r="E454" s="15"/>
      <c r="F454" s="12"/>
      <c r="G454" s="12"/>
      <c r="H454" s="12"/>
      <c r="I454" s="12"/>
      <c r="J454" s="12"/>
      <c r="K454" s="12"/>
    </row>
    <row r="455" spans="1:11" s="9" customFormat="1" ht="13.2">
      <c r="A455" s="15"/>
      <c r="B455" s="15"/>
      <c r="C455" s="15"/>
      <c r="D455" s="15"/>
      <c r="E455" s="15"/>
      <c r="F455" s="12"/>
      <c r="G455" s="12"/>
      <c r="H455" s="12"/>
      <c r="I455" s="12"/>
      <c r="J455" s="12"/>
      <c r="K455" s="12"/>
    </row>
    <row r="456" spans="1:11" s="9" customFormat="1" ht="13.2">
      <c r="A456" s="15"/>
      <c r="B456" s="15"/>
      <c r="C456" s="15"/>
      <c r="D456" s="15"/>
      <c r="E456" s="15"/>
      <c r="F456" s="12"/>
      <c r="G456" s="12"/>
      <c r="H456" s="12"/>
      <c r="I456" s="12"/>
      <c r="J456" s="12"/>
      <c r="K456" s="12"/>
    </row>
    <row r="457" spans="1:11" s="9" customFormat="1" ht="13.2">
      <c r="A457" s="15"/>
      <c r="B457" s="15"/>
      <c r="C457" s="15"/>
      <c r="D457" s="15"/>
      <c r="E457" s="15"/>
      <c r="F457" s="12"/>
      <c r="G457" s="12"/>
      <c r="H457" s="12"/>
      <c r="I457" s="12"/>
      <c r="J457" s="12"/>
      <c r="K457" s="12"/>
    </row>
    <row r="458" spans="1:11" s="9" customFormat="1" ht="13.2">
      <c r="A458" s="15"/>
      <c r="B458" s="15"/>
      <c r="C458" s="15"/>
      <c r="D458" s="15"/>
      <c r="E458" s="15"/>
      <c r="F458" s="8"/>
      <c r="G458" s="8"/>
      <c r="H458" s="8"/>
      <c r="I458" s="8"/>
      <c r="J458" s="8"/>
      <c r="K458" s="8"/>
    </row>
    <row r="459" spans="1:11" s="9" customFormat="1" ht="13.2">
      <c r="A459" s="15"/>
      <c r="B459" s="15"/>
      <c r="C459" s="15"/>
      <c r="D459" s="15"/>
      <c r="E459" s="15"/>
      <c r="F459" s="12"/>
      <c r="G459" s="12"/>
      <c r="H459" s="12"/>
      <c r="I459" s="12"/>
      <c r="J459" s="12"/>
      <c r="K459" s="12"/>
    </row>
    <row r="460" spans="1:11" s="9" customFormat="1" ht="13.2">
      <c r="A460" s="15"/>
      <c r="B460" s="15"/>
      <c r="C460" s="15"/>
      <c r="D460" s="15"/>
      <c r="E460" s="15"/>
      <c r="F460" s="12"/>
      <c r="G460" s="12"/>
      <c r="H460" s="12"/>
      <c r="I460" s="12"/>
      <c r="J460" s="12"/>
      <c r="K460" s="12"/>
    </row>
    <row r="461" spans="1:11" s="9" customFormat="1" ht="13.2">
      <c r="A461" s="15"/>
      <c r="B461" s="15"/>
      <c r="C461" s="15"/>
      <c r="D461" s="15"/>
      <c r="E461" s="15"/>
      <c r="F461" s="12"/>
      <c r="G461" s="12"/>
      <c r="H461" s="12"/>
      <c r="I461" s="12"/>
      <c r="J461" s="12"/>
      <c r="K461" s="12"/>
    </row>
    <row r="462" spans="1:11" s="9" customFormat="1" ht="13.2">
      <c r="A462" s="15"/>
      <c r="B462" s="15"/>
      <c r="C462" s="15"/>
      <c r="D462" s="15"/>
      <c r="E462" s="15"/>
      <c r="F462" s="8"/>
      <c r="G462" s="8"/>
      <c r="H462" s="8"/>
      <c r="I462" s="8"/>
      <c r="J462" s="8"/>
      <c r="K462" s="8"/>
    </row>
    <row r="463" spans="1:11" s="9" customFormat="1" ht="13.2">
      <c r="A463" s="15"/>
      <c r="B463" s="15"/>
      <c r="C463" s="15"/>
      <c r="D463" s="15"/>
      <c r="E463" s="15"/>
      <c r="F463" s="8"/>
      <c r="G463" s="8"/>
      <c r="H463" s="8"/>
      <c r="I463" s="8"/>
      <c r="J463" s="8"/>
      <c r="K463" s="8"/>
    </row>
    <row r="464" spans="1:11" s="9" customFormat="1" ht="13.2">
      <c r="A464" s="15"/>
      <c r="B464" s="15"/>
      <c r="C464" s="15"/>
      <c r="D464" s="15"/>
      <c r="E464" s="15"/>
      <c r="F464" s="8"/>
      <c r="G464" s="8"/>
      <c r="H464" s="8"/>
      <c r="I464" s="8"/>
      <c r="J464" s="8"/>
      <c r="K464" s="8"/>
    </row>
    <row r="465" spans="1:11" s="9" customFormat="1" ht="13.2">
      <c r="A465" s="15"/>
      <c r="B465" s="15"/>
      <c r="C465" s="15"/>
      <c r="D465" s="15"/>
      <c r="E465" s="15"/>
      <c r="F465" s="8"/>
      <c r="G465" s="8"/>
      <c r="H465" s="8"/>
      <c r="I465" s="8"/>
      <c r="J465" s="8"/>
      <c r="K465" s="8"/>
    </row>
    <row r="466" spans="1:11" s="9" customFormat="1" ht="13.2">
      <c r="A466" s="15"/>
      <c r="B466" s="15"/>
      <c r="C466" s="15"/>
      <c r="D466" s="15"/>
      <c r="E466" s="15"/>
      <c r="F466" s="8"/>
      <c r="G466" s="8"/>
      <c r="H466" s="8"/>
      <c r="I466" s="8"/>
      <c r="J466" s="8"/>
      <c r="K466" s="8"/>
    </row>
    <row r="467" spans="1:11" s="9" customFormat="1" ht="13.2">
      <c r="A467" s="15"/>
      <c r="B467" s="15"/>
      <c r="C467" s="15"/>
      <c r="D467" s="15"/>
      <c r="E467" s="15"/>
      <c r="F467" s="8"/>
      <c r="G467" s="8"/>
      <c r="H467" s="8"/>
      <c r="I467" s="8"/>
      <c r="J467" s="8"/>
      <c r="K467" s="8"/>
    </row>
    <row r="468" spans="1:11" s="9" customFormat="1" ht="13.2">
      <c r="A468" s="15"/>
      <c r="B468" s="15"/>
      <c r="C468" s="15"/>
      <c r="D468" s="15"/>
      <c r="E468" s="15"/>
      <c r="F468" s="11"/>
      <c r="G468" s="11"/>
      <c r="H468" s="11"/>
      <c r="I468" s="11"/>
      <c r="J468" s="11"/>
      <c r="K468" s="11"/>
    </row>
    <row r="469" spans="1:11" s="9" customFormat="1" ht="13.2">
      <c r="A469" s="15"/>
      <c r="B469" s="15"/>
      <c r="C469" s="15"/>
      <c r="D469" s="15"/>
      <c r="E469" s="15"/>
      <c r="F469" s="11"/>
      <c r="G469" s="11"/>
      <c r="H469" s="11"/>
      <c r="I469" s="11"/>
      <c r="J469" s="11"/>
      <c r="K469" s="11"/>
    </row>
    <row r="470" spans="1:11" s="9" customFormat="1" ht="13.2">
      <c r="A470" s="15"/>
      <c r="B470" s="15"/>
      <c r="C470" s="15"/>
      <c r="D470" s="15"/>
      <c r="E470" s="15"/>
      <c r="F470" s="11"/>
      <c r="G470" s="11"/>
      <c r="H470" s="11"/>
      <c r="I470" s="11"/>
      <c r="J470" s="11"/>
      <c r="K470" s="11"/>
    </row>
    <row r="471" spans="1:11" s="9" customFormat="1" ht="13.2">
      <c r="A471" s="15"/>
      <c r="B471" s="15"/>
      <c r="C471" s="15"/>
      <c r="D471" s="15"/>
      <c r="E471" s="15"/>
      <c r="F471" s="11"/>
      <c r="G471" s="11"/>
      <c r="H471" s="11"/>
      <c r="I471" s="11"/>
      <c r="J471" s="11"/>
      <c r="K471" s="11"/>
    </row>
    <row r="472" spans="1:11" s="9" customFormat="1" ht="13.2">
      <c r="A472" s="15"/>
      <c r="B472" s="15"/>
      <c r="C472" s="15"/>
      <c r="D472" s="15"/>
      <c r="E472" s="15"/>
      <c r="F472" s="11"/>
      <c r="G472" s="11"/>
      <c r="H472" s="11"/>
      <c r="I472" s="11"/>
      <c r="J472" s="11"/>
      <c r="K472" s="11"/>
    </row>
    <row r="473" spans="1:11" s="9" customFormat="1" ht="13.2">
      <c r="A473" s="15"/>
      <c r="B473" s="15"/>
      <c r="C473" s="15"/>
      <c r="D473" s="15"/>
      <c r="E473" s="15"/>
      <c r="F473" s="11"/>
      <c r="G473" s="11"/>
      <c r="H473" s="11"/>
      <c r="I473" s="11"/>
      <c r="J473" s="11"/>
      <c r="K473" s="11"/>
    </row>
    <row r="474" spans="1:11" s="9" customFormat="1" ht="13.2">
      <c r="A474" s="15"/>
      <c r="B474" s="15"/>
      <c r="C474" s="15"/>
      <c r="D474" s="15"/>
      <c r="E474" s="15"/>
      <c r="F474" s="8"/>
      <c r="G474" s="8"/>
      <c r="H474" s="8"/>
      <c r="I474" s="8"/>
      <c r="J474" s="8"/>
      <c r="K474" s="8"/>
    </row>
    <row r="475" spans="1:11" s="9" customFormat="1" ht="13.2">
      <c r="A475" s="15"/>
      <c r="B475" s="15"/>
      <c r="C475" s="15"/>
      <c r="D475" s="15"/>
      <c r="E475" s="15"/>
      <c r="F475" s="8"/>
      <c r="G475" s="8"/>
      <c r="H475" s="8"/>
      <c r="I475" s="8"/>
      <c r="J475" s="8"/>
      <c r="K475" s="8"/>
    </row>
    <row r="476" spans="1:11" s="9" customFormat="1" ht="13.2">
      <c r="A476" s="15"/>
      <c r="B476" s="15"/>
      <c r="C476" s="15"/>
      <c r="D476" s="15"/>
      <c r="E476" s="15"/>
      <c r="F476" s="8"/>
      <c r="G476" s="8"/>
      <c r="H476" s="8"/>
      <c r="I476" s="8"/>
      <c r="J476" s="8"/>
      <c r="K476" s="8"/>
    </row>
    <row r="477" spans="1:11" s="9" customFormat="1" ht="13.2">
      <c r="A477" s="15"/>
      <c r="B477" s="15"/>
      <c r="C477" s="15"/>
      <c r="D477" s="15"/>
      <c r="E477" s="15"/>
      <c r="F477" s="8"/>
      <c r="G477" s="8"/>
      <c r="H477" s="8"/>
      <c r="I477" s="8"/>
      <c r="J477" s="8"/>
      <c r="K477" s="8"/>
    </row>
    <row r="478" spans="1:11" s="9" customFormat="1" ht="13.2">
      <c r="A478" s="15"/>
      <c r="B478" s="15"/>
      <c r="C478" s="15"/>
      <c r="D478" s="15"/>
      <c r="E478" s="15"/>
      <c r="F478" s="8"/>
      <c r="G478" s="8"/>
      <c r="H478" s="8"/>
      <c r="I478" s="8"/>
      <c r="J478" s="8"/>
      <c r="K478" s="8"/>
    </row>
    <row r="479" spans="1:11" s="9" customFormat="1" ht="13.2">
      <c r="A479" s="15"/>
      <c r="B479" s="15"/>
      <c r="C479" s="15"/>
      <c r="D479" s="15"/>
      <c r="E479" s="15"/>
      <c r="F479" s="8"/>
      <c r="G479" s="8"/>
      <c r="H479" s="8"/>
      <c r="I479" s="8"/>
      <c r="J479" s="8"/>
      <c r="K479" s="8"/>
    </row>
    <row r="480" spans="1:11" s="9" customFormat="1" ht="13.2">
      <c r="A480" s="15"/>
      <c r="B480" s="15"/>
      <c r="C480" s="15"/>
      <c r="D480" s="15"/>
      <c r="E480" s="15"/>
      <c r="F480" s="8"/>
      <c r="G480" s="8"/>
      <c r="H480" s="8"/>
      <c r="I480" s="8"/>
      <c r="J480" s="8"/>
      <c r="K480" s="8"/>
    </row>
    <row r="481" spans="1:11" s="9" customFormat="1" ht="13.2">
      <c r="A481" s="6"/>
      <c r="B481" s="6"/>
      <c r="C481" s="6"/>
      <c r="D481" s="6"/>
      <c r="E481" s="6"/>
      <c r="F481" s="12"/>
      <c r="G481" s="12"/>
      <c r="H481" s="12"/>
      <c r="I481" s="12"/>
      <c r="J481" s="12"/>
      <c r="K481" s="12"/>
    </row>
    <row r="482" spans="1:11" s="9" customFormat="1" ht="13.2">
      <c r="A482" s="6"/>
      <c r="B482" s="6"/>
      <c r="C482" s="6"/>
      <c r="D482" s="6"/>
      <c r="E482" s="6"/>
      <c r="F482" s="12"/>
      <c r="G482" s="12"/>
      <c r="H482" s="12"/>
      <c r="I482" s="12"/>
      <c r="J482" s="12"/>
      <c r="K482" s="12"/>
    </row>
    <row r="483" spans="1:11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  <c r="K483" s="11"/>
    </row>
    <row r="484" spans="1:11" s="9" customFormat="1" ht="13.2">
      <c r="A484" s="6"/>
      <c r="B484" s="6"/>
      <c r="C484" s="6"/>
      <c r="D484" s="6"/>
      <c r="E484" s="6"/>
      <c r="F484" s="12"/>
      <c r="G484" s="12"/>
      <c r="H484" s="12"/>
      <c r="I484" s="12"/>
      <c r="J484" s="12"/>
      <c r="K484" s="12"/>
    </row>
    <row r="485" spans="1:11" s="9" customFormat="1" ht="13.2">
      <c r="A485" s="6"/>
      <c r="B485" s="6"/>
      <c r="C485" s="6"/>
      <c r="D485" s="6"/>
      <c r="E485" s="6"/>
      <c r="F485" s="8"/>
      <c r="G485" s="8"/>
      <c r="H485" s="8"/>
      <c r="I485" s="8"/>
      <c r="J485" s="8"/>
      <c r="K485" s="8"/>
    </row>
    <row r="486" spans="1:11" s="9" customFormat="1" ht="13.2">
      <c r="A486" s="6"/>
      <c r="B486" s="6"/>
      <c r="C486" s="6"/>
      <c r="D486" s="6"/>
      <c r="E486" s="6"/>
      <c r="F486" s="8"/>
      <c r="G486" s="8"/>
      <c r="H486" s="8"/>
      <c r="I486" s="8"/>
      <c r="J486" s="8"/>
      <c r="K486" s="8"/>
    </row>
    <row r="487" spans="1:11" s="9" customFormat="1" ht="13.2">
      <c r="A487" s="6"/>
      <c r="B487" s="6"/>
      <c r="C487" s="6"/>
      <c r="D487" s="6"/>
      <c r="E487" s="6"/>
      <c r="F487" s="11"/>
      <c r="G487" s="11"/>
      <c r="H487" s="11"/>
      <c r="I487" s="11"/>
      <c r="J487" s="11"/>
      <c r="K487" s="11"/>
    </row>
    <row r="488" spans="1:11" s="9" customFormat="1" ht="13.2">
      <c r="A488" s="6"/>
      <c r="B488" s="6"/>
      <c r="C488" s="6"/>
      <c r="D488" s="6"/>
      <c r="E488" s="6"/>
      <c r="F488" s="12"/>
      <c r="G488" s="12"/>
      <c r="H488" s="12"/>
      <c r="I488" s="12"/>
      <c r="J488" s="12"/>
      <c r="K488" s="12"/>
    </row>
    <row r="489" spans="1:11" s="9" customFormat="1" ht="13.2">
      <c r="A489" s="6"/>
      <c r="B489" s="6"/>
      <c r="C489" s="6"/>
      <c r="D489" s="6"/>
      <c r="E489" s="6"/>
      <c r="F489" s="11"/>
      <c r="G489" s="11"/>
      <c r="H489" s="11"/>
      <c r="I489" s="11"/>
      <c r="J489" s="11"/>
      <c r="K489" s="11"/>
    </row>
    <row r="490" spans="1:11" s="9" customFormat="1" ht="13.2">
      <c r="A490" s="6"/>
      <c r="B490" s="6"/>
      <c r="C490" s="6"/>
      <c r="D490" s="6"/>
      <c r="E490" s="6"/>
      <c r="F490" s="11"/>
      <c r="G490" s="11"/>
      <c r="H490" s="11"/>
      <c r="I490" s="11"/>
      <c r="J490" s="11"/>
      <c r="K490" s="11"/>
    </row>
    <row r="491" spans="1:11" s="9" customFormat="1" ht="13.2">
      <c r="A491" s="6"/>
      <c r="B491" s="6"/>
      <c r="C491" s="6"/>
      <c r="D491" s="6"/>
      <c r="E491" s="6"/>
      <c r="F491" s="11"/>
      <c r="G491" s="11"/>
      <c r="H491" s="11"/>
      <c r="I491" s="11"/>
      <c r="J491" s="11"/>
      <c r="K491" s="11"/>
    </row>
    <row r="492" spans="1:11" s="9" customFormat="1" ht="13.2">
      <c r="A492" s="6"/>
      <c r="B492" s="6"/>
      <c r="C492" s="6"/>
      <c r="D492" s="6"/>
      <c r="E492" s="6"/>
      <c r="F492" s="11"/>
      <c r="G492" s="11"/>
      <c r="H492" s="11"/>
      <c r="I492" s="11"/>
      <c r="J492" s="11"/>
      <c r="K492" s="11"/>
    </row>
    <row r="493" spans="1:11" s="9" customFormat="1" ht="13.2">
      <c r="A493" s="6"/>
      <c r="B493" s="6"/>
      <c r="C493" s="6"/>
      <c r="D493" s="6"/>
      <c r="E493" s="6"/>
      <c r="F493" s="11"/>
      <c r="G493" s="11"/>
      <c r="H493" s="11"/>
      <c r="I493" s="11"/>
      <c r="J493" s="11"/>
      <c r="K493" s="11"/>
    </row>
    <row r="494" spans="1:11" s="9" customFormat="1" ht="13.2">
      <c r="A494" s="6"/>
      <c r="B494" s="6"/>
      <c r="C494" s="6"/>
      <c r="D494" s="6"/>
      <c r="E494" s="6"/>
      <c r="F494" s="11"/>
      <c r="G494" s="11"/>
      <c r="H494" s="11"/>
      <c r="I494" s="11"/>
      <c r="J494" s="11"/>
      <c r="K494" s="11"/>
    </row>
    <row r="495" spans="1:11" s="9" customFormat="1" ht="13.2">
      <c r="A495" s="6"/>
      <c r="B495" s="6"/>
      <c r="C495" s="6"/>
      <c r="D495" s="6"/>
      <c r="E495" s="6"/>
      <c r="F495" s="11"/>
      <c r="G495" s="11"/>
      <c r="H495" s="11"/>
      <c r="I495" s="11"/>
      <c r="J495" s="11"/>
      <c r="K495" s="11"/>
    </row>
    <row r="496" spans="1:11" s="9" customFormat="1" ht="13.2">
      <c r="A496" s="6"/>
      <c r="B496" s="6"/>
      <c r="C496" s="6"/>
      <c r="D496" s="6"/>
      <c r="E496" s="6"/>
      <c r="F496" s="11"/>
      <c r="G496" s="11"/>
      <c r="H496" s="11"/>
      <c r="I496" s="11"/>
      <c r="J496" s="11"/>
      <c r="K496" s="11"/>
    </row>
    <row r="497" spans="1:11" s="9" customFormat="1" ht="13.2">
      <c r="A497" s="6"/>
      <c r="B497" s="6"/>
      <c r="C497" s="6"/>
      <c r="D497" s="6"/>
      <c r="E497" s="6"/>
      <c r="F497" s="8"/>
      <c r="G497" s="8"/>
      <c r="H497" s="8"/>
      <c r="I497" s="8"/>
      <c r="J497" s="8"/>
      <c r="K497" s="8"/>
    </row>
    <row r="498" spans="1:11" s="9" customFormat="1" ht="13.2">
      <c r="A498" s="6"/>
      <c r="B498" s="6"/>
      <c r="C498" s="6"/>
      <c r="D498" s="6"/>
      <c r="E498" s="6"/>
      <c r="F498" s="8"/>
      <c r="G498" s="8"/>
      <c r="H498" s="8"/>
      <c r="I498" s="8"/>
      <c r="J498" s="8"/>
      <c r="K498" s="8"/>
    </row>
    <row r="499" spans="1:11" s="9" customFormat="1" ht="13.2">
      <c r="A499" s="6"/>
      <c r="B499" s="6"/>
      <c r="C499" s="6"/>
      <c r="D499" s="6"/>
      <c r="E499" s="6"/>
      <c r="F499" s="8"/>
      <c r="G499" s="8"/>
      <c r="H499" s="8"/>
      <c r="I499" s="8"/>
      <c r="J499" s="8"/>
      <c r="K499" s="8"/>
    </row>
    <row r="500" spans="1:11" s="9" customFormat="1" ht="13.2">
      <c r="A500" s="6"/>
      <c r="B500" s="6"/>
      <c r="C500" s="6"/>
      <c r="D500" s="6"/>
      <c r="E500" s="6"/>
      <c r="F500" s="8"/>
      <c r="G500" s="8"/>
      <c r="H500" s="8"/>
      <c r="I500" s="8"/>
      <c r="J500" s="8"/>
      <c r="K500" s="8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8"/>
      <c r="G502" s="8"/>
      <c r="H502" s="8"/>
      <c r="I502" s="8"/>
      <c r="J502" s="8"/>
      <c r="K502" s="8"/>
    </row>
    <row r="503" spans="1:11" s="9" customFormat="1" ht="13.2">
      <c r="A503" s="6"/>
      <c r="B503" s="6"/>
      <c r="C503" s="6"/>
      <c r="D503" s="6"/>
      <c r="E503" s="6"/>
      <c r="F503" s="12"/>
      <c r="G503" s="12"/>
      <c r="H503" s="12"/>
      <c r="I503" s="12"/>
      <c r="J503" s="12"/>
      <c r="K503" s="12"/>
    </row>
    <row r="504" spans="1:11" s="9" customFormat="1" ht="13.2">
      <c r="A504" s="6"/>
      <c r="B504" s="6"/>
      <c r="C504" s="6"/>
      <c r="D504" s="6"/>
      <c r="E504" s="6"/>
      <c r="F504" s="10"/>
      <c r="G504" s="10"/>
      <c r="H504" s="10"/>
      <c r="I504" s="10"/>
      <c r="J504" s="10"/>
      <c r="K504" s="10"/>
    </row>
    <row r="505" spans="1:11" s="9" customFormat="1" ht="13.2">
      <c r="A505" s="6"/>
      <c r="B505" s="6"/>
      <c r="C505" s="6"/>
      <c r="D505" s="6"/>
      <c r="E505" s="6"/>
      <c r="F505" s="12"/>
      <c r="G505" s="12"/>
      <c r="H505" s="12"/>
      <c r="I505" s="12"/>
      <c r="J505" s="12"/>
      <c r="K505" s="12"/>
    </row>
    <row r="506" spans="1:11" s="9" customFormat="1" ht="13.2">
      <c r="A506" s="6"/>
      <c r="B506" s="6"/>
      <c r="C506" s="6"/>
      <c r="D506" s="6"/>
      <c r="E506" s="6"/>
      <c r="F506" s="12"/>
      <c r="G506" s="12"/>
      <c r="H506" s="12"/>
      <c r="I506" s="12"/>
      <c r="J506" s="12"/>
      <c r="K506" s="12"/>
    </row>
    <row r="507" spans="1:11" s="9" customFormat="1" ht="13.2">
      <c r="A507" s="6"/>
      <c r="B507" s="6"/>
      <c r="C507" s="6"/>
      <c r="D507" s="6"/>
      <c r="E507" s="6"/>
      <c r="F507" s="8"/>
      <c r="G507" s="8"/>
      <c r="H507" s="8"/>
      <c r="I507" s="8"/>
      <c r="J507" s="8"/>
      <c r="K507" s="8"/>
    </row>
    <row r="508" spans="1:11" s="9" customFormat="1" ht="13.2">
      <c r="A508" s="6"/>
      <c r="B508" s="6"/>
      <c r="C508" s="6"/>
      <c r="D508" s="6"/>
      <c r="E508" s="6"/>
      <c r="F508" s="8"/>
      <c r="G508" s="8"/>
      <c r="H508" s="8"/>
      <c r="I508" s="8"/>
      <c r="J508" s="8"/>
      <c r="K508" s="8"/>
    </row>
    <row r="509" spans="1:11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  <c r="K509" s="8"/>
    </row>
    <row r="510" spans="1:11" s="9" customFormat="1" ht="13.2">
      <c r="A510" s="6"/>
      <c r="B510" s="6"/>
      <c r="C510" s="6"/>
      <c r="D510" s="6"/>
      <c r="E510" s="6"/>
      <c r="F510" s="8"/>
      <c r="G510" s="8"/>
      <c r="H510" s="8"/>
      <c r="I510" s="8"/>
      <c r="J510" s="8"/>
      <c r="K510" s="8"/>
    </row>
    <row r="511" spans="1:11" s="9" customFormat="1" ht="13.2">
      <c r="A511" s="6"/>
      <c r="B511" s="6"/>
      <c r="C511" s="6"/>
      <c r="D511" s="6"/>
      <c r="E511" s="6"/>
      <c r="F511" s="11"/>
      <c r="G511" s="11"/>
      <c r="H511" s="11"/>
      <c r="I511" s="11"/>
      <c r="J511" s="11"/>
      <c r="K511" s="11"/>
    </row>
    <row r="512" spans="1:11" s="9" customFormat="1" ht="13.2">
      <c r="A512" s="6"/>
      <c r="B512" s="6"/>
      <c r="C512" s="6"/>
      <c r="D512" s="6"/>
      <c r="E512" s="6"/>
      <c r="F512" s="12"/>
      <c r="G512" s="12"/>
      <c r="H512" s="12"/>
      <c r="I512" s="12"/>
      <c r="J512" s="12"/>
      <c r="K512" s="12"/>
    </row>
    <row r="513" spans="1:11" s="9" customFormat="1" ht="13.2">
      <c r="A513" s="6"/>
      <c r="B513" s="6"/>
      <c r="C513" s="6"/>
      <c r="D513" s="6"/>
      <c r="E513" s="6"/>
      <c r="F513" s="10"/>
      <c r="G513" s="10"/>
      <c r="H513" s="10"/>
      <c r="I513" s="10"/>
      <c r="J513" s="10"/>
      <c r="K513" s="10"/>
    </row>
    <row r="514" spans="1:11" s="9" customFormat="1" ht="13.2">
      <c r="A514" s="6"/>
      <c r="B514" s="6"/>
      <c r="C514" s="6"/>
      <c r="D514" s="6"/>
      <c r="E514" s="6"/>
      <c r="F514" s="11"/>
      <c r="G514" s="11"/>
      <c r="H514" s="11"/>
      <c r="I514" s="11"/>
      <c r="J514" s="11"/>
      <c r="K514" s="11"/>
    </row>
    <row r="515" spans="1:11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  <c r="K515" s="8"/>
    </row>
    <row r="516" spans="1:11" s="9" customFormat="1" ht="13.2">
      <c r="A516" s="6"/>
      <c r="B516" s="6"/>
      <c r="C516" s="6"/>
      <c r="D516" s="6"/>
      <c r="E516" s="6"/>
      <c r="F516" s="7"/>
      <c r="G516" s="7"/>
      <c r="H516" s="7"/>
      <c r="I516" s="7"/>
      <c r="J516" s="7"/>
      <c r="K516" s="7"/>
    </row>
    <row r="517" spans="1:11" s="9" customFormat="1" ht="13.2">
      <c r="A517" s="6"/>
      <c r="B517" s="6"/>
      <c r="C517" s="6"/>
      <c r="D517" s="6"/>
      <c r="E517" s="6"/>
      <c r="F517" s="7"/>
      <c r="G517" s="7"/>
      <c r="H517" s="7"/>
      <c r="I517" s="7"/>
      <c r="J517" s="7"/>
      <c r="K517" s="7"/>
    </row>
    <row r="518" spans="1:11" s="9" customFormat="1" ht="13.2">
      <c r="A518" s="6"/>
      <c r="B518" s="6"/>
      <c r="C518" s="6"/>
      <c r="D518" s="6"/>
      <c r="E518" s="6"/>
      <c r="F518" s="7"/>
      <c r="G518" s="7"/>
      <c r="H518" s="7"/>
      <c r="I518" s="7"/>
      <c r="J518" s="7"/>
      <c r="K518" s="7"/>
    </row>
    <row r="519" spans="1:11" s="9" customFormat="1" ht="13.2">
      <c r="A519" s="6"/>
      <c r="B519" s="6"/>
      <c r="C519" s="6"/>
      <c r="D519" s="6"/>
      <c r="E519" s="6"/>
      <c r="F519" s="7"/>
      <c r="G519" s="7"/>
      <c r="H519" s="7"/>
      <c r="I519" s="7"/>
      <c r="J519" s="7"/>
      <c r="K519" s="7"/>
    </row>
    <row r="520" spans="1:11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  <c r="K520" s="8"/>
    </row>
    <row r="521" spans="1:11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  <c r="K521" s="8"/>
    </row>
    <row r="522" spans="1:11" s="9" customFormat="1" ht="13.2">
      <c r="A522" s="6"/>
      <c r="B522" s="6"/>
      <c r="C522" s="6"/>
      <c r="D522" s="6"/>
      <c r="E522" s="6"/>
      <c r="F522" s="8"/>
      <c r="G522" s="8"/>
      <c r="H522" s="8"/>
      <c r="I522" s="8"/>
      <c r="J522" s="8"/>
      <c r="K522" s="8"/>
    </row>
    <row r="523" spans="1:11" s="9" customFormat="1" ht="13.2">
      <c r="A523" s="6"/>
      <c r="B523" s="6"/>
      <c r="C523" s="6"/>
      <c r="D523" s="6"/>
      <c r="E523" s="6"/>
      <c r="F523" s="8"/>
      <c r="G523" s="8"/>
      <c r="H523" s="8"/>
      <c r="I523" s="8"/>
      <c r="J523" s="8"/>
      <c r="K523" s="8"/>
    </row>
    <row r="524" spans="1:11" s="9" customFormat="1" ht="13.2">
      <c r="A524" s="6"/>
      <c r="B524" s="6"/>
      <c r="C524" s="6"/>
      <c r="D524" s="6"/>
      <c r="E524" s="6"/>
      <c r="F524" s="8"/>
      <c r="G524" s="8"/>
      <c r="H524" s="8"/>
      <c r="I524" s="8"/>
      <c r="J524" s="8"/>
      <c r="K524" s="8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8"/>
      <c r="G526" s="8"/>
      <c r="H526" s="8"/>
      <c r="I526" s="8"/>
      <c r="J526" s="8"/>
      <c r="K526" s="8"/>
    </row>
    <row r="527" spans="1:11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  <c r="K527" s="8"/>
    </row>
    <row r="528" spans="1:11" s="9" customFormat="1" ht="13.2">
      <c r="A528" s="6"/>
      <c r="B528" s="6"/>
      <c r="C528" s="6"/>
      <c r="D528" s="6"/>
      <c r="E528" s="6"/>
      <c r="F528" s="12"/>
      <c r="G528" s="12"/>
      <c r="H528" s="12"/>
      <c r="I528" s="12"/>
      <c r="J528" s="12"/>
      <c r="K528" s="12"/>
    </row>
    <row r="529" spans="1:11" s="9" customFormat="1" ht="13.2">
      <c r="A529" s="6"/>
      <c r="B529" s="6"/>
      <c r="C529" s="6"/>
      <c r="D529" s="6"/>
      <c r="E529" s="6"/>
      <c r="F529" s="11"/>
      <c r="G529" s="11"/>
      <c r="H529" s="11"/>
      <c r="I529" s="11"/>
      <c r="J529" s="11"/>
      <c r="K529" s="11"/>
    </row>
    <row r="530" spans="1:11" s="9" customFormat="1" ht="13.2">
      <c r="A530" s="6"/>
      <c r="B530" s="6"/>
      <c r="C530" s="6"/>
      <c r="D530" s="6"/>
      <c r="E530" s="6"/>
      <c r="F530" s="12"/>
      <c r="G530" s="12"/>
      <c r="H530" s="12"/>
      <c r="I530" s="12"/>
      <c r="J530" s="12"/>
      <c r="K530" s="12"/>
    </row>
    <row r="531" spans="1:11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  <c r="K531" s="8"/>
    </row>
    <row r="532" spans="1:11" s="9" customFormat="1" ht="13.2">
      <c r="A532" s="6"/>
      <c r="B532" s="6"/>
      <c r="C532" s="6"/>
      <c r="D532" s="6"/>
      <c r="E532" s="6"/>
      <c r="F532" s="12"/>
      <c r="G532" s="12"/>
      <c r="H532" s="12"/>
      <c r="I532" s="12"/>
      <c r="J532" s="12"/>
      <c r="K532" s="12"/>
    </row>
    <row r="533" spans="1:11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  <c r="K533" s="8"/>
    </row>
    <row r="534" spans="1:11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  <c r="K534" s="8"/>
    </row>
    <row r="535" spans="1:11" s="9" customFormat="1" ht="13.2">
      <c r="A535" s="6"/>
      <c r="B535" s="6"/>
      <c r="C535" s="6"/>
      <c r="D535" s="6"/>
      <c r="E535" s="6"/>
      <c r="F535" s="12"/>
      <c r="G535" s="12"/>
      <c r="H535" s="12"/>
      <c r="I535" s="12"/>
      <c r="J535" s="12"/>
      <c r="K535" s="12"/>
    </row>
    <row r="536" spans="1:11" s="9" customFormat="1" ht="13.2">
      <c r="A536" s="6"/>
      <c r="B536" s="6"/>
      <c r="C536" s="6"/>
      <c r="D536" s="6"/>
      <c r="E536" s="6"/>
      <c r="F536" s="8"/>
      <c r="G536" s="8"/>
      <c r="H536" s="8"/>
      <c r="I536" s="8"/>
      <c r="J536" s="8"/>
      <c r="K536" s="8"/>
    </row>
    <row r="537" spans="1:11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  <c r="K537" s="8"/>
    </row>
    <row r="538" spans="1:11" s="9" customFormat="1" ht="13.2">
      <c r="A538" s="6"/>
      <c r="B538" s="6"/>
      <c r="C538" s="6"/>
      <c r="D538" s="6"/>
      <c r="E538" s="6"/>
      <c r="F538" s="11"/>
      <c r="G538" s="11"/>
      <c r="H538" s="11"/>
      <c r="I538" s="11"/>
      <c r="J538" s="11"/>
      <c r="K538" s="11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  <c r="K540" s="8"/>
    </row>
    <row r="541" spans="1:11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  <c r="K541" s="8"/>
    </row>
    <row r="542" spans="1:11" s="9" customFormat="1" ht="13.2">
      <c r="A542" s="6"/>
      <c r="B542" s="6"/>
      <c r="C542" s="6"/>
      <c r="D542" s="6"/>
      <c r="E542" s="6"/>
      <c r="F542" s="11"/>
      <c r="G542" s="11"/>
      <c r="H542" s="11"/>
      <c r="I542" s="11"/>
      <c r="J542" s="11"/>
      <c r="K542" s="11"/>
    </row>
    <row r="543" spans="1:11" s="9" customFormat="1" ht="13.2">
      <c r="A543" s="6"/>
      <c r="B543" s="6"/>
      <c r="C543" s="6"/>
      <c r="D543" s="6"/>
      <c r="E543" s="6"/>
      <c r="F543" s="8"/>
      <c r="G543" s="8"/>
      <c r="H543" s="8"/>
      <c r="I543" s="8"/>
      <c r="J543" s="8"/>
      <c r="K543" s="8"/>
    </row>
    <row r="544" spans="1:11" s="9" customFormat="1" ht="13.2">
      <c r="A544" s="6"/>
      <c r="B544" s="6"/>
      <c r="C544" s="6"/>
      <c r="D544" s="6"/>
      <c r="E544" s="6"/>
      <c r="F544" s="8"/>
      <c r="G544" s="8"/>
      <c r="H544" s="8"/>
      <c r="I544" s="8"/>
      <c r="J544" s="8"/>
      <c r="K544" s="8"/>
    </row>
    <row r="545" spans="1:11" s="9" customFormat="1" ht="13.2">
      <c r="A545" s="6"/>
      <c r="B545" s="6"/>
      <c r="C545" s="6"/>
      <c r="D545" s="6"/>
      <c r="E545" s="6"/>
      <c r="F545" s="8"/>
      <c r="G545" s="8"/>
      <c r="H545" s="8"/>
      <c r="I545" s="8"/>
      <c r="J545" s="8"/>
      <c r="K545" s="8"/>
    </row>
    <row r="546" spans="1:11" s="9" customFormat="1" ht="13.2">
      <c r="A546" s="6"/>
      <c r="B546" s="6"/>
      <c r="C546" s="6"/>
      <c r="D546" s="6"/>
      <c r="E546" s="6"/>
      <c r="F546" s="8"/>
      <c r="G546" s="8"/>
      <c r="H546" s="8"/>
      <c r="I546" s="8"/>
      <c r="J546" s="8"/>
      <c r="K546" s="8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  <c r="K548" s="8"/>
    </row>
    <row r="549" spans="1:11" s="9" customFormat="1" ht="13.2">
      <c r="A549" s="6"/>
      <c r="B549" s="6"/>
      <c r="C549" s="6"/>
      <c r="D549" s="6"/>
      <c r="E549" s="6"/>
      <c r="F549" s="10"/>
      <c r="G549" s="10"/>
      <c r="H549" s="10"/>
      <c r="I549" s="10"/>
      <c r="J549" s="10"/>
      <c r="K549" s="10"/>
    </row>
    <row r="550" spans="1:11" s="9" customFormat="1" ht="13.2">
      <c r="A550" s="6"/>
      <c r="B550" s="6"/>
      <c r="C550" s="6"/>
      <c r="D550" s="6"/>
      <c r="E550" s="6"/>
      <c r="F550" s="11"/>
      <c r="G550" s="11"/>
      <c r="H550" s="11"/>
      <c r="I550" s="11"/>
      <c r="J550" s="11"/>
      <c r="K550" s="11"/>
    </row>
    <row r="551" spans="1:11" s="9" customFormat="1" ht="13.2">
      <c r="A551" s="6"/>
      <c r="B551" s="6"/>
      <c r="C551" s="6"/>
      <c r="D551" s="6"/>
      <c r="E551" s="6"/>
      <c r="F551" s="8"/>
      <c r="G551" s="8"/>
      <c r="H551" s="8"/>
      <c r="I551" s="8"/>
      <c r="J551" s="8"/>
      <c r="K551" s="8"/>
    </row>
    <row r="552" spans="1:11" s="9" customFormat="1" ht="13.2">
      <c r="A552" s="6"/>
      <c r="B552" s="6"/>
      <c r="C552" s="6"/>
      <c r="D552" s="6"/>
      <c r="E552" s="6"/>
      <c r="F552" s="11"/>
      <c r="G552" s="11"/>
      <c r="H552" s="11"/>
      <c r="I552" s="11"/>
      <c r="J552" s="11"/>
      <c r="K552" s="11"/>
    </row>
    <row r="553" spans="1:11" s="9" customFormat="1" ht="13.2">
      <c r="A553" s="6"/>
      <c r="B553" s="6"/>
      <c r="C553" s="6"/>
      <c r="D553" s="6"/>
      <c r="E553" s="6"/>
      <c r="F553" s="8"/>
      <c r="G553" s="8"/>
      <c r="H553" s="8"/>
      <c r="I553" s="8"/>
      <c r="J553" s="8"/>
      <c r="K553" s="8"/>
    </row>
    <row r="554" spans="1:11" s="9" customFormat="1" ht="13.2">
      <c r="A554" s="6"/>
      <c r="B554" s="6"/>
      <c r="C554" s="6"/>
      <c r="D554" s="6"/>
      <c r="E554" s="6"/>
      <c r="F554" s="8"/>
      <c r="G554" s="8"/>
      <c r="H554" s="8"/>
      <c r="I554" s="8"/>
      <c r="J554" s="8"/>
      <c r="K554" s="8"/>
    </row>
    <row r="555" spans="1:11" s="9" customFormat="1" ht="13.2">
      <c r="A555" s="6"/>
      <c r="B555" s="6"/>
      <c r="C555" s="6"/>
      <c r="D555" s="6"/>
      <c r="E555" s="6"/>
      <c r="F555" s="11"/>
      <c r="G555" s="11"/>
      <c r="H555" s="11"/>
      <c r="I555" s="11"/>
      <c r="J555" s="11"/>
      <c r="K555" s="11"/>
    </row>
    <row r="556" spans="1:11" s="9" customFormat="1" ht="13.2">
      <c r="A556" s="6"/>
      <c r="B556" s="6"/>
      <c r="C556" s="6"/>
      <c r="D556" s="6"/>
      <c r="E556" s="6"/>
      <c r="F556" s="11"/>
      <c r="G556" s="11"/>
      <c r="H556" s="11"/>
      <c r="I556" s="11"/>
      <c r="J556" s="11"/>
      <c r="K556" s="11"/>
    </row>
    <row r="557" spans="1:11" s="9" customFormat="1" ht="13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spans="1:11" s="9" customFormat="1" ht="13.2">
      <c r="A558" s="6"/>
      <c r="B558" s="6"/>
      <c r="C558" s="6"/>
      <c r="D558" s="6"/>
      <c r="E558" s="6"/>
      <c r="F558" s="11"/>
      <c r="G558" s="11"/>
      <c r="H558" s="11"/>
      <c r="I558" s="11"/>
      <c r="J558" s="11"/>
      <c r="K558" s="11"/>
    </row>
    <row r="559" spans="1:11" s="9" customFormat="1" ht="13.2">
      <c r="A559" s="6"/>
      <c r="B559" s="6"/>
      <c r="C559" s="6"/>
      <c r="D559" s="6"/>
      <c r="E559" s="6"/>
      <c r="F559" s="11"/>
      <c r="G559" s="11"/>
      <c r="H559" s="11"/>
      <c r="I559" s="11"/>
      <c r="J559" s="11"/>
      <c r="K559" s="11"/>
    </row>
    <row r="560" spans="1:11" s="9" customFormat="1" ht="13.2">
      <c r="A560" s="6"/>
      <c r="B560" s="6"/>
      <c r="C560" s="6"/>
      <c r="D560" s="6"/>
      <c r="E560" s="6"/>
      <c r="F560" s="8"/>
      <c r="G560" s="8"/>
      <c r="H560" s="8"/>
      <c r="I560" s="8"/>
      <c r="J560" s="8"/>
      <c r="K560" s="8"/>
    </row>
    <row r="561" spans="1:11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  <c r="K561" s="8"/>
    </row>
    <row r="562" spans="1:11" s="9" customFormat="1" ht="13.2">
      <c r="A562" s="6"/>
      <c r="B562" s="6"/>
      <c r="C562" s="6"/>
      <c r="D562" s="6"/>
      <c r="E562" s="6"/>
      <c r="F562" s="8"/>
      <c r="G562" s="8"/>
      <c r="H562" s="8"/>
      <c r="I562" s="8"/>
      <c r="J562" s="8"/>
      <c r="K562" s="8"/>
    </row>
    <row r="563" spans="1:11" s="9" customFormat="1" ht="13.2">
      <c r="A563" s="6"/>
      <c r="B563" s="6"/>
      <c r="C563" s="6"/>
      <c r="D563" s="6"/>
      <c r="E563" s="6"/>
      <c r="F563" s="8"/>
      <c r="G563" s="8"/>
      <c r="H563" s="8"/>
      <c r="I563" s="8"/>
      <c r="J563" s="8"/>
      <c r="K563" s="8"/>
    </row>
    <row r="564" spans="1:11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  <c r="K564" s="8"/>
    </row>
    <row r="565" spans="1:11" s="9" customFormat="1" ht="13.2">
      <c r="A565" s="6"/>
      <c r="B565" s="6"/>
      <c r="C565" s="6"/>
      <c r="D565" s="6"/>
      <c r="E565" s="6"/>
      <c r="F565" s="7"/>
      <c r="G565" s="7"/>
      <c r="H565" s="7"/>
      <c r="I565" s="7"/>
      <c r="J565" s="7"/>
      <c r="K565" s="7"/>
    </row>
    <row r="566" spans="1:11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  <c r="K566" s="7"/>
    </row>
    <row r="567" spans="1:11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  <c r="K567" s="8"/>
    </row>
    <row r="568" spans="1:11" s="9" customFormat="1" ht="13.2">
      <c r="A568" s="6"/>
      <c r="B568" s="6"/>
      <c r="C568" s="6"/>
      <c r="D568" s="6"/>
      <c r="E568" s="6"/>
      <c r="F568" s="11"/>
      <c r="G568" s="11"/>
      <c r="H568" s="11"/>
      <c r="I568" s="11"/>
      <c r="J568" s="11"/>
      <c r="K568" s="11"/>
    </row>
    <row r="569" spans="1:11" s="9" customFormat="1" ht="13.2">
      <c r="A569" s="6"/>
      <c r="B569" s="6"/>
      <c r="C569" s="6"/>
      <c r="D569" s="6"/>
      <c r="E569" s="6"/>
      <c r="F569" s="7"/>
      <c r="G569" s="7"/>
      <c r="H569" s="7"/>
      <c r="I569" s="7"/>
      <c r="J569" s="7"/>
      <c r="K569" s="7"/>
    </row>
    <row r="570" spans="1:11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  <c r="K570" s="8"/>
    </row>
    <row r="571" spans="1:11" s="9" customFormat="1" ht="13.2">
      <c r="A571" s="6"/>
      <c r="B571" s="6"/>
      <c r="C571" s="6"/>
      <c r="D571" s="6"/>
      <c r="E571" s="6"/>
      <c r="F571" s="7"/>
      <c r="G571" s="7"/>
      <c r="H571" s="7"/>
      <c r="I571" s="7"/>
      <c r="J571" s="7"/>
      <c r="K571" s="7"/>
    </row>
    <row r="572" spans="1:11" s="9" customFormat="1" ht="13.2">
      <c r="A572" s="6"/>
      <c r="B572" s="6"/>
      <c r="C572" s="6"/>
      <c r="D572" s="6"/>
      <c r="E572" s="6"/>
      <c r="F572" s="7"/>
      <c r="G572" s="7"/>
      <c r="H572" s="7"/>
      <c r="I572" s="7"/>
      <c r="J572" s="7"/>
      <c r="K572" s="7"/>
    </row>
    <row r="573" spans="1:11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  <c r="K573" s="8"/>
    </row>
    <row r="574" spans="1:11" s="9" customFormat="1" ht="13.2">
      <c r="A574" s="6"/>
      <c r="B574" s="6"/>
      <c r="C574" s="6"/>
      <c r="D574" s="6"/>
      <c r="E574" s="6"/>
      <c r="F574" s="8"/>
      <c r="G574" s="8"/>
      <c r="H574" s="8"/>
      <c r="I574" s="8"/>
      <c r="J574" s="8"/>
      <c r="K574" s="8"/>
    </row>
    <row r="575" spans="1:11" s="9" customFormat="1" ht="13.2">
      <c r="A575" s="6"/>
      <c r="B575" s="6"/>
      <c r="C575" s="6"/>
      <c r="D575" s="6"/>
      <c r="E575" s="6"/>
      <c r="F575" s="8"/>
      <c r="G575" s="8"/>
      <c r="H575" s="8"/>
      <c r="I575" s="8"/>
      <c r="J575" s="8"/>
      <c r="K575" s="8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7"/>
      <c r="G580" s="7"/>
      <c r="H580" s="7"/>
      <c r="I580" s="7"/>
      <c r="J580" s="7"/>
      <c r="K580" s="7"/>
    </row>
    <row r="581" spans="1:11" s="9" customFormat="1" ht="13.2">
      <c r="A581" s="6"/>
      <c r="B581" s="6"/>
      <c r="C581" s="6"/>
      <c r="D581" s="6"/>
      <c r="E581" s="6"/>
      <c r="F581" s="7"/>
      <c r="G581" s="7"/>
      <c r="H581" s="7"/>
      <c r="I581" s="7"/>
      <c r="J581" s="7"/>
      <c r="K581" s="7"/>
    </row>
    <row r="582" spans="1:11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  <c r="K582" s="8"/>
    </row>
    <row r="583" spans="1:11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  <c r="K583" s="8"/>
    </row>
    <row r="584" spans="1:11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  <c r="K584" s="8"/>
    </row>
    <row r="585" spans="1:11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  <c r="K585" s="8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  <c r="K596" s="8"/>
    </row>
    <row r="597" spans="1:11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  <c r="K597" s="8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8"/>
      <c r="G603" s="8"/>
      <c r="H603" s="8"/>
      <c r="I603" s="8"/>
      <c r="J603" s="8"/>
      <c r="K603" s="8"/>
    </row>
    <row r="604" spans="1:11" s="9" customFormat="1" ht="13.2">
      <c r="A604" s="6"/>
      <c r="B604" s="6"/>
      <c r="C604" s="6"/>
      <c r="D604" s="6"/>
      <c r="E604" s="6"/>
      <c r="F604" s="8"/>
      <c r="G604" s="8"/>
      <c r="H604" s="8"/>
      <c r="I604" s="8"/>
      <c r="J604" s="8"/>
      <c r="K604" s="8"/>
    </row>
    <row r="605" spans="1:11" s="9" customFormat="1" ht="13.2">
      <c r="A605" s="6"/>
      <c r="B605" s="6"/>
      <c r="C605" s="6"/>
      <c r="D605" s="6"/>
      <c r="E605" s="6"/>
      <c r="F605" s="8"/>
      <c r="G605" s="8"/>
      <c r="H605" s="8"/>
      <c r="I605" s="8"/>
      <c r="J605" s="8"/>
      <c r="K605" s="8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8"/>
      <c r="G608" s="8"/>
      <c r="H608" s="8"/>
      <c r="I608" s="8"/>
      <c r="J608" s="8"/>
      <c r="K608" s="8"/>
    </row>
    <row r="609" spans="1:11" s="9" customFormat="1" ht="13.2">
      <c r="A609" s="6"/>
      <c r="B609" s="6"/>
      <c r="C609" s="6"/>
      <c r="D609" s="6"/>
      <c r="E609" s="6"/>
      <c r="F609" s="10"/>
      <c r="G609" s="10"/>
      <c r="H609" s="10"/>
      <c r="I609" s="10"/>
      <c r="J609" s="10"/>
      <c r="K609" s="10"/>
    </row>
    <row r="610" spans="1:11" s="9" customFormat="1" ht="13.2">
      <c r="A610" s="6"/>
      <c r="B610" s="6"/>
      <c r="C610" s="6"/>
      <c r="D610" s="6"/>
      <c r="E610" s="6"/>
      <c r="F610" s="10"/>
      <c r="G610" s="10"/>
      <c r="H610" s="10"/>
      <c r="I610" s="10"/>
      <c r="J610" s="10"/>
      <c r="K610" s="10"/>
    </row>
    <row r="611" spans="1:11" s="9" customFormat="1" ht="13.2">
      <c r="A611" s="6"/>
      <c r="B611" s="6"/>
      <c r="C611" s="6"/>
      <c r="D611" s="6"/>
      <c r="E611" s="6"/>
      <c r="F611" s="10"/>
      <c r="G611" s="10"/>
      <c r="H611" s="10"/>
      <c r="I611" s="10"/>
      <c r="J611" s="10"/>
      <c r="K611" s="10"/>
    </row>
    <row r="612" spans="1:11" s="9" customFormat="1" ht="13.2">
      <c r="A612" s="6"/>
      <c r="B612" s="6"/>
      <c r="C612" s="6"/>
      <c r="D612" s="6"/>
      <c r="E612" s="6"/>
      <c r="F612" s="8"/>
      <c r="G612" s="8"/>
      <c r="H612" s="8"/>
      <c r="I612" s="8"/>
      <c r="J612" s="8"/>
      <c r="K612" s="8"/>
    </row>
    <row r="613" spans="1:11" s="9" customFormat="1" ht="13.2">
      <c r="A613" s="6"/>
      <c r="B613" s="6"/>
      <c r="C613" s="6"/>
      <c r="D613" s="6"/>
      <c r="E613" s="6"/>
      <c r="F613" s="8"/>
      <c r="G613" s="8"/>
      <c r="H613" s="8"/>
      <c r="I613" s="8"/>
      <c r="J613" s="8"/>
      <c r="K613" s="8"/>
    </row>
    <row r="614" spans="1:11" s="9" customFormat="1" ht="13.2">
      <c r="A614" s="6"/>
      <c r="B614" s="6"/>
      <c r="C614" s="6"/>
      <c r="D614" s="6"/>
      <c r="E614" s="6"/>
      <c r="F614" s="10"/>
      <c r="G614" s="10"/>
      <c r="H614" s="10"/>
      <c r="I614" s="10"/>
      <c r="J614" s="10"/>
      <c r="K614" s="10"/>
    </row>
    <row r="615" spans="1:11" s="9" customFormat="1" ht="13.2">
      <c r="A615" s="6"/>
      <c r="B615" s="6"/>
      <c r="C615" s="6"/>
      <c r="D615" s="6"/>
      <c r="E615" s="6"/>
      <c r="F615" s="10"/>
      <c r="G615" s="10"/>
      <c r="H615" s="10"/>
      <c r="I615" s="10"/>
      <c r="J615" s="10"/>
      <c r="K615" s="10"/>
    </row>
    <row r="616" spans="1:11" s="9" customFormat="1" ht="13.2">
      <c r="A616" s="6"/>
      <c r="B616" s="6"/>
      <c r="C616" s="6"/>
      <c r="D616" s="6"/>
      <c r="E616" s="6"/>
      <c r="F616" s="10"/>
      <c r="G616" s="10"/>
      <c r="H616" s="10"/>
      <c r="I616" s="10"/>
      <c r="J616" s="10"/>
      <c r="K616" s="10"/>
    </row>
    <row r="617" spans="1:11" s="9" customFormat="1" ht="13.2">
      <c r="A617" s="6"/>
      <c r="B617" s="6"/>
      <c r="C617" s="6"/>
      <c r="D617" s="6"/>
      <c r="E617" s="6"/>
      <c r="F617" s="8"/>
      <c r="G617" s="8"/>
      <c r="H617" s="8"/>
      <c r="I617" s="8"/>
      <c r="J617" s="8"/>
      <c r="K617" s="8"/>
    </row>
    <row r="618" spans="1:11" s="9" customFormat="1" ht="13.2">
      <c r="A618" s="6"/>
      <c r="B618" s="6"/>
      <c r="C618" s="6"/>
      <c r="D618" s="6"/>
      <c r="E618" s="6"/>
      <c r="F618" s="8"/>
      <c r="G618" s="8"/>
      <c r="H618" s="8"/>
      <c r="I618" s="8"/>
      <c r="J618" s="8"/>
      <c r="K618" s="8"/>
    </row>
    <row r="619" spans="1:11" s="9" customFormat="1" ht="13.2">
      <c r="A619" s="6"/>
      <c r="B619" s="6"/>
      <c r="C619" s="6"/>
      <c r="D619" s="6"/>
      <c r="E619" s="6"/>
      <c r="F619" s="8"/>
      <c r="G619" s="8"/>
      <c r="H619" s="8"/>
      <c r="I619" s="8"/>
      <c r="J619" s="8"/>
      <c r="K619" s="8"/>
    </row>
    <row r="620" spans="1:11" s="9" customFormat="1" ht="13.2">
      <c r="A620" s="6"/>
      <c r="B620" s="6"/>
      <c r="C620" s="6"/>
      <c r="D620" s="6"/>
      <c r="E620" s="6"/>
      <c r="F620" s="12"/>
      <c r="G620" s="12"/>
      <c r="H620" s="12"/>
      <c r="I620" s="12"/>
      <c r="J620" s="12"/>
      <c r="K620" s="12"/>
    </row>
    <row r="621" spans="1:11" s="9" customFormat="1" ht="13.2">
      <c r="A621" s="6"/>
      <c r="B621" s="6"/>
      <c r="C621" s="6"/>
      <c r="D621" s="6"/>
      <c r="E621" s="6"/>
      <c r="F621" s="12"/>
      <c r="G621" s="12"/>
      <c r="H621" s="12"/>
      <c r="I621" s="12"/>
      <c r="J621" s="12"/>
      <c r="K621" s="12"/>
    </row>
    <row r="622" spans="1:11" s="9" customFormat="1" ht="13.2">
      <c r="A622" s="6"/>
      <c r="B622" s="6"/>
      <c r="C622" s="6"/>
      <c r="D622" s="6"/>
      <c r="E622" s="6"/>
      <c r="F622" s="12"/>
      <c r="G622" s="12"/>
      <c r="H622" s="12"/>
      <c r="I622" s="12"/>
      <c r="J622" s="12"/>
      <c r="K622" s="12"/>
    </row>
    <row r="623" spans="1:11" s="9" customFormat="1" ht="13.2">
      <c r="A623" s="6"/>
      <c r="B623" s="6"/>
      <c r="C623" s="6"/>
      <c r="D623" s="6"/>
      <c r="E623" s="6"/>
      <c r="F623" s="12"/>
      <c r="G623" s="12"/>
      <c r="H623" s="12"/>
      <c r="I623" s="12"/>
      <c r="J623" s="12"/>
      <c r="K623" s="12"/>
    </row>
    <row r="624" spans="1:11" s="9" customFormat="1" ht="13.2">
      <c r="A624" s="6"/>
      <c r="B624" s="6"/>
      <c r="C624" s="6"/>
      <c r="D624" s="6"/>
      <c r="E624" s="6"/>
      <c r="F624" s="12"/>
      <c r="G624" s="12"/>
      <c r="H624" s="12"/>
      <c r="I624" s="12"/>
      <c r="J624" s="12"/>
      <c r="K624" s="12"/>
    </row>
    <row r="625" spans="1:13" s="9" customFormat="1" ht="13.2">
      <c r="A625" s="6"/>
      <c r="B625" s="6"/>
      <c r="C625" s="6"/>
      <c r="D625" s="6"/>
      <c r="E625" s="6"/>
      <c r="F625" s="12"/>
      <c r="G625" s="12"/>
      <c r="H625" s="12"/>
      <c r="I625" s="12"/>
      <c r="J625" s="12"/>
      <c r="K625" s="12"/>
    </row>
    <row r="626" spans="1:13" s="9" customFormat="1" ht="13.2">
      <c r="A626" s="6"/>
      <c r="B626" s="6"/>
      <c r="C626" s="6"/>
      <c r="D626" s="6"/>
      <c r="E626" s="6"/>
      <c r="F626" s="12"/>
      <c r="G626" s="12"/>
      <c r="H626" s="12"/>
      <c r="I626" s="12"/>
      <c r="J626" s="12"/>
      <c r="K626" s="12"/>
    </row>
    <row r="627" spans="1:13" s="9" customForma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s="9" customForma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s="9" customForma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s="9" customForma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s="9" customForma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s="9" customForma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</sheetData>
  <mergeCells count="302">
    <mergeCell ref="B18:F18"/>
    <mergeCell ref="B22:F22"/>
    <mergeCell ref="B23:F23"/>
    <mergeCell ref="B28:F28"/>
    <mergeCell ref="L8:M8"/>
    <mergeCell ref="A9:A10"/>
    <mergeCell ref="B9:F10"/>
    <mergeCell ref="G9:I10"/>
    <mergeCell ref="J9:L9"/>
    <mergeCell ref="M9:M10"/>
    <mergeCell ref="J10:K10"/>
    <mergeCell ref="G18:I18"/>
    <mergeCell ref="J18:K18"/>
    <mergeCell ref="G19:I19"/>
    <mergeCell ref="J19:K19"/>
    <mergeCell ref="G20:I20"/>
    <mergeCell ref="J20:K20"/>
    <mergeCell ref="G24:I24"/>
    <mergeCell ref="J24:K24"/>
    <mergeCell ref="B25:F25"/>
    <mergeCell ref="G25:I25"/>
    <mergeCell ref="J25:K25"/>
    <mergeCell ref="G26:I26"/>
    <mergeCell ref="J26:K26"/>
    <mergeCell ref="B3:H3"/>
    <mergeCell ref="L3:M3"/>
    <mergeCell ref="L4:M4"/>
    <mergeCell ref="L5:M5"/>
    <mergeCell ref="B6:H6"/>
    <mergeCell ref="L6:M6"/>
    <mergeCell ref="G17:I17"/>
    <mergeCell ref="J17:K17"/>
    <mergeCell ref="G11:I11"/>
    <mergeCell ref="B12:F12"/>
    <mergeCell ref="G12:I12"/>
    <mergeCell ref="G13:I13"/>
    <mergeCell ref="J13:K13"/>
    <mergeCell ref="G14:I14"/>
    <mergeCell ref="J14:K14"/>
    <mergeCell ref="G15:I15"/>
    <mergeCell ref="J15:K15"/>
    <mergeCell ref="G16:I16"/>
    <mergeCell ref="J16:K16"/>
    <mergeCell ref="G21:I21"/>
    <mergeCell ref="J21:K21"/>
    <mergeCell ref="G22:I22"/>
    <mergeCell ref="J22:K22"/>
    <mergeCell ref="G23:I23"/>
    <mergeCell ref="J23:K23"/>
    <mergeCell ref="G34:I34"/>
    <mergeCell ref="J34:K34"/>
    <mergeCell ref="G36:I36"/>
    <mergeCell ref="J36:K36"/>
    <mergeCell ref="J41:K41"/>
    <mergeCell ref="J42:K42"/>
    <mergeCell ref="G33:I33"/>
    <mergeCell ref="J33:K33"/>
    <mergeCell ref="B27:F27"/>
    <mergeCell ref="G27:I27"/>
    <mergeCell ref="J27:K27"/>
    <mergeCell ref="G28:I28"/>
    <mergeCell ref="J28:K28"/>
    <mergeCell ref="G29:I29"/>
    <mergeCell ref="J29:K29"/>
    <mergeCell ref="B37:F37"/>
    <mergeCell ref="B38:F38"/>
    <mergeCell ref="B39:F39"/>
    <mergeCell ref="B40:F40"/>
    <mergeCell ref="B41:F41"/>
    <mergeCell ref="B42:F42"/>
    <mergeCell ref="B47:F47"/>
    <mergeCell ref="G47:H47"/>
    <mergeCell ref="J47:K47"/>
    <mergeCell ref="B48:F48"/>
    <mergeCell ref="G48:H48"/>
    <mergeCell ref="J48:K48"/>
    <mergeCell ref="G43:I43"/>
    <mergeCell ref="J43:K43"/>
    <mergeCell ref="B44:F44"/>
    <mergeCell ref="B46:F46"/>
    <mergeCell ref="G46:H46"/>
    <mergeCell ref="J46:K46"/>
    <mergeCell ref="B43:F43"/>
    <mergeCell ref="B51:F51"/>
    <mergeCell ref="G51:I51"/>
    <mergeCell ref="A53:F53"/>
    <mergeCell ref="H53:M53"/>
    <mergeCell ref="A54:F54"/>
    <mergeCell ref="H54:M54"/>
    <mergeCell ref="B49:F49"/>
    <mergeCell ref="G49:H49"/>
    <mergeCell ref="J49:K49"/>
    <mergeCell ref="B50:F50"/>
    <mergeCell ref="G50:H50"/>
    <mergeCell ref="J50:K50"/>
    <mergeCell ref="A58:F58"/>
    <mergeCell ref="H58:M58"/>
    <mergeCell ref="A59:F59"/>
    <mergeCell ref="H59:M59"/>
    <mergeCell ref="A60:F60"/>
    <mergeCell ref="H60:M60"/>
    <mergeCell ref="A55:F55"/>
    <mergeCell ref="H55:M55"/>
    <mergeCell ref="A56:F56"/>
    <mergeCell ref="H56:M56"/>
    <mergeCell ref="A57:F57"/>
    <mergeCell ref="H57:M57"/>
    <mergeCell ref="H64:K64"/>
    <mergeCell ref="L64:M64"/>
    <mergeCell ref="A65:F65"/>
    <mergeCell ref="H65:I65"/>
    <mergeCell ref="J65:K65"/>
    <mergeCell ref="A66:F66"/>
    <mergeCell ref="H66:I66"/>
    <mergeCell ref="J66:K66"/>
    <mergeCell ref="A61:F61"/>
    <mergeCell ref="H61:M61"/>
    <mergeCell ref="A62:F62"/>
    <mergeCell ref="H62:M62"/>
    <mergeCell ref="A63:F63"/>
    <mergeCell ref="H63:M63"/>
    <mergeCell ref="A70:F70"/>
    <mergeCell ref="H70:I70"/>
    <mergeCell ref="J70:K70"/>
    <mergeCell ref="A71:F71"/>
    <mergeCell ref="H71:I71"/>
    <mergeCell ref="J71:K71"/>
    <mergeCell ref="H67:I67"/>
    <mergeCell ref="J67:K67"/>
    <mergeCell ref="A68:F68"/>
    <mergeCell ref="H68:I68"/>
    <mergeCell ref="J68:K68"/>
    <mergeCell ref="A69:F69"/>
    <mergeCell ref="H69:I69"/>
    <mergeCell ref="J69:K69"/>
    <mergeCell ref="A74:F74"/>
    <mergeCell ref="H74:I74"/>
    <mergeCell ref="J74:K74"/>
    <mergeCell ref="A75:F75"/>
    <mergeCell ref="H75:I75"/>
    <mergeCell ref="J75:K75"/>
    <mergeCell ref="A72:F72"/>
    <mergeCell ref="H72:I72"/>
    <mergeCell ref="J72:K72"/>
    <mergeCell ref="A73:F73"/>
    <mergeCell ref="H73:I73"/>
    <mergeCell ref="J73:K73"/>
    <mergeCell ref="A85:B85"/>
    <mergeCell ref="D85:F85"/>
    <mergeCell ref="H85:J85"/>
    <mergeCell ref="L85:M85"/>
    <mergeCell ref="A86:B86"/>
    <mergeCell ref="D86:F86"/>
    <mergeCell ref="H86:J86"/>
    <mergeCell ref="B79:C79"/>
    <mergeCell ref="D79:E79"/>
    <mergeCell ref="F79:G79"/>
    <mergeCell ref="H79:I79"/>
    <mergeCell ref="J79:L79"/>
    <mergeCell ref="B80:C81"/>
    <mergeCell ref="D80:E81"/>
    <mergeCell ref="F80:G81"/>
    <mergeCell ref="H80:I81"/>
    <mergeCell ref="J80:L81"/>
    <mergeCell ref="B95:H95"/>
    <mergeCell ref="L95:M95"/>
    <mergeCell ref="L97:M97"/>
    <mergeCell ref="A98:A99"/>
    <mergeCell ref="B98:F99"/>
    <mergeCell ref="G98:I99"/>
    <mergeCell ref="J98:L98"/>
    <mergeCell ref="M98:M99"/>
    <mergeCell ref="B92:H92"/>
    <mergeCell ref="L92:M92"/>
    <mergeCell ref="B93:H93"/>
    <mergeCell ref="L93:M93"/>
    <mergeCell ref="B94:H94"/>
    <mergeCell ref="L94:M94"/>
    <mergeCell ref="B103:F103"/>
    <mergeCell ref="G103:I103"/>
    <mergeCell ref="B104:F104"/>
    <mergeCell ref="G104:I104"/>
    <mergeCell ref="B105:F105"/>
    <mergeCell ref="G105:I105"/>
    <mergeCell ref="B100:F100"/>
    <mergeCell ref="G100:I100"/>
    <mergeCell ref="B101:F101"/>
    <mergeCell ref="G101:I101"/>
    <mergeCell ref="B102:F102"/>
    <mergeCell ref="G102:I102"/>
    <mergeCell ref="B109:F109"/>
    <mergeCell ref="G109:I109"/>
    <mergeCell ref="B110:F110"/>
    <mergeCell ref="G110:I110"/>
    <mergeCell ref="B111:F111"/>
    <mergeCell ref="G111:I111"/>
    <mergeCell ref="B106:F106"/>
    <mergeCell ref="G106:I106"/>
    <mergeCell ref="B107:F107"/>
    <mergeCell ref="G107:I107"/>
    <mergeCell ref="B108:F108"/>
    <mergeCell ref="G108:I108"/>
    <mergeCell ref="B115:F115"/>
    <mergeCell ref="G115:I115"/>
    <mergeCell ref="B116:F116"/>
    <mergeCell ref="G116:I116"/>
    <mergeCell ref="B117:F117"/>
    <mergeCell ref="G117:I117"/>
    <mergeCell ref="B112:F112"/>
    <mergeCell ref="G112:I112"/>
    <mergeCell ref="B113:F113"/>
    <mergeCell ref="G113:I113"/>
    <mergeCell ref="B114:F114"/>
    <mergeCell ref="G114:I114"/>
    <mergeCell ref="B123:F123"/>
    <mergeCell ref="G123:H123"/>
    <mergeCell ref="B124:F124"/>
    <mergeCell ref="G124:H124"/>
    <mergeCell ref="B125:F125"/>
    <mergeCell ref="G125:H125"/>
    <mergeCell ref="B118:F118"/>
    <mergeCell ref="G118:I118"/>
    <mergeCell ref="B119:F119"/>
    <mergeCell ref="G119:I119"/>
    <mergeCell ref="B120:F120"/>
    <mergeCell ref="B122:F122"/>
    <mergeCell ref="G122:H122"/>
    <mergeCell ref="A130:F130"/>
    <mergeCell ref="H130:M130"/>
    <mergeCell ref="A131:F131"/>
    <mergeCell ref="H131:M131"/>
    <mergeCell ref="A132:F132"/>
    <mergeCell ref="H132:M132"/>
    <mergeCell ref="B126:F126"/>
    <mergeCell ref="G126:H126"/>
    <mergeCell ref="B127:F127"/>
    <mergeCell ref="G127:I127"/>
    <mergeCell ref="A129:F129"/>
    <mergeCell ref="H129:M129"/>
    <mergeCell ref="A136:F136"/>
    <mergeCell ref="H136:M136"/>
    <mergeCell ref="A137:F137"/>
    <mergeCell ref="H137:M137"/>
    <mergeCell ref="A138:F138"/>
    <mergeCell ref="H138:M138"/>
    <mergeCell ref="A133:F133"/>
    <mergeCell ref="H133:M133"/>
    <mergeCell ref="A134:F134"/>
    <mergeCell ref="H134:M134"/>
    <mergeCell ref="A135:F135"/>
    <mergeCell ref="H135:M135"/>
    <mergeCell ref="A147:F147"/>
    <mergeCell ref="H147:I147"/>
    <mergeCell ref="A142:F142"/>
    <mergeCell ref="H142:I142"/>
    <mergeCell ref="A143:F143"/>
    <mergeCell ref="H143:I143"/>
    <mergeCell ref="A144:F144"/>
    <mergeCell ref="H144:I144"/>
    <mergeCell ref="A139:F139"/>
    <mergeCell ref="H139:M139"/>
    <mergeCell ref="H140:J140"/>
    <mergeCell ref="L140:M140"/>
    <mergeCell ref="A141:F141"/>
    <mergeCell ref="H141:I141"/>
    <mergeCell ref="A162:B162"/>
    <mergeCell ref="D162:F162"/>
    <mergeCell ref="H162:J162"/>
    <mergeCell ref="J155:L155"/>
    <mergeCell ref="B156:C157"/>
    <mergeCell ref="D156:E157"/>
    <mergeCell ref="F156:G157"/>
    <mergeCell ref="H156:I157"/>
    <mergeCell ref="J156:L157"/>
    <mergeCell ref="B155:C155"/>
    <mergeCell ref="D155:E155"/>
    <mergeCell ref="F155:G155"/>
    <mergeCell ref="H155:I155"/>
    <mergeCell ref="L31:L32"/>
    <mergeCell ref="M31:M32"/>
    <mergeCell ref="G30:I30"/>
    <mergeCell ref="A31:A32"/>
    <mergeCell ref="G31:I32"/>
    <mergeCell ref="B31:F31"/>
    <mergeCell ref="B32:F32"/>
    <mergeCell ref="J31:K32"/>
    <mergeCell ref="A161:B161"/>
    <mergeCell ref="D161:F161"/>
    <mergeCell ref="H161:J161"/>
    <mergeCell ref="L161:M161"/>
    <mergeCell ref="A151:F151"/>
    <mergeCell ref="H151:I151"/>
    <mergeCell ref="A148:F148"/>
    <mergeCell ref="H148:I148"/>
    <mergeCell ref="A149:F149"/>
    <mergeCell ref="H149:I149"/>
    <mergeCell ref="A150:F150"/>
    <mergeCell ref="H150:I150"/>
    <mergeCell ref="A145:F145"/>
    <mergeCell ref="H145:I145"/>
    <mergeCell ref="A146:F146"/>
    <mergeCell ref="H146:I146"/>
  </mergeCells>
  <printOptions horizontalCentered="1"/>
  <pageMargins left="0.31496062992126" right="0.31496062992126" top="0.35433070866141703" bottom="0.35433070866141703" header="0.31496062992126" footer="0.31496062992126"/>
  <pageSetup paperSize="14" scale="58" orientation="portrait" r:id="rId1"/>
  <rowBreaks count="1" manualBreakCount="1">
    <brk id="86" max="11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EDCD-106A-4616-8914-1EE38F38B9BB}">
  <sheetPr>
    <tabColor rgb="FFFFC000"/>
    <pageSetUpPr fitToPage="1"/>
  </sheetPr>
  <dimension ref="A1:O626"/>
  <sheetViews>
    <sheetView view="pageBreakPreview" zoomScale="89" zoomScaleNormal="55" zoomScaleSheetLayoutView="89" zoomScalePageLayoutView="25" workbookViewId="0">
      <selection activeCell="Q32" sqref="P32:Q32"/>
    </sheetView>
  </sheetViews>
  <sheetFormatPr defaultColWidth="9.109375" defaultRowHeight="13.8"/>
  <cols>
    <col min="1" max="1" width="18.6640625" style="1" customWidth="1"/>
    <col min="2" max="2" width="12.6640625" style="1" customWidth="1"/>
    <col min="3" max="3" width="6.6640625" style="1" customWidth="1"/>
    <col min="4" max="4" width="12.6640625" style="1" customWidth="1"/>
    <col min="5" max="5" width="11.109375" style="1" customWidth="1"/>
    <col min="6" max="6" width="26.77734375" style="1" customWidth="1"/>
    <col min="7" max="7" width="7.5546875" style="1" customWidth="1"/>
    <col min="8" max="8" width="15.21875" style="1" customWidth="1"/>
    <col min="9" max="9" width="8.5546875" style="1" customWidth="1"/>
    <col min="10" max="10" width="15.33203125" style="1" customWidth="1"/>
    <col min="11" max="11" width="1.6640625" style="1" customWidth="1"/>
    <col min="12" max="12" width="17" style="1" customWidth="1"/>
    <col min="13" max="13" width="18.5546875" style="1" customWidth="1"/>
    <col min="14" max="14" width="9.109375" style="1"/>
    <col min="15" max="15" width="14" style="1" bestFit="1" customWidth="1"/>
    <col min="16" max="16384" width="9.109375" style="1"/>
  </cols>
  <sheetData>
    <row r="1" spans="1:13" ht="52.5" customHeight="1"/>
    <row r="2" spans="1:13" ht="14.25" customHeight="1">
      <c r="A2" s="40"/>
      <c r="B2" s="40"/>
      <c r="C2" s="40"/>
      <c r="D2" s="40"/>
      <c r="E2" s="40"/>
    </row>
    <row r="3" spans="1:13" s="16" customFormat="1" ht="16.5" customHeight="1">
      <c r="A3" s="21" t="s">
        <v>0</v>
      </c>
      <c r="B3" s="554"/>
      <c r="C3" s="554"/>
      <c r="D3" s="554"/>
      <c r="E3" s="554"/>
      <c r="F3" s="554"/>
      <c r="G3" s="554"/>
      <c r="H3" s="554"/>
      <c r="J3" s="22"/>
      <c r="K3" s="22"/>
      <c r="L3" s="555"/>
      <c r="M3" s="555"/>
    </row>
    <row r="4" spans="1:13" s="16" customFormat="1" ht="16.5" customHeight="1">
      <c r="A4" s="21" t="s">
        <v>2</v>
      </c>
      <c r="B4" s="323" t="s">
        <v>551</v>
      </c>
      <c r="C4" s="323"/>
      <c r="D4" s="323"/>
      <c r="E4" s="323"/>
      <c r="F4" s="323"/>
      <c r="G4" s="323"/>
      <c r="H4" s="323"/>
      <c r="J4" s="22"/>
      <c r="K4" s="22"/>
      <c r="L4" s="555"/>
      <c r="M4" s="555"/>
    </row>
    <row r="5" spans="1:13" s="16" customFormat="1" ht="16.5" customHeight="1">
      <c r="A5" s="69"/>
      <c r="B5" s="323" t="s">
        <v>552</v>
      </c>
      <c r="C5" s="323"/>
      <c r="D5" s="323"/>
      <c r="E5" s="323"/>
      <c r="F5" s="323"/>
      <c r="G5" s="323"/>
      <c r="H5" s="323"/>
      <c r="I5" s="21" t="s">
        <v>5</v>
      </c>
      <c r="J5" s="22"/>
      <c r="K5" s="22"/>
      <c r="L5" s="557" t="s">
        <v>337</v>
      </c>
      <c r="M5" s="557"/>
    </row>
    <row r="6" spans="1:13" s="16" customFormat="1" ht="16.5" customHeight="1">
      <c r="A6" s="22" t="s">
        <v>10</v>
      </c>
      <c r="B6" s="556" t="s">
        <v>549</v>
      </c>
      <c r="C6" s="556"/>
      <c r="D6" s="556"/>
      <c r="E6" s="556"/>
      <c r="F6" s="556"/>
      <c r="G6" s="556"/>
      <c r="H6" s="556"/>
      <c r="I6" s="21" t="s">
        <v>8</v>
      </c>
      <c r="J6" s="21"/>
      <c r="K6" s="21"/>
      <c r="L6" s="669"/>
      <c r="M6" s="669"/>
    </row>
    <row r="7" spans="1:13" s="16" customFormat="1" ht="16.5" customHeight="1">
      <c r="A7" s="22"/>
      <c r="J7" s="59"/>
      <c r="K7" s="59"/>
      <c r="L7" s="485"/>
      <c r="M7" s="485"/>
    </row>
    <row r="8" spans="1:13" ht="16.5" customHeight="1" thickBot="1">
      <c r="A8" s="2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555"/>
      <c r="M8" s="555"/>
    </row>
    <row r="9" spans="1:13" s="2" customFormat="1" ht="16.5" customHeight="1">
      <c r="A9" s="701" t="s">
        <v>13</v>
      </c>
      <c r="B9" s="703" t="s">
        <v>14</v>
      </c>
      <c r="C9" s="703"/>
      <c r="D9" s="703"/>
      <c r="E9" s="703"/>
      <c r="F9" s="703"/>
      <c r="G9" s="703" t="s">
        <v>15</v>
      </c>
      <c r="H9" s="703"/>
      <c r="I9" s="703"/>
      <c r="J9" s="704" t="s">
        <v>16</v>
      </c>
      <c r="K9" s="704"/>
      <c r="L9" s="704"/>
      <c r="M9" s="705" t="s">
        <v>17</v>
      </c>
    </row>
    <row r="10" spans="1:13" s="2" customFormat="1" ht="16.5" customHeight="1">
      <c r="A10" s="731"/>
      <c r="B10" s="552"/>
      <c r="C10" s="552"/>
      <c r="D10" s="552"/>
      <c r="E10" s="552"/>
      <c r="F10" s="552"/>
      <c r="G10" s="552"/>
      <c r="H10" s="552"/>
      <c r="I10" s="552"/>
      <c r="J10" s="733" t="s">
        <v>18</v>
      </c>
      <c r="K10" s="734"/>
      <c r="L10" s="20" t="s">
        <v>19</v>
      </c>
      <c r="M10" s="784"/>
    </row>
    <row r="11" spans="1:13" s="2" customFormat="1" ht="16.5" customHeight="1">
      <c r="A11" s="543" t="s">
        <v>104</v>
      </c>
      <c r="B11" s="327" t="s">
        <v>262</v>
      </c>
      <c r="C11" s="501"/>
      <c r="D11" s="501"/>
      <c r="E11" s="501"/>
      <c r="F11" s="500"/>
      <c r="G11" s="733"/>
      <c r="H11" s="740"/>
      <c r="I11" s="734"/>
      <c r="J11" s="499"/>
      <c r="K11" s="500"/>
      <c r="L11" s="20"/>
      <c r="M11" s="398" t="s">
        <v>106</v>
      </c>
    </row>
    <row r="12" spans="1:13" s="2" customFormat="1" ht="19.8" customHeight="1">
      <c r="A12" s="440" t="s">
        <v>107</v>
      </c>
      <c r="B12" s="781" t="s">
        <v>108</v>
      </c>
      <c r="C12" s="782"/>
      <c r="D12" s="782"/>
      <c r="E12" s="782"/>
      <c r="F12" s="783"/>
      <c r="G12" s="733"/>
      <c r="H12" s="740"/>
      <c r="I12" s="734"/>
      <c r="J12" s="499"/>
      <c r="K12" s="500"/>
      <c r="L12" s="20"/>
      <c r="M12" s="397" t="s">
        <v>547</v>
      </c>
    </row>
    <row r="13" spans="1:13" s="326" customFormat="1" ht="16.5" customHeight="1">
      <c r="A13" s="395" t="s">
        <v>111</v>
      </c>
      <c r="B13" s="327" t="s">
        <v>112</v>
      </c>
      <c r="C13" s="328"/>
      <c r="D13" s="328"/>
      <c r="E13" s="328"/>
      <c r="F13" s="329"/>
      <c r="G13" s="735"/>
      <c r="H13" s="735"/>
      <c r="I13" s="735"/>
      <c r="J13" s="738"/>
      <c r="K13" s="739"/>
      <c r="L13" s="358"/>
      <c r="M13" s="398" t="s">
        <v>547</v>
      </c>
    </row>
    <row r="14" spans="1:13" s="18" customFormat="1" ht="16.5" customHeight="1">
      <c r="A14" s="332" t="s">
        <v>526</v>
      </c>
      <c r="B14" s="327" t="s">
        <v>533</v>
      </c>
      <c r="C14" s="328"/>
      <c r="D14" s="328"/>
      <c r="E14" s="328"/>
      <c r="F14" s="329"/>
      <c r="G14" s="735"/>
      <c r="H14" s="735"/>
      <c r="I14" s="735"/>
      <c r="J14" s="736"/>
      <c r="K14" s="737"/>
      <c r="L14" s="502"/>
      <c r="M14" s="398" t="s">
        <v>331</v>
      </c>
    </row>
    <row r="15" spans="1:13" s="326" customFormat="1" ht="16.5" customHeight="1">
      <c r="A15" s="332" t="s">
        <v>527</v>
      </c>
      <c r="B15" s="327" t="s">
        <v>320</v>
      </c>
      <c r="C15" s="328"/>
      <c r="D15" s="328"/>
      <c r="E15" s="328"/>
      <c r="F15" s="329"/>
      <c r="G15" s="735"/>
      <c r="H15" s="735"/>
      <c r="I15" s="735"/>
      <c r="J15" s="736"/>
      <c r="K15" s="737"/>
      <c r="L15" s="502"/>
      <c r="M15" s="398" t="s">
        <v>331</v>
      </c>
    </row>
    <row r="16" spans="1:13" s="18" customFormat="1" ht="16.2" customHeight="1">
      <c r="A16" s="332" t="s">
        <v>345</v>
      </c>
      <c r="B16" s="327" t="s">
        <v>359</v>
      </c>
      <c r="C16" s="328"/>
      <c r="D16" s="328"/>
      <c r="E16" s="328"/>
      <c r="F16" s="329"/>
      <c r="G16" s="735"/>
      <c r="H16" s="735"/>
      <c r="I16" s="735"/>
      <c r="J16" s="736"/>
      <c r="K16" s="737"/>
      <c r="L16" s="502"/>
      <c r="M16" s="398" t="s">
        <v>331</v>
      </c>
    </row>
    <row r="17" spans="1:14" s="326" customFormat="1" ht="16.5" customHeight="1">
      <c r="A17" s="395" t="s">
        <v>528</v>
      </c>
      <c r="B17" s="744" t="s">
        <v>534</v>
      </c>
      <c r="C17" s="745"/>
      <c r="D17" s="745"/>
      <c r="E17" s="745"/>
      <c r="F17" s="746"/>
      <c r="G17" s="735"/>
      <c r="H17" s="735"/>
      <c r="I17" s="735"/>
      <c r="J17" s="738"/>
      <c r="K17" s="739"/>
      <c r="L17" s="357"/>
      <c r="M17" s="398" t="s">
        <v>547</v>
      </c>
    </row>
    <row r="18" spans="1:14" s="18" customFormat="1" ht="16.5" customHeight="1">
      <c r="A18" s="345" t="s">
        <v>409</v>
      </c>
      <c r="B18" s="330" t="s">
        <v>486</v>
      </c>
      <c r="C18" s="344"/>
      <c r="D18" s="343"/>
      <c r="E18" s="343"/>
      <c r="F18" s="344"/>
      <c r="G18" s="735"/>
      <c r="H18" s="735"/>
      <c r="I18" s="735"/>
      <c r="J18" s="747"/>
      <c r="K18" s="748"/>
      <c r="L18" s="502"/>
      <c r="M18" s="398" t="s">
        <v>331</v>
      </c>
    </row>
    <row r="19" spans="1:14" s="326" customFormat="1" ht="16.5" customHeight="1">
      <c r="A19" s="345" t="s">
        <v>529</v>
      </c>
      <c r="B19" s="330" t="s">
        <v>442</v>
      </c>
      <c r="C19" s="344"/>
      <c r="D19" s="343"/>
      <c r="E19" s="343"/>
      <c r="F19" s="344"/>
      <c r="G19" s="735"/>
      <c r="H19" s="735"/>
      <c r="I19" s="735"/>
      <c r="J19" s="747"/>
      <c r="K19" s="748"/>
      <c r="L19" s="502"/>
      <c r="M19" s="398" t="s">
        <v>265</v>
      </c>
    </row>
    <row r="20" spans="1:14" s="326" customFormat="1" ht="16.5" customHeight="1">
      <c r="A20" s="332" t="s">
        <v>530</v>
      </c>
      <c r="B20" s="686" t="s">
        <v>420</v>
      </c>
      <c r="C20" s="687"/>
      <c r="D20" s="687"/>
      <c r="E20" s="687"/>
      <c r="F20" s="688"/>
      <c r="G20" s="735"/>
      <c r="H20" s="735"/>
      <c r="I20" s="735"/>
      <c r="J20" s="747"/>
      <c r="K20" s="748"/>
      <c r="L20" s="502"/>
      <c r="M20" s="398" t="s">
        <v>331</v>
      </c>
    </row>
    <row r="21" spans="1:14" s="18" customFormat="1" ht="16.5" customHeight="1">
      <c r="A21" s="332" t="s">
        <v>531</v>
      </c>
      <c r="B21" s="330" t="s">
        <v>364</v>
      </c>
      <c r="C21" s="329"/>
      <c r="D21" s="343"/>
      <c r="E21" s="343"/>
      <c r="F21" s="344"/>
      <c r="G21" s="735"/>
      <c r="H21" s="735"/>
      <c r="I21" s="735"/>
      <c r="J21" s="747"/>
      <c r="K21" s="748"/>
      <c r="L21" s="502"/>
      <c r="M21" s="398" t="s">
        <v>331</v>
      </c>
    </row>
    <row r="22" spans="1:14" s="326" customFormat="1" ht="16.5" customHeight="1">
      <c r="A22" s="332" t="s">
        <v>532</v>
      </c>
      <c r="B22" s="686" t="s">
        <v>539</v>
      </c>
      <c r="C22" s="687"/>
      <c r="D22" s="687"/>
      <c r="E22" s="687"/>
      <c r="F22" s="688"/>
      <c r="G22" s="735"/>
      <c r="H22" s="735"/>
      <c r="I22" s="735"/>
      <c r="J22" s="747"/>
      <c r="K22" s="748"/>
      <c r="L22" s="502"/>
      <c r="M22" s="398" t="s">
        <v>331</v>
      </c>
    </row>
    <row r="23" spans="1:14" s="18" customFormat="1" ht="16.5" customHeight="1">
      <c r="A23" s="332">
        <v>804</v>
      </c>
      <c r="B23" s="686" t="s">
        <v>118</v>
      </c>
      <c r="C23" s="687"/>
      <c r="D23" s="687"/>
      <c r="E23" s="687"/>
      <c r="F23" s="688"/>
      <c r="G23" s="752"/>
      <c r="H23" s="753"/>
      <c r="I23" s="754"/>
      <c r="J23" s="747"/>
      <c r="K23" s="748"/>
      <c r="L23" s="502"/>
      <c r="M23" s="398" t="s">
        <v>265</v>
      </c>
    </row>
    <row r="24" spans="1:14" s="326" customFormat="1" ht="16.5" customHeight="1">
      <c r="A24" s="395" t="s">
        <v>535</v>
      </c>
      <c r="B24" s="432" t="s">
        <v>540</v>
      </c>
      <c r="C24" s="394"/>
      <c r="D24" s="343"/>
      <c r="E24" s="343"/>
      <c r="F24" s="344"/>
      <c r="G24" s="752"/>
      <c r="H24" s="753"/>
      <c r="I24" s="754"/>
      <c r="J24" s="747"/>
      <c r="K24" s="748"/>
      <c r="L24" s="333"/>
      <c r="M24" s="398" t="s">
        <v>547</v>
      </c>
      <c r="N24" s="326" t="s">
        <v>548</v>
      </c>
    </row>
    <row r="25" spans="1:14" s="18" customFormat="1" ht="16.5" customHeight="1">
      <c r="A25" s="332" t="s">
        <v>536</v>
      </c>
      <c r="B25" s="686" t="s">
        <v>541</v>
      </c>
      <c r="C25" s="687"/>
      <c r="D25" s="687"/>
      <c r="E25" s="687"/>
      <c r="F25" s="688"/>
      <c r="G25" s="752"/>
      <c r="H25" s="753"/>
      <c r="I25" s="754"/>
      <c r="J25" s="747"/>
      <c r="K25" s="748"/>
      <c r="L25" s="333"/>
      <c r="M25" s="398" t="s">
        <v>547</v>
      </c>
    </row>
    <row r="26" spans="1:14" s="326" customFormat="1" ht="16.5" customHeight="1">
      <c r="A26" s="395">
        <v>1101</v>
      </c>
      <c r="B26" s="432" t="s">
        <v>542</v>
      </c>
      <c r="C26" s="394"/>
      <c r="D26" s="343"/>
      <c r="E26" s="343"/>
      <c r="F26" s="344"/>
      <c r="G26" s="752"/>
      <c r="H26" s="753"/>
      <c r="I26" s="754"/>
      <c r="J26" s="747"/>
      <c r="K26" s="748"/>
      <c r="L26" s="333"/>
      <c r="M26" s="398" t="s">
        <v>333</v>
      </c>
    </row>
    <row r="27" spans="1:14" s="18" customFormat="1" ht="16.5" customHeight="1">
      <c r="A27" s="332">
        <v>1103</v>
      </c>
      <c r="B27" s="785" t="s">
        <v>328</v>
      </c>
      <c r="C27" s="786"/>
      <c r="D27" s="786"/>
      <c r="E27" s="786"/>
      <c r="F27" s="787"/>
      <c r="G27" s="752"/>
      <c r="H27" s="753"/>
      <c r="I27" s="754"/>
      <c r="J27" s="747"/>
      <c r="K27" s="748"/>
      <c r="L27" s="333"/>
      <c r="M27" s="398" t="s">
        <v>333</v>
      </c>
    </row>
    <row r="28" spans="1:14" s="326" customFormat="1" ht="16.5" customHeight="1">
      <c r="A28" s="395">
        <v>1100</v>
      </c>
      <c r="B28" s="432" t="s">
        <v>543</v>
      </c>
      <c r="C28" s="394"/>
      <c r="D28" s="343"/>
      <c r="E28" s="343"/>
      <c r="F28" s="344"/>
      <c r="G28" s="752"/>
      <c r="H28" s="753"/>
      <c r="I28" s="754"/>
      <c r="J28" s="747"/>
      <c r="K28" s="748"/>
      <c r="L28" s="333"/>
      <c r="M28" s="398" t="s">
        <v>333</v>
      </c>
    </row>
    <row r="29" spans="1:14" s="18" customFormat="1" ht="16.5" customHeight="1">
      <c r="A29" s="395">
        <v>1002</v>
      </c>
      <c r="B29" s="775" t="s">
        <v>368</v>
      </c>
      <c r="C29" s="776"/>
      <c r="D29" s="776"/>
      <c r="E29" s="776"/>
      <c r="F29" s="777"/>
      <c r="G29" s="752"/>
      <c r="H29" s="753"/>
      <c r="I29" s="754"/>
      <c r="J29" s="747"/>
      <c r="K29" s="748"/>
      <c r="L29" s="333"/>
      <c r="M29" s="398" t="s">
        <v>333</v>
      </c>
    </row>
    <row r="30" spans="1:14" s="18" customFormat="1" ht="16.5" customHeight="1">
      <c r="A30" s="395" t="s">
        <v>537</v>
      </c>
      <c r="B30" s="775" t="s">
        <v>544</v>
      </c>
      <c r="C30" s="776"/>
      <c r="D30" s="776"/>
      <c r="E30" s="776"/>
      <c r="F30" s="777"/>
      <c r="G30" s="752"/>
      <c r="H30" s="753"/>
      <c r="I30" s="754"/>
      <c r="J30" s="502"/>
      <c r="K30" s="503"/>
      <c r="L30" s="333"/>
      <c r="M30" s="398" t="s">
        <v>547</v>
      </c>
    </row>
    <row r="31" spans="1:14" s="326" customFormat="1" ht="16.5" customHeight="1">
      <c r="A31" s="332" t="s">
        <v>538</v>
      </c>
      <c r="B31" s="686" t="s">
        <v>545</v>
      </c>
      <c r="C31" s="687"/>
      <c r="D31" s="687"/>
      <c r="E31" s="687"/>
      <c r="F31" s="688"/>
      <c r="G31" s="530"/>
      <c r="H31" s="531"/>
      <c r="I31" s="532"/>
      <c r="J31" s="536"/>
      <c r="K31" s="537"/>
      <c r="L31" s="540"/>
      <c r="M31" s="529" t="s">
        <v>547</v>
      </c>
    </row>
    <row r="32" spans="1:14" s="326" customFormat="1" ht="16.5" customHeight="1">
      <c r="A32" s="542" t="s">
        <v>409</v>
      </c>
      <c r="B32" s="833" t="s">
        <v>546</v>
      </c>
      <c r="C32" s="834"/>
      <c r="D32" s="834"/>
      <c r="E32" s="834"/>
      <c r="F32" s="835"/>
      <c r="G32" s="533"/>
      <c r="H32" s="534"/>
      <c r="I32" s="535"/>
      <c r="J32" s="538"/>
      <c r="K32" s="539"/>
      <c r="L32" s="541"/>
      <c r="M32" s="398" t="s">
        <v>106</v>
      </c>
    </row>
    <row r="33" spans="1:13" s="326" customFormat="1" ht="16.5" customHeight="1">
      <c r="A33" s="332"/>
      <c r="B33" s="825"/>
      <c r="C33" s="826"/>
      <c r="D33" s="826"/>
      <c r="E33" s="826"/>
      <c r="F33" s="827"/>
      <c r="G33" s="504"/>
      <c r="H33" s="505"/>
      <c r="I33" s="506"/>
      <c r="J33" s="502"/>
      <c r="K33" s="503"/>
      <c r="L33" s="333"/>
      <c r="M33" s="398"/>
    </row>
    <row r="34" spans="1:13" s="326" customFormat="1" ht="16.5" customHeight="1">
      <c r="A34" s="332"/>
      <c r="B34" s="825"/>
      <c r="C34" s="826"/>
      <c r="D34" s="826"/>
      <c r="E34" s="826"/>
      <c r="F34" s="827"/>
      <c r="G34" s="504"/>
      <c r="H34" s="505"/>
      <c r="I34" s="506"/>
      <c r="J34" s="502"/>
      <c r="K34" s="503"/>
      <c r="L34" s="333"/>
      <c r="M34" s="398"/>
    </row>
    <row r="35" spans="1:13" s="326" customFormat="1" ht="16.5" customHeight="1">
      <c r="A35" s="332"/>
      <c r="B35" s="825"/>
      <c r="C35" s="826"/>
      <c r="D35" s="826"/>
      <c r="E35" s="826"/>
      <c r="F35" s="827"/>
      <c r="G35" s="504"/>
      <c r="H35" s="505"/>
      <c r="I35" s="506"/>
      <c r="J35" s="747"/>
      <c r="K35" s="748"/>
      <c r="L35" s="333"/>
      <c r="M35" s="398"/>
    </row>
    <row r="36" spans="1:13" s="326" customFormat="1" ht="16.5" customHeight="1">
      <c r="A36" s="395"/>
      <c r="B36" s="772"/>
      <c r="C36" s="773"/>
      <c r="D36" s="773"/>
      <c r="E36" s="773"/>
      <c r="F36" s="774"/>
      <c r="G36" s="504"/>
      <c r="H36" s="505"/>
      <c r="I36" s="506"/>
      <c r="J36" s="747"/>
      <c r="K36" s="748"/>
      <c r="L36" s="333"/>
      <c r="M36" s="398"/>
    </row>
    <row r="37" spans="1:13" s="18" customFormat="1" ht="16.5" customHeight="1" thickBot="1">
      <c r="A37" s="346"/>
      <c r="B37" s="800"/>
      <c r="C37" s="801"/>
      <c r="D37" s="801"/>
      <c r="E37" s="801"/>
      <c r="F37" s="802"/>
      <c r="G37" s="757"/>
      <c r="H37" s="757"/>
      <c r="I37" s="757"/>
      <c r="J37" s="758"/>
      <c r="K37" s="759"/>
      <c r="L37" s="350"/>
      <c r="M37" s="399"/>
    </row>
    <row r="38" spans="1:13" s="18" customFormat="1" ht="16.5" customHeight="1">
      <c r="A38" s="488"/>
      <c r="B38" s="566"/>
      <c r="C38" s="566"/>
      <c r="D38" s="566"/>
      <c r="E38" s="566"/>
      <c r="F38" s="566"/>
      <c r="G38" s="488"/>
      <c r="H38" s="41"/>
      <c r="I38" s="41"/>
      <c r="J38" s="42"/>
      <c r="K38" s="42"/>
      <c r="L38" s="43"/>
      <c r="M38" s="3"/>
    </row>
    <row r="39" spans="1:13" s="18" customFormat="1" ht="16.5" customHeight="1">
      <c r="A39" s="26" t="s">
        <v>23</v>
      </c>
      <c r="B39" s="490"/>
      <c r="C39" s="490"/>
      <c r="D39" s="490"/>
      <c r="E39" s="490"/>
      <c r="F39" s="17"/>
      <c r="G39" s="17"/>
      <c r="H39" s="17"/>
      <c r="I39" s="17"/>
      <c r="J39" s="17"/>
      <c r="K39" s="17"/>
      <c r="L39" s="3"/>
      <c r="M39" s="3"/>
    </row>
    <row r="40" spans="1:13" s="25" customFormat="1" ht="16.5" customHeight="1">
      <c r="A40" s="19" t="s">
        <v>13</v>
      </c>
      <c r="B40" s="567" t="s">
        <v>14</v>
      </c>
      <c r="C40" s="567"/>
      <c r="D40" s="567"/>
      <c r="E40" s="567"/>
      <c r="F40" s="567"/>
      <c r="G40" s="568" t="s">
        <v>24</v>
      </c>
      <c r="H40" s="568"/>
      <c r="I40" s="489" t="s">
        <v>17</v>
      </c>
      <c r="J40" s="733" t="s">
        <v>25</v>
      </c>
      <c r="K40" s="734"/>
      <c r="L40" s="484" t="s">
        <v>26</v>
      </c>
      <c r="M40" s="484" t="s">
        <v>27</v>
      </c>
    </row>
    <row r="41" spans="1:13" s="18" customFormat="1" ht="16.5" customHeight="1">
      <c r="A41" s="317"/>
      <c r="B41" s="563"/>
      <c r="C41" s="563"/>
      <c r="D41" s="563"/>
      <c r="E41" s="563"/>
      <c r="F41" s="563"/>
      <c r="G41" s="564"/>
      <c r="H41" s="564"/>
      <c r="I41" s="487"/>
      <c r="J41" s="755"/>
      <c r="K41" s="756"/>
      <c r="L41" s="494"/>
      <c r="M41" s="494"/>
    </row>
    <row r="42" spans="1:13" s="52" customFormat="1" ht="16.5" customHeight="1">
      <c r="A42" s="486"/>
      <c r="B42" s="563"/>
      <c r="C42" s="563"/>
      <c r="D42" s="563"/>
      <c r="E42" s="563"/>
      <c r="F42" s="563"/>
      <c r="G42" s="564"/>
      <c r="H42" s="564"/>
      <c r="I42" s="487"/>
      <c r="J42" s="755"/>
      <c r="K42" s="756"/>
      <c r="L42" s="494"/>
      <c r="M42" s="494"/>
    </row>
    <row r="43" spans="1:13" s="52" customFormat="1" ht="16.5" customHeight="1">
      <c r="A43" s="486"/>
      <c r="B43" s="563"/>
      <c r="C43" s="563"/>
      <c r="D43" s="563"/>
      <c r="E43" s="563"/>
      <c r="F43" s="563"/>
      <c r="G43" s="564"/>
      <c r="H43" s="564"/>
      <c r="I43" s="487"/>
      <c r="J43" s="755"/>
      <c r="K43" s="756"/>
      <c r="L43" s="494"/>
      <c r="M43" s="494"/>
    </row>
    <row r="44" spans="1:13" s="52" customFormat="1" ht="16.5" customHeight="1">
      <c r="A44" s="486"/>
      <c r="B44" s="563"/>
      <c r="C44" s="563"/>
      <c r="D44" s="563"/>
      <c r="E44" s="563"/>
      <c r="F44" s="563"/>
      <c r="G44" s="564"/>
      <c r="H44" s="564"/>
      <c r="I44" s="487"/>
      <c r="J44" s="755"/>
      <c r="K44" s="756"/>
      <c r="L44" s="494"/>
      <c r="M44" s="494"/>
    </row>
    <row r="45" spans="1:13" s="52" customFormat="1" ht="16.5" customHeight="1">
      <c r="A45" s="32"/>
      <c r="B45" s="565"/>
      <c r="C45" s="565"/>
      <c r="D45" s="565"/>
      <c r="E45" s="565"/>
      <c r="F45" s="565"/>
      <c r="G45" s="565"/>
      <c r="H45" s="565"/>
      <c r="I45" s="565"/>
      <c r="J45" s="17"/>
      <c r="K45" s="17"/>
      <c r="L45" s="3"/>
      <c r="M45" s="3"/>
    </row>
    <row r="46" spans="1:13" s="51" customFormat="1" ht="16.5" customHeight="1">
      <c r="A46" s="34" t="s">
        <v>28</v>
      </c>
      <c r="B46" s="34"/>
      <c r="C46" s="34"/>
      <c r="D46" s="34"/>
      <c r="E46" s="34"/>
      <c r="F46" s="17"/>
      <c r="G46" s="38"/>
      <c r="H46" s="36" t="s">
        <v>29</v>
      </c>
      <c r="I46" s="34"/>
      <c r="J46" s="34"/>
      <c r="K46" s="34"/>
      <c r="L46" s="34"/>
      <c r="M46" s="34"/>
    </row>
    <row r="47" spans="1:13" s="51" customFormat="1" ht="16.5" customHeight="1">
      <c r="A47" s="569"/>
      <c r="B47" s="569"/>
      <c r="C47" s="569"/>
      <c r="D47" s="569"/>
      <c r="E47" s="569"/>
      <c r="F47" s="569"/>
      <c r="G47" s="491"/>
      <c r="H47" s="569"/>
      <c r="I47" s="569"/>
      <c r="J47" s="569"/>
      <c r="K47" s="569"/>
      <c r="L47" s="569"/>
      <c r="M47" s="569"/>
    </row>
    <row r="48" spans="1:13" s="51" customFormat="1" ht="16.5" customHeight="1">
      <c r="A48" s="571"/>
      <c r="B48" s="571"/>
      <c r="C48" s="571"/>
      <c r="D48" s="571"/>
      <c r="E48" s="571"/>
      <c r="F48" s="571"/>
      <c r="G48" s="491"/>
      <c r="H48" s="571"/>
      <c r="I48" s="571"/>
      <c r="J48" s="571"/>
      <c r="K48" s="571"/>
      <c r="L48" s="571"/>
      <c r="M48" s="571"/>
    </row>
    <row r="49" spans="1:13" s="51" customFormat="1" ht="16.5" customHeight="1">
      <c r="A49" s="571"/>
      <c r="B49" s="571"/>
      <c r="C49" s="571"/>
      <c r="D49" s="571"/>
      <c r="E49" s="571"/>
      <c r="F49" s="571"/>
      <c r="G49" s="57"/>
      <c r="H49" s="569"/>
      <c r="I49" s="569"/>
      <c r="J49" s="569"/>
      <c r="K49" s="569"/>
      <c r="L49" s="569"/>
      <c r="M49" s="569"/>
    </row>
    <row r="50" spans="1:13" s="51" customFormat="1" ht="16.5" customHeight="1">
      <c r="A50" s="569"/>
      <c r="B50" s="569"/>
      <c r="C50" s="569"/>
      <c r="D50" s="569"/>
      <c r="E50" s="569"/>
      <c r="F50" s="569"/>
      <c r="G50" s="57"/>
      <c r="H50" s="569"/>
      <c r="I50" s="569"/>
      <c r="J50" s="569"/>
      <c r="K50" s="569"/>
      <c r="L50" s="569"/>
      <c r="M50" s="569"/>
    </row>
    <row r="51" spans="1:13" s="51" customFormat="1" ht="16.5" customHeight="1">
      <c r="A51" s="570"/>
      <c r="B51" s="570"/>
      <c r="C51" s="570"/>
      <c r="D51" s="570"/>
      <c r="E51" s="570"/>
      <c r="F51" s="570"/>
      <c r="G51" s="39"/>
      <c r="H51" s="569"/>
      <c r="I51" s="569"/>
      <c r="J51" s="569"/>
      <c r="K51" s="569"/>
      <c r="L51" s="569"/>
      <c r="M51" s="569"/>
    </row>
    <row r="52" spans="1:13" s="3" customFormat="1" ht="16.5" customHeight="1">
      <c r="A52" s="571"/>
      <c r="B52" s="571"/>
      <c r="C52" s="571"/>
      <c r="D52" s="571"/>
      <c r="E52" s="571"/>
      <c r="F52" s="571"/>
      <c r="G52" s="491"/>
      <c r="H52" s="569"/>
      <c r="I52" s="569"/>
      <c r="J52" s="569"/>
      <c r="K52" s="569"/>
      <c r="L52" s="569"/>
      <c r="M52" s="569"/>
    </row>
    <row r="53" spans="1:13" s="3" customFormat="1" ht="16.5" customHeight="1">
      <c r="A53" s="571"/>
      <c r="B53" s="571"/>
      <c r="C53" s="571"/>
      <c r="D53" s="571"/>
      <c r="E53" s="571"/>
      <c r="F53" s="571"/>
      <c r="G53" s="57"/>
      <c r="H53" s="569"/>
      <c r="I53" s="569"/>
      <c r="J53" s="569"/>
      <c r="K53" s="569"/>
      <c r="L53" s="569"/>
      <c r="M53" s="569"/>
    </row>
    <row r="54" spans="1:13" s="3" customFormat="1" ht="16.5" customHeight="1">
      <c r="A54" s="571"/>
      <c r="B54" s="571"/>
      <c r="C54" s="571"/>
      <c r="D54" s="571"/>
      <c r="E54" s="571"/>
      <c r="F54" s="571"/>
      <c r="G54" s="491"/>
      <c r="H54" s="569"/>
      <c r="I54" s="569"/>
      <c r="J54" s="569"/>
      <c r="K54" s="569"/>
      <c r="L54" s="569"/>
      <c r="M54" s="569"/>
    </row>
    <row r="55" spans="1:13" s="3" customFormat="1" ht="16.5" customHeight="1">
      <c r="A55" s="571"/>
      <c r="B55" s="571"/>
      <c r="C55" s="571"/>
      <c r="D55" s="571"/>
      <c r="E55" s="571"/>
      <c r="F55" s="571"/>
      <c r="G55" s="491"/>
      <c r="H55" s="569"/>
      <c r="I55" s="569"/>
      <c r="J55" s="569"/>
      <c r="K55" s="569"/>
      <c r="L55" s="569"/>
      <c r="M55" s="569"/>
    </row>
    <row r="56" spans="1:13" s="3" customFormat="1" ht="16.5" customHeight="1">
      <c r="A56" s="571"/>
      <c r="B56" s="571"/>
      <c r="C56" s="571"/>
      <c r="D56" s="571"/>
      <c r="E56" s="571"/>
      <c r="F56" s="571"/>
      <c r="G56" s="57"/>
      <c r="H56" s="569"/>
      <c r="I56" s="569"/>
      <c r="J56" s="569"/>
      <c r="K56" s="569"/>
      <c r="L56" s="569"/>
      <c r="M56" s="569"/>
    </row>
    <row r="57" spans="1:13" s="3" customFormat="1" ht="16.5" customHeight="1">
      <c r="A57" s="572"/>
      <c r="B57" s="572"/>
      <c r="C57" s="572"/>
      <c r="D57" s="572"/>
      <c r="E57" s="572"/>
      <c r="F57" s="572"/>
      <c r="G57" s="57"/>
      <c r="H57" s="572"/>
      <c r="I57" s="572"/>
      <c r="J57" s="572"/>
      <c r="K57" s="572"/>
      <c r="L57" s="572"/>
      <c r="M57" s="572"/>
    </row>
    <row r="58" spans="1:13" s="3" customFormat="1" ht="16.5" customHeight="1">
      <c r="A58" s="70" t="s">
        <v>34</v>
      </c>
      <c r="B58" s="5"/>
      <c r="C58" s="4"/>
      <c r="H58" s="760" t="s">
        <v>35</v>
      </c>
      <c r="I58" s="761"/>
      <c r="J58" s="761"/>
      <c r="K58" s="762"/>
      <c r="L58" s="573" t="s">
        <v>36</v>
      </c>
      <c r="M58" s="573"/>
    </row>
    <row r="59" spans="1:13" s="3" customFormat="1" ht="16.5" customHeight="1">
      <c r="A59" s="576"/>
      <c r="B59" s="576"/>
      <c r="C59" s="576"/>
      <c r="D59" s="576"/>
      <c r="E59" s="576"/>
      <c r="F59" s="576"/>
      <c r="G59" s="71"/>
      <c r="H59" s="577" t="s">
        <v>14</v>
      </c>
      <c r="I59" s="577"/>
      <c r="J59" s="763" t="s">
        <v>24</v>
      </c>
      <c r="K59" s="764"/>
      <c r="L59" s="495" t="s">
        <v>14</v>
      </c>
      <c r="M59" s="495" t="s">
        <v>24</v>
      </c>
    </row>
    <row r="60" spans="1:13" s="3" customFormat="1" ht="16.5" customHeight="1">
      <c r="A60" s="576"/>
      <c r="B60" s="576"/>
      <c r="C60" s="576"/>
      <c r="D60" s="576"/>
      <c r="E60" s="576"/>
      <c r="F60" s="576"/>
      <c r="G60" s="72"/>
      <c r="H60" s="575"/>
      <c r="I60" s="575"/>
      <c r="J60" s="765"/>
      <c r="K60" s="766"/>
      <c r="L60" s="76"/>
      <c r="M60" s="494"/>
    </row>
    <row r="61" spans="1:13" s="3" customFormat="1" ht="16.5" customHeight="1">
      <c r="A61" s="493"/>
      <c r="B61" s="493"/>
      <c r="C61" s="493"/>
      <c r="D61" s="493"/>
      <c r="E61" s="493"/>
      <c r="F61" s="493"/>
      <c r="G61" s="72"/>
      <c r="H61" s="575"/>
      <c r="I61" s="575"/>
      <c r="J61" s="765"/>
      <c r="K61" s="766"/>
      <c r="L61" s="76"/>
      <c r="M61" s="494"/>
    </row>
    <row r="62" spans="1:13" s="3" customFormat="1" ht="16.5" customHeight="1">
      <c r="A62" s="574"/>
      <c r="B62" s="574"/>
      <c r="C62" s="574"/>
      <c r="D62" s="574"/>
      <c r="E62" s="574"/>
      <c r="F62" s="574"/>
      <c r="G62" s="72"/>
      <c r="H62" s="575"/>
      <c r="I62" s="575"/>
      <c r="J62" s="765"/>
      <c r="K62" s="766"/>
      <c r="L62" s="76"/>
      <c r="M62" s="494"/>
    </row>
    <row r="63" spans="1:13" s="3" customFormat="1" ht="16.5" customHeight="1">
      <c r="A63" s="767"/>
      <c r="B63" s="767"/>
      <c r="C63" s="767"/>
      <c r="D63" s="767"/>
      <c r="E63" s="767"/>
      <c r="F63" s="767"/>
      <c r="G63" s="72"/>
      <c r="H63" s="765"/>
      <c r="I63" s="766"/>
      <c r="J63" s="765"/>
      <c r="K63" s="766"/>
      <c r="L63" s="76"/>
      <c r="M63" s="494"/>
    </row>
    <row r="64" spans="1:13" s="3" customFormat="1" ht="16.5" customHeight="1">
      <c r="A64" s="767"/>
      <c r="B64" s="767"/>
      <c r="C64" s="767"/>
      <c r="D64" s="767"/>
      <c r="E64" s="767"/>
      <c r="F64" s="767"/>
      <c r="G64" s="72"/>
      <c r="H64" s="765"/>
      <c r="I64" s="766"/>
      <c r="J64" s="765"/>
      <c r="K64" s="766"/>
      <c r="L64" s="77"/>
      <c r="M64" s="494"/>
    </row>
    <row r="65" spans="1:15" s="3" customFormat="1" ht="70.8" customHeight="1">
      <c r="A65" s="767"/>
      <c r="B65" s="767"/>
      <c r="C65" s="767"/>
      <c r="D65" s="767"/>
      <c r="E65" s="767"/>
      <c r="F65" s="767"/>
      <c r="G65" s="72"/>
      <c r="H65" s="765"/>
      <c r="I65" s="766"/>
      <c r="J65" s="765"/>
      <c r="K65" s="766"/>
      <c r="M65" s="73"/>
    </row>
    <row r="66" spans="1:15" s="3" customFormat="1" ht="16.5" customHeight="1">
      <c r="A66" s="574"/>
      <c r="B66" s="574"/>
      <c r="C66" s="574"/>
      <c r="D66" s="574"/>
      <c r="E66" s="574"/>
      <c r="F66" s="574"/>
      <c r="G66" s="72"/>
      <c r="H66" s="575"/>
      <c r="I66" s="575"/>
      <c r="J66" s="765"/>
      <c r="K66" s="766"/>
      <c r="L66" s="77"/>
      <c r="M66" s="73"/>
    </row>
    <row r="67" spans="1:15" s="3" customFormat="1" ht="16.5" customHeight="1">
      <c r="A67" s="574"/>
      <c r="B67" s="574"/>
      <c r="C67" s="574"/>
      <c r="D67" s="574"/>
      <c r="E67" s="574"/>
      <c r="F67" s="574"/>
      <c r="G67" s="72"/>
      <c r="H67" s="575"/>
      <c r="I67" s="575"/>
      <c r="J67" s="765"/>
      <c r="K67" s="766"/>
      <c r="L67" s="77"/>
      <c r="M67" s="73"/>
    </row>
    <row r="68" spans="1:15" s="3" customFormat="1" ht="16.5" customHeight="1">
      <c r="A68" s="574"/>
      <c r="B68" s="574"/>
      <c r="C68" s="574"/>
      <c r="D68" s="574"/>
      <c r="E68" s="574"/>
      <c r="F68" s="574"/>
      <c r="G68" s="72"/>
      <c r="H68" s="575"/>
      <c r="I68" s="575"/>
      <c r="J68" s="765"/>
      <c r="K68" s="766"/>
      <c r="L68" s="77"/>
      <c r="M68" s="73"/>
    </row>
    <row r="69" spans="1:15" s="3" customFormat="1" ht="16.5" customHeight="1">
      <c r="A69" s="574"/>
      <c r="B69" s="574"/>
      <c r="C69" s="574"/>
      <c r="D69" s="574"/>
      <c r="E69" s="574"/>
      <c r="F69" s="574"/>
      <c r="G69" s="72"/>
      <c r="H69" s="575"/>
      <c r="I69" s="575"/>
      <c r="J69" s="765"/>
      <c r="K69" s="766"/>
      <c r="L69" s="77"/>
      <c r="M69" s="73"/>
    </row>
    <row r="70" spans="1:15" s="3" customFormat="1" ht="16.5" customHeight="1">
      <c r="A70" s="45"/>
      <c r="B70" s="46"/>
      <c r="C70" s="46"/>
      <c r="D70" s="46"/>
      <c r="E70" s="44"/>
      <c r="F70" s="46"/>
      <c r="G70" s="46"/>
      <c r="H70" s="46"/>
      <c r="I70" s="46"/>
      <c r="J70" s="46"/>
      <c r="K70" s="46"/>
      <c r="L70" s="47"/>
      <c r="M70" s="46"/>
    </row>
    <row r="71" spans="1:15" s="3" customFormat="1" ht="16.5" customHeight="1">
      <c r="A71" s="45" t="s">
        <v>45</v>
      </c>
      <c r="B71" s="46"/>
      <c r="C71" s="46"/>
      <c r="D71" s="46"/>
      <c r="E71" s="44"/>
      <c r="F71" s="46"/>
      <c r="G71" s="46"/>
      <c r="H71" s="46"/>
      <c r="I71" s="46"/>
      <c r="J71" s="46"/>
      <c r="K71" s="46"/>
      <c r="L71" s="47"/>
      <c r="M71" s="46"/>
    </row>
    <row r="72" spans="1:15" s="3" customFormat="1" ht="16.5" customHeight="1">
      <c r="A72" s="45"/>
      <c r="B72" s="46"/>
      <c r="C72" s="46"/>
      <c r="D72" s="46"/>
      <c r="E72" s="44"/>
      <c r="F72" s="46"/>
      <c r="G72" s="46"/>
      <c r="H72" s="46"/>
      <c r="I72" s="48"/>
      <c r="J72" s="48"/>
      <c r="K72" s="48"/>
      <c r="L72" s="47"/>
      <c r="M72" s="46"/>
    </row>
    <row r="73" spans="1:15" s="3" customFormat="1" ht="31.5" customHeight="1">
      <c r="A73" s="46" t="s">
        <v>46</v>
      </c>
      <c r="B73" s="578" t="s">
        <v>47</v>
      </c>
      <c r="C73" s="579"/>
      <c r="D73" s="578" t="s">
        <v>48</v>
      </c>
      <c r="E73" s="579"/>
      <c r="F73" s="578" t="s">
        <v>49</v>
      </c>
      <c r="G73" s="579"/>
      <c r="H73" s="578" t="s">
        <v>50</v>
      </c>
      <c r="I73" s="579"/>
      <c r="J73" s="578" t="s">
        <v>51</v>
      </c>
      <c r="K73" s="769"/>
      <c r="L73" s="579"/>
      <c r="M73" s="49"/>
    </row>
    <row r="74" spans="1:15" s="3" customFormat="1" ht="16.5" customHeight="1">
      <c r="A74" s="50"/>
      <c r="B74" s="583"/>
      <c r="C74" s="584"/>
      <c r="D74" s="587"/>
      <c r="E74" s="588"/>
      <c r="F74" s="665"/>
      <c r="G74" s="666"/>
      <c r="H74" s="665"/>
      <c r="I74" s="666"/>
      <c r="J74" s="587"/>
      <c r="K74" s="770"/>
      <c r="L74" s="588"/>
      <c r="M74" s="49"/>
    </row>
    <row r="75" spans="1:15" s="22" customFormat="1" ht="16.5" customHeight="1">
      <c r="A75" s="50"/>
      <c r="B75" s="585"/>
      <c r="C75" s="586"/>
      <c r="D75" s="589"/>
      <c r="E75" s="590"/>
      <c r="F75" s="667"/>
      <c r="G75" s="668"/>
      <c r="H75" s="667"/>
      <c r="I75" s="668"/>
      <c r="J75" s="589"/>
      <c r="K75" s="771"/>
      <c r="L75" s="590"/>
      <c r="M75" s="49"/>
    </row>
    <row r="76" spans="1:15" s="22" customFormat="1" ht="16.5" customHeight="1">
      <c r="A76" s="35"/>
      <c r="B76" s="27"/>
      <c r="C76" s="27"/>
      <c r="D76" s="27"/>
      <c r="E76" s="35"/>
      <c r="F76" s="58"/>
      <c r="G76" s="58"/>
      <c r="H76" s="58"/>
      <c r="I76" s="58"/>
      <c r="J76" s="68"/>
      <c r="K76" s="68"/>
      <c r="L76" s="68"/>
      <c r="M76" s="3"/>
    </row>
    <row r="77" spans="1:15" s="22" customFormat="1" ht="16.5" customHeight="1">
      <c r="A77" s="35" t="s">
        <v>53</v>
      </c>
      <c r="B77" s="27"/>
      <c r="C77" s="27"/>
      <c r="D77" s="35" t="s">
        <v>54</v>
      </c>
      <c r="F77" s="58"/>
      <c r="H77" s="35" t="s">
        <v>250</v>
      </c>
      <c r="I77" s="58"/>
      <c r="L77" s="68" t="s">
        <v>266</v>
      </c>
      <c r="M77" s="3"/>
    </row>
    <row r="78" spans="1:15" s="22" customFormat="1" ht="16.5" customHeight="1">
      <c r="A78" s="29"/>
      <c r="B78" s="29"/>
      <c r="C78" s="29"/>
      <c r="D78" s="29"/>
      <c r="E78" s="29"/>
      <c r="F78" s="29"/>
      <c r="H78" s="29"/>
      <c r="I78" s="29"/>
      <c r="J78" s="3"/>
      <c r="K78" s="3"/>
      <c r="L78" s="3"/>
      <c r="M78" s="3"/>
    </row>
    <row r="79" spans="1:15" s="22" customFormat="1" ht="16.5" customHeight="1">
      <c r="A79" s="673" t="s">
        <v>371</v>
      </c>
      <c r="B79" s="673"/>
      <c r="C79" s="318"/>
      <c r="D79" s="674" t="s">
        <v>296</v>
      </c>
      <c r="E79" s="674"/>
      <c r="F79" s="674"/>
      <c r="H79" s="675" t="s">
        <v>247</v>
      </c>
      <c r="I79" s="675"/>
      <c r="J79" s="675"/>
      <c r="K79" s="497"/>
      <c r="L79" s="768"/>
      <c r="M79" s="768"/>
      <c r="O79" s="218"/>
    </row>
    <row r="80" spans="1:15" s="3" customFormat="1" ht="16.5" customHeight="1">
      <c r="A80" s="663" t="s">
        <v>59</v>
      </c>
      <c r="B80" s="663"/>
      <c r="C80" s="319"/>
      <c r="D80" s="664" t="s">
        <v>60</v>
      </c>
      <c r="E80" s="664"/>
      <c r="F80" s="664"/>
      <c r="H80" s="663" t="s">
        <v>252</v>
      </c>
      <c r="I80" s="663"/>
      <c r="J80" s="663"/>
      <c r="K80" s="497"/>
      <c r="L80" s="320" t="s">
        <v>253</v>
      </c>
      <c r="M80" s="320"/>
    </row>
    <row r="81" spans="1:13" s="3" customFormat="1" ht="16.5" customHeight="1">
      <c r="A81" s="497"/>
      <c r="B81" s="497"/>
      <c r="C81" s="319"/>
      <c r="D81" s="498"/>
      <c r="E81" s="498"/>
      <c r="F81" s="498"/>
      <c r="H81" s="497"/>
      <c r="I81" s="497"/>
      <c r="J81" s="497"/>
      <c r="K81" s="497"/>
      <c r="L81" s="320"/>
      <c r="M81" s="320"/>
    </row>
    <row r="82" spans="1:13" s="3" customFormat="1" ht="16.5" customHeight="1">
      <c r="A82" s="37"/>
      <c r="B82" s="27"/>
      <c r="C82" s="27"/>
      <c r="D82" s="27"/>
      <c r="E82" s="27"/>
      <c r="F82" s="29"/>
      <c r="G82" s="29"/>
      <c r="H82" s="29"/>
      <c r="I82" s="29"/>
      <c r="J82" s="29"/>
      <c r="K82" s="29"/>
    </row>
    <row r="83" spans="1:13" s="3" customFormat="1" ht="16.5" customHeight="1">
      <c r="A83" s="37"/>
      <c r="B83" s="27"/>
      <c r="C83" s="27"/>
      <c r="D83" s="27"/>
      <c r="E83" s="27"/>
      <c r="F83" s="29"/>
      <c r="G83" s="29"/>
      <c r="H83" s="29"/>
      <c r="I83" s="29"/>
      <c r="J83" s="29"/>
      <c r="K83" s="29"/>
    </row>
    <row r="84" spans="1:13" s="3" customFormat="1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s="3" customFormat="1" ht="16.5" customHeight="1">
      <c r="A85" s="40"/>
      <c r="B85" s="40"/>
      <c r="C85" s="40"/>
      <c r="D85" s="40"/>
      <c r="E85" s="40"/>
      <c r="F85" s="1"/>
      <c r="G85" s="1"/>
      <c r="H85" s="1"/>
      <c r="I85" s="1"/>
      <c r="J85" s="1"/>
      <c r="K85" s="1"/>
      <c r="L85" s="1"/>
      <c r="M85" s="1"/>
    </row>
    <row r="86" spans="1:13" s="3" customFormat="1" ht="16.5" customHeight="1">
      <c r="A86" s="21" t="s">
        <v>0</v>
      </c>
      <c r="B86" s="554"/>
      <c r="C86" s="554"/>
      <c r="D86" s="554"/>
      <c r="E86" s="554"/>
      <c r="F86" s="554"/>
      <c r="G86" s="554"/>
      <c r="H86" s="554"/>
      <c r="I86" s="16"/>
      <c r="J86" s="22"/>
      <c r="K86" s="22"/>
      <c r="L86" s="555"/>
      <c r="M86" s="555"/>
    </row>
    <row r="87" spans="1:13" s="3" customFormat="1" ht="15" customHeight="1">
      <c r="A87" s="21" t="s">
        <v>2</v>
      </c>
      <c r="B87" s="556" t="s">
        <v>269</v>
      </c>
      <c r="C87" s="556"/>
      <c r="D87" s="556"/>
      <c r="E87" s="556"/>
      <c r="F87" s="556"/>
      <c r="G87" s="556"/>
      <c r="H87" s="556"/>
      <c r="I87" s="16"/>
      <c r="J87" s="22"/>
      <c r="K87" s="22"/>
      <c r="L87" s="555"/>
      <c r="M87" s="555"/>
    </row>
    <row r="88" spans="1:13" s="3" customFormat="1" ht="15" customHeight="1">
      <c r="A88" s="69"/>
      <c r="B88" s="554" t="s">
        <v>270</v>
      </c>
      <c r="C88" s="554"/>
      <c r="D88" s="554"/>
      <c r="E88" s="554"/>
      <c r="F88" s="554"/>
      <c r="G88" s="554"/>
      <c r="H88" s="554"/>
      <c r="I88" s="21" t="s">
        <v>5</v>
      </c>
      <c r="J88" s="22"/>
      <c r="K88" s="22"/>
      <c r="L88" s="557" t="s">
        <v>271</v>
      </c>
      <c r="M88" s="557"/>
    </row>
    <row r="89" spans="1:13" s="3" customFormat="1" ht="15" customHeight="1">
      <c r="A89" s="22" t="s">
        <v>10</v>
      </c>
      <c r="B89" s="556" t="s">
        <v>272</v>
      </c>
      <c r="C89" s="556"/>
      <c r="D89" s="556"/>
      <c r="E89" s="556"/>
      <c r="F89" s="556"/>
      <c r="G89" s="556"/>
      <c r="H89" s="556"/>
      <c r="I89" s="21" t="s">
        <v>8</v>
      </c>
      <c r="J89" s="21"/>
      <c r="K89" s="21"/>
      <c r="L89" s="669" t="s">
        <v>273</v>
      </c>
      <c r="M89" s="669"/>
    </row>
    <row r="90" spans="1:13" s="3" customFormat="1" ht="15" customHeight="1">
      <c r="A90" s="22"/>
      <c r="B90" s="16"/>
      <c r="C90" s="16"/>
      <c r="D90" s="16"/>
      <c r="E90" s="16"/>
      <c r="F90" s="16"/>
      <c r="G90" s="16"/>
      <c r="H90" s="16"/>
      <c r="I90" s="16"/>
      <c r="J90" s="59"/>
      <c r="K90" s="59"/>
      <c r="L90" s="485"/>
      <c r="M90" s="485"/>
    </row>
    <row r="91" spans="1:13" s="3" customFormat="1" ht="15" customHeight="1">
      <c r="A91" s="24" t="s">
        <v>12</v>
      </c>
      <c r="L91" s="555"/>
      <c r="M91" s="555"/>
    </row>
    <row r="92" spans="1:13" s="3" customFormat="1" ht="17.399999999999999">
      <c r="A92" s="552" t="s">
        <v>13</v>
      </c>
      <c r="B92" s="552" t="s">
        <v>14</v>
      </c>
      <c r="C92" s="552"/>
      <c r="D92" s="552"/>
      <c r="E92" s="552"/>
      <c r="F92" s="552"/>
      <c r="G92" s="552" t="s">
        <v>15</v>
      </c>
      <c r="H92" s="552"/>
      <c r="I92" s="552"/>
      <c r="J92" s="553" t="s">
        <v>16</v>
      </c>
      <c r="K92" s="553"/>
      <c r="L92" s="553"/>
      <c r="M92" s="552" t="s">
        <v>17</v>
      </c>
    </row>
    <row r="93" spans="1:13" s="3" customFormat="1" ht="21.9" customHeight="1">
      <c r="A93" s="552"/>
      <c r="B93" s="552"/>
      <c r="C93" s="552"/>
      <c r="D93" s="552"/>
      <c r="E93" s="552"/>
      <c r="F93" s="552"/>
      <c r="G93" s="552"/>
      <c r="H93" s="552"/>
      <c r="I93" s="552"/>
      <c r="J93" s="484" t="s">
        <v>18</v>
      </c>
      <c r="K93" s="484"/>
      <c r="L93" s="20" t="s">
        <v>19</v>
      </c>
      <c r="M93" s="552"/>
    </row>
    <row r="94" spans="1:13" s="3" customFormat="1" ht="21.9" customHeight="1">
      <c r="A94" s="486"/>
      <c r="B94" s="558"/>
      <c r="C94" s="558"/>
      <c r="D94" s="558"/>
      <c r="E94" s="558"/>
      <c r="F94" s="558"/>
      <c r="G94" s="559"/>
      <c r="H94" s="559"/>
      <c r="I94" s="559"/>
      <c r="J94" s="216"/>
      <c r="K94" s="216"/>
      <c r="L94" s="53"/>
      <c r="M94" s="494"/>
    </row>
    <row r="95" spans="1:13" s="3" customFormat="1" ht="21.9" customHeight="1">
      <c r="A95" s="215"/>
      <c r="B95" s="558"/>
      <c r="C95" s="558"/>
      <c r="D95" s="558"/>
      <c r="E95" s="558"/>
      <c r="F95" s="558"/>
      <c r="G95" s="559"/>
      <c r="H95" s="559"/>
      <c r="I95" s="559"/>
      <c r="J95" s="216"/>
      <c r="K95" s="216"/>
      <c r="L95" s="53"/>
      <c r="M95" s="494"/>
    </row>
    <row r="96" spans="1:13" s="3" customFormat="1" ht="21.9" customHeight="1">
      <c r="A96" s="215"/>
      <c r="B96" s="558"/>
      <c r="C96" s="558"/>
      <c r="D96" s="558"/>
      <c r="E96" s="558"/>
      <c r="F96" s="558"/>
      <c r="G96" s="559"/>
      <c r="H96" s="559"/>
      <c r="I96" s="559"/>
      <c r="J96" s="216"/>
      <c r="K96" s="216"/>
      <c r="L96" s="53"/>
      <c r="M96" s="494"/>
    </row>
    <row r="97" spans="1:13" s="3" customFormat="1" ht="21.9" customHeight="1">
      <c r="A97" s="215"/>
      <c r="B97" s="558"/>
      <c r="C97" s="558"/>
      <c r="D97" s="558"/>
      <c r="E97" s="558"/>
      <c r="F97" s="558"/>
      <c r="G97" s="559"/>
      <c r="H97" s="559"/>
      <c r="I97" s="559"/>
      <c r="J97" s="216"/>
      <c r="K97" s="216"/>
      <c r="L97" s="53"/>
      <c r="M97" s="494"/>
    </row>
    <row r="98" spans="1:13" s="3" customFormat="1" ht="21.9" customHeight="1">
      <c r="A98" s="215"/>
      <c r="B98" s="558"/>
      <c r="C98" s="558"/>
      <c r="D98" s="558"/>
      <c r="E98" s="558"/>
      <c r="F98" s="558"/>
      <c r="G98" s="559"/>
      <c r="H98" s="559"/>
      <c r="I98" s="559"/>
      <c r="J98" s="53"/>
      <c r="K98" s="53"/>
      <c r="L98" s="53"/>
      <c r="M98" s="494"/>
    </row>
    <row r="99" spans="1:13" s="3" customFormat="1" ht="21.9" customHeight="1">
      <c r="A99" s="54"/>
      <c r="B99" s="558"/>
      <c r="C99" s="558"/>
      <c r="D99" s="558"/>
      <c r="E99" s="558"/>
      <c r="F99" s="558"/>
      <c r="G99" s="559"/>
      <c r="H99" s="559"/>
      <c r="I99" s="559"/>
      <c r="J99" s="53"/>
      <c r="K99" s="53"/>
      <c r="L99" s="53"/>
      <c r="M99" s="494"/>
    </row>
    <row r="100" spans="1:13" s="3" customFormat="1" ht="21.9" customHeight="1">
      <c r="A100" s="54"/>
      <c r="B100" s="562"/>
      <c r="C100" s="562"/>
      <c r="D100" s="562"/>
      <c r="E100" s="562"/>
      <c r="F100" s="562"/>
      <c r="G100" s="559"/>
      <c r="H100" s="559"/>
      <c r="I100" s="559"/>
      <c r="J100" s="53"/>
      <c r="K100" s="53"/>
      <c r="L100" s="53"/>
      <c r="M100" s="494"/>
    </row>
    <row r="101" spans="1:13" s="3" customFormat="1" ht="21.9" customHeight="1">
      <c r="A101" s="54"/>
      <c r="B101" s="562"/>
      <c r="C101" s="562"/>
      <c r="D101" s="562"/>
      <c r="E101" s="562"/>
      <c r="F101" s="562"/>
      <c r="G101" s="559"/>
      <c r="H101" s="559"/>
      <c r="I101" s="559"/>
      <c r="J101" s="53"/>
      <c r="K101" s="53"/>
      <c r="L101" s="53"/>
      <c r="M101" s="494"/>
    </row>
    <row r="102" spans="1:13" s="3" customFormat="1" ht="21.9" customHeight="1">
      <c r="A102" s="61"/>
      <c r="B102" s="562"/>
      <c r="C102" s="562"/>
      <c r="D102" s="562"/>
      <c r="E102" s="562"/>
      <c r="F102" s="562"/>
      <c r="G102" s="559"/>
      <c r="H102" s="559"/>
      <c r="I102" s="559"/>
      <c r="J102" s="53"/>
      <c r="K102" s="53"/>
      <c r="L102" s="53"/>
      <c r="M102" s="494"/>
    </row>
    <row r="103" spans="1:13" s="3" customFormat="1" ht="21.9" customHeight="1">
      <c r="A103" s="61"/>
      <c r="B103" s="562"/>
      <c r="C103" s="562"/>
      <c r="D103" s="562"/>
      <c r="E103" s="562"/>
      <c r="F103" s="562"/>
      <c r="G103" s="559"/>
      <c r="H103" s="559"/>
      <c r="I103" s="559"/>
      <c r="J103" s="53"/>
      <c r="K103" s="53"/>
      <c r="L103" s="53"/>
      <c r="M103" s="494"/>
    </row>
    <row r="104" spans="1:13" s="3" customFormat="1" ht="21.9" customHeight="1">
      <c r="A104" s="61"/>
      <c r="B104" s="562"/>
      <c r="C104" s="562"/>
      <c r="D104" s="562"/>
      <c r="E104" s="562"/>
      <c r="F104" s="562"/>
      <c r="G104" s="559"/>
      <c r="H104" s="559"/>
      <c r="I104" s="559"/>
      <c r="J104" s="53"/>
      <c r="K104" s="53"/>
      <c r="L104" s="53"/>
      <c r="M104" s="494"/>
    </row>
    <row r="105" spans="1:13" s="3" customFormat="1" ht="21.9" customHeight="1">
      <c r="A105" s="61"/>
      <c r="B105" s="562"/>
      <c r="C105" s="562"/>
      <c r="D105" s="562"/>
      <c r="E105" s="562"/>
      <c r="F105" s="562"/>
      <c r="G105" s="559"/>
      <c r="H105" s="559"/>
      <c r="I105" s="559"/>
      <c r="J105" s="53"/>
      <c r="K105" s="53"/>
      <c r="L105" s="53"/>
      <c r="M105" s="494"/>
    </row>
    <row r="106" spans="1:13" s="3" customFormat="1" ht="21.9" customHeight="1">
      <c r="A106" s="61"/>
      <c r="B106" s="562"/>
      <c r="C106" s="562"/>
      <c r="D106" s="562"/>
      <c r="E106" s="562"/>
      <c r="F106" s="562"/>
      <c r="G106" s="559"/>
      <c r="H106" s="559"/>
      <c r="I106" s="559"/>
      <c r="J106" s="53"/>
      <c r="K106" s="53"/>
      <c r="L106" s="53"/>
      <c r="M106" s="494"/>
    </row>
    <row r="107" spans="1:13" s="3" customFormat="1" ht="21.9" customHeight="1">
      <c r="A107" s="61"/>
      <c r="B107" s="562"/>
      <c r="C107" s="562"/>
      <c r="D107" s="562"/>
      <c r="E107" s="562"/>
      <c r="F107" s="562"/>
      <c r="G107" s="559"/>
      <c r="H107" s="559"/>
      <c r="I107" s="559"/>
      <c r="J107" s="53"/>
      <c r="K107" s="53"/>
      <c r="L107" s="53"/>
      <c r="M107" s="494"/>
    </row>
    <row r="108" spans="1:13" s="3" customFormat="1" ht="21.9" customHeight="1">
      <c r="A108" s="61"/>
      <c r="B108" s="562"/>
      <c r="C108" s="562"/>
      <c r="D108" s="562"/>
      <c r="E108" s="562"/>
      <c r="F108" s="562"/>
      <c r="G108" s="559"/>
      <c r="H108" s="559"/>
      <c r="I108" s="559"/>
      <c r="J108" s="53"/>
      <c r="K108" s="53"/>
      <c r="L108" s="53"/>
      <c r="M108" s="494"/>
    </row>
    <row r="109" spans="1:13" s="3" customFormat="1" ht="21.9" customHeight="1">
      <c r="A109" s="61"/>
      <c r="B109" s="562"/>
      <c r="C109" s="562"/>
      <c r="D109" s="562"/>
      <c r="E109" s="562"/>
      <c r="F109" s="562"/>
      <c r="G109" s="559"/>
      <c r="H109" s="559"/>
      <c r="I109" s="559"/>
      <c r="J109" s="53"/>
      <c r="K109" s="53"/>
      <c r="L109" s="53"/>
      <c r="M109" s="494"/>
    </row>
    <row r="110" spans="1:13" s="3" customFormat="1" ht="21.9" customHeight="1">
      <c r="A110" s="61"/>
      <c r="B110" s="562"/>
      <c r="C110" s="562"/>
      <c r="D110" s="562"/>
      <c r="E110" s="562"/>
      <c r="F110" s="562"/>
      <c r="G110" s="559"/>
      <c r="H110" s="559"/>
      <c r="I110" s="559"/>
      <c r="J110" s="53"/>
      <c r="K110" s="53"/>
      <c r="L110" s="53"/>
      <c r="M110" s="494"/>
    </row>
    <row r="111" spans="1:13" s="3" customFormat="1" ht="21.9" customHeight="1">
      <c r="A111" s="61"/>
      <c r="B111" s="562"/>
      <c r="C111" s="562"/>
      <c r="D111" s="562"/>
      <c r="E111" s="562"/>
      <c r="F111" s="562"/>
      <c r="G111" s="559"/>
      <c r="H111" s="559"/>
      <c r="I111" s="559"/>
      <c r="J111" s="53"/>
      <c r="K111" s="53"/>
      <c r="L111" s="53"/>
      <c r="M111" s="494"/>
    </row>
    <row r="112" spans="1:13" s="3" customFormat="1" ht="21.9" customHeight="1">
      <c r="A112" s="61"/>
      <c r="B112" s="562"/>
      <c r="C112" s="562"/>
      <c r="D112" s="562"/>
      <c r="E112" s="562"/>
      <c r="F112" s="562"/>
      <c r="G112" s="559"/>
      <c r="H112" s="559"/>
      <c r="I112" s="559"/>
      <c r="J112" s="53"/>
      <c r="K112" s="53"/>
      <c r="L112" s="53"/>
      <c r="M112" s="494"/>
    </row>
    <row r="113" spans="1:13" s="3" customFormat="1" ht="21.9" customHeight="1">
      <c r="A113" s="61"/>
      <c r="B113" s="562"/>
      <c r="C113" s="562"/>
      <c r="D113" s="562"/>
      <c r="E113" s="562"/>
      <c r="F113" s="562"/>
      <c r="G113" s="559"/>
      <c r="H113" s="559"/>
      <c r="I113" s="559"/>
      <c r="J113" s="53"/>
      <c r="K113" s="53"/>
      <c r="L113" s="53"/>
      <c r="M113" s="494"/>
    </row>
    <row r="114" spans="1:13" s="3" customFormat="1" ht="21.9" customHeight="1">
      <c r="A114" s="488"/>
      <c r="B114" s="566"/>
      <c r="C114" s="566"/>
      <c r="D114" s="566"/>
      <c r="E114" s="566"/>
      <c r="F114" s="566"/>
      <c r="G114" s="488"/>
      <c r="H114" s="41"/>
      <c r="I114" s="41"/>
      <c r="J114" s="42"/>
      <c r="K114" s="42"/>
      <c r="L114" s="43"/>
    </row>
    <row r="115" spans="1:13" s="3" customFormat="1" ht="21.9" customHeight="1">
      <c r="A115" s="26" t="s">
        <v>23</v>
      </c>
      <c r="B115" s="490"/>
      <c r="C115" s="490"/>
      <c r="D115" s="490"/>
      <c r="E115" s="490"/>
      <c r="F115" s="17"/>
      <c r="G115" s="17"/>
      <c r="H115" s="17"/>
      <c r="I115" s="17"/>
      <c r="J115" s="17"/>
      <c r="K115" s="17"/>
    </row>
    <row r="116" spans="1:13" s="3" customFormat="1" ht="21.9" customHeight="1">
      <c r="A116" s="19" t="s">
        <v>13</v>
      </c>
      <c r="B116" s="567" t="s">
        <v>14</v>
      </c>
      <c r="C116" s="567"/>
      <c r="D116" s="567"/>
      <c r="E116" s="567"/>
      <c r="F116" s="567"/>
      <c r="G116" s="568" t="s">
        <v>24</v>
      </c>
      <c r="H116" s="568"/>
      <c r="I116" s="489" t="s">
        <v>17</v>
      </c>
      <c r="J116" s="484" t="s">
        <v>25</v>
      </c>
      <c r="K116" s="484"/>
      <c r="L116" s="484" t="s">
        <v>26</v>
      </c>
      <c r="M116" s="484" t="s">
        <v>27</v>
      </c>
    </row>
    <row r="117" spans="1:13" s="3" customFormat="1" ht="21.9" customHeight="1">
      <c r="A117" s="317"/>
      <c r="B117" s="563"/>
      <c r="C117" s="563"/>
      <c r="D117" s="563"/>
      <c r="E117" s="563"/>
      <c r="F117" s="563"/>
      <c r="G117" s="564"/>
      <c r="H117" s="564"/>
      <c r="I117" s="487"/>
      <c r="J117" s="487"/>
      <c r="K117" s="487"/>
      <c r="L117" s="494"/>
      <c r="M117" s="494"/>
    </row>
    <row r="118" spans="1:13" s="3" customFormat="1" ht="21.9" customHeight="1">
      <c r="A118" s="486"/>
      <c r="B118" s="563"/>
      <c r="C118" s="563"/>
      <c r="D118" s="563"/>
      <c r="E118" s="563"/>
      <c r="F118" s="563"/>
      <c r="G118" s="564"/>
      <c r="H118" s="564"/>
      <c r="I118" s="487"/>
      <c r="J118" s="487"/>
      <c r="K118" s="487"/>
      <c r="L118" s="494"/>
      <c r="M118" s="494"/>
    </row>
    <row r="119" spans="1:13" s="3" customFormat="1" ht="21.9" customHeight="1">
      <c r="A119" s="486"/>
      <c r="B119" s="563"/>
      <c r="C119" s="563"/>
      <c r="D119" s="563"/>
      <c r="E119" s="563"/>
      <c r="F119" s="563"/>
      <c r="G119" s="564"/>
      <c r="H119" s="564"/>
      <c r="I119" s="487"/>
      <c r="J119" s="487"/>
      <c r="K119" s="487"/>
      <c r="L119" s="494"/>
      <c r="M119" s="494"/>
    </row>
    <row r="120" spans="1:13" s="3" customFormat="1" ht="21.9" customHeight="1">
      <c r="A120" s="486"/>
      <c r="B120" s="563"/>
      <c r="C120" s="563"/>
      <c r="D120" s="563"/>
      <c r="E120" s="563"/>
      <c r="F120" s="563"/>
      <c r="G120" s="564"/>
      <c r="H120" s="564"/>
      <c r="I120" s="487"/>
      <c r="J120" s="487"/>
      <c r="K120" s="487"/>
      <c r="L120" s="494"/>
      <c r="M120" s="494"/>
    </row>
    <row r="121" spans="1:13" s="3" customFormat="1" ht="21.9" customHeight="1">
      <c r="A121" s="32"/>
      <c r="B121" s="565"/>
      <c r="C121" s="565"/>
      <c r="D121" s="565"/>
      <c r="E121" s="565"/>
      <c r="F121" s="565"/>
      <c r="G121" s="565"/>
      <c r="H121" s="565"/>
      <c r="I121" s="565"/>
      <c r="J121" s="17"/>
      <c r="K121" s="17"/>
    </row>
    <row r="122" spans="1:13" s="3" customFormat="1" ht="21.9" customHeight="1">
      <c r="A122" s="34" t="s">
        <v>28</v>
      </c>
      <c r="B122" s="34"/>
      <c r="C122" s="34"/>
      <c r="D122" s="34"/>
      <c r="E122" s="34"/>
      <c r="F122" s="17"/>
      <c r="G122" s="38"/>
      <c r="H122" s="36" t="s">
        <v>29</v>
      </c>
      <c r="I122" s="34"/>
      <c r="J122" s="34"/>
      <c r="K122" s="34"/>
      <c r="L122" s="34"/>
      <c r="M122" s="34"/>
    </row>
    <row r="123" spans="1:13" s="3" customFormat="1" ht="21.9" customHeight="1">
      <c r="A123" s="569"/>
      <c r="B123" s="569"/>
      <c r="C123" s="569"/>
      <c r="D123" s="569"/>
      <c r="E123" s="569"/>
      <c r="F123" s="569"/>
      <c r="G123" s="491"/>
      <c r="H123" s="569"/>
      <c r="I123" s="569"/>
      <c r="J123" s="569"/>
      <c r="K123" s="569"/>
      <c r="L123" s="569"/>
      <c r="M123" s="569"/>
    </row>
    <row r="124" spans="1:13" s="3" customFormat="1" ht="21.9" customHeight="1">
      <c r="A124" s="571"/>
      <c r="B124" s="571"/>
      <c r="C124" s="571"/>
      <c r="D124" s="571"/>
      <c r="E124" s="571"/>
      <c r="F124" s="571"/>
      <c r="G124" s="491"/>
      <c r="H124" s="569"/>
      <c r="I124" s="569"/>
      <c r="J124" s="569"/>
      <c r="K124" s="569"/>
      <c r="L124" s="569"/>
      <c r="M124" s="569"/>
    </row>
    <row r="125" spans="1:13" s="3" customFormat="1" ht="21.9" customHeight="1">
      <c r="A125" s="571"/>
      <c r="B125" s="571"/>
      <c r="C125" s="571"/>
      <c r="D125" s="571"/>
      <c r="E125" s="571"/>
      <c r="F125" s="571"/>
      <c r="G125" s="57"/>
      <c r="H125" s="569"/>
      <c r="I125" s="569"/>
      <c r="J125" s="569"/>
      <c r="K125" s="569"/>
      <c r="L125" s="569"/>
      <c r="M125" s="569"/>
    </row>
    <row r="126" spans="1:13" s="3" customFormat="1" ht="21.9" customHeight="1">
      <c r="A126" s="569"/>
      <c r="B126" s="569"/>
      <c r="C126" s="569"/>
      <c r="D126" s="569"/>
      <c r="E126" s="569"/>
      <c r="F126" s="569"/>
      <c r="G126" s="57"/>
      <c r="H126" s="569"/>
      <c r="I126" s="569"/>
      <c r="J126" s="569"/>
      <c r="K126" s="569"/>
      <c r="L126" s="569"/>
      <c r="M126" s="569"/>
    </row>
    <row r="127" spans="1:13" s="3" customFormat="1" ht="21.9" customHeight="1">
      <c r="A127" s="570"/>
      <c r="B127" s="570"/>
      <c r="C127" s="570"/>
      <c r="D127" s="570"/>
      <c r="E127" s="570"/>
      <c r="F127" s="570"/>
      <c r="G127" s="39"/>
      <c r="H127" s="569"/>
      <c r="I127" s="569"/>
      <c r="J127" s="569"/>
      <c r="K127" s="569"/>
      <c r="L127" s="569"/>
      <c r="M127" s="569"/>
    </row>
    <row r="128" spans="1:13" s="3" customFormat="1" ht="21.9" customHeight="1">
      <c r="A128" s="571"/>
      <c r="B128" s="571"/>
      <c r="C128" s="571"/>
      <c r="D128" s="571"/>
      <c r="E128" s="571"/>
      <c r="F128" s="571"/>
      <c r="G128" s="491"/>
      <c r="H128" s="569"/>
      <c r="I128" s="569"/>
      <c r="J128" s="569"/>
      <c r="K128" s="569"/>
      <c r="L128" s="569"/>
      <c r="M128" s="569"/>
    </row>
    <row r="129" spans="1:13" s="3" customFormat="1" ht="21.9" customHeight="1">
      <c r="A129" s="571"/>
      <c r="B129" s="571"/>
      <c r="C129" s="571"/>
      <c r="D129" s="571"/>
      <c r="E129" s="571"/>
      <c r="F129" s="571"/>
      <c r="G129" s="57"/>
      <c r="H129" s="569"/>
      <c r="I129" s="569"/>
      <c r="J129" s="569"/>
      <c r="K129" s="569"/>
      <c r="L129" s="569"/>
      <c r="M129" s="569"/>
    </row>
    <row r="130" spans="1:13" s="3" customFormat="1" ht="21.9" customHeight="1">
      <c r="A130" s="571"/>
      <c r="B130" s="571"/>
      <c r="C130" s="571"/>
      <c r="D130" s="571"/>
      <c r="E130" s="571"/>
      <c r="F130" s="571"/>
      <c r="G130" s="491"/>
      <c r="H130" s="569"/>
      <c r="I130" s="569"/>
      <c r="J130" s="569"/>
      <c r="K130" s="569"/>
      <c r="L130" s="569"/>
      <c r="M130" s="569"/>
    </row>
    <row r="131" spans="1:13" s="3" customFormat="1" ht="21.9" customHeight="1">
      <c r="A131" s="571"/>
      <c r="B131" s="571"/>
      <c r="C131" s="571"/>
      <c r="D131" s="571"/>
      <c r="E131" s="571"/>
      <c r="F131" s="571"/>
      <c r="G131" s="491"/>
      <c r="H131" s="569"/>
      <c r="I131" s="569"/>
      <c r="J131" s="569"/>
      <c r="K131" s="569"/>
      <c r="L131" s="569"/>
      <c r="M131" s="569"/>
    </row>
    <row r="132" spans="1:13" s="3" customFormat="1" ht="21.9" customHeight="1">
      <c r="A132" s="571"/>
      <c r="B132" s="571"/>
      <c r="C132" s="571"/>
      <c r="D132" s="571"/>
      <c r="E132" s="571"/>
      <c r="F132" s="571"/>
      <c r="G132" s="57"/>
      <c r="H132" s="569"/>
      <c r="I132" s="569"/>
      <c r="J132" s="569"/>
      <c r="K132" s="569"/>
      <c r="L132" s="569"/>
      <c r="M132" s="569"/>
    </row>
    <row r="133" spans="1:13" s="3" customFormat="1" ht="21.9" customHeight="1">
      <c r="A133" s="572"/>
      <c r="B133" s="572"/>
      <c r="C133" s="572"/>
      <c r="D133" s="572"/>
      <c r="E133" s="572"/>
      <c r="F133" s="572"/>
      <c r="G133" s="57"/>
      <c r="H133" s="572"/>
      <c r="I133" s="572"/>
      <c r="J133" s="572"/>
      <c r="K133" s="572"/>
      <c r="L133" s="572"/>
      <c r="M133" s="572"/>
    </row>
    <row r="134" spans="1:13" s="3" customFormat="1" ht="21.9" customHeight="1">
      <c r="A134" s="70" t="s">
        <v>34</v>
      </c>
      <c r="B134" s="5"/>
      <c r="C134" s="4"/>
      <c r="H134" s="573" t="s">
        <v>35</v>
      </c>
      <c r="I134" s="573"/>
      <c r="J134" s="573"/>
      <c r="K134" s="492"/>
      <c r="L134" s="573" t="s">
        <v>36</v>
      </c>
      <c r="M134" s="573"/>
    </row>
    <row r="135" spans="1:13" s="3" customFormat="1" ht="21.9" customHeight="1">
      <c r="A135" s="576"/>
      <c r="B135" s="576"/>
      <c r="C135" s="576"/>
      <c r="D135" s="576"/>
      <c r="E135" s="576"/>
      <c r="F135" s="576"/>
      <c r="G135" s="71"/>
      <c r="H135" s="577" t="s">
        <v>14</v>
      </c>
      <c r="I135" s="577"/>
      <c r="J135" s="495" t="s">
        <v>24</v>
      </c>
      <c r="K135" s="495"/>
      <c r="L135" s="495" t="s">
        <v>14</v>
      </c>
      <c r="M135" s="495" t="s">
        <v>24</v>
      </c>
    </row>
    <row r="136" spans="1:13" s="3" customFormat="1" ht="21.9" customHeight="1">
      <c r="A136" s="574"/>
      <c r="B136" s="574"/>
      <c r="C136" s="574"/>
      <c r="D136" s="574"/>
      <c r="E136" s="574"/>
      <c r="F136" s="574"/>
      <c r="G136" s="72"/>
      <c r="H136" s="575"/>
      <c r="I136" s="575"/>
      <c r="J136" s="494"/>
      <c r="K136" s="494"/>
      <c r="L136" s="76"/>
      <c r="M136" s="494"/>
    </row>
    <row r="137" spans="1:13" s="3" customFormat="1" ht="21.9" customHeight="1">
      <c r="A137" s="574"/>
      <c r="B137" s="574"/>
      <c r="C137" s="574"/>
      <c r="D137" s="574"/>
      <c r="E137" s="574"/>
      <c r="F137" s="574"/>
      <c r="G137" s="72"/>
      <c r="H137" s="575"/>
      <c r="I137" s="575"/>
      <c r="J137" s="494"/>
      <c r="K137" s="494"/>
      <c r="L137" s="76"/>
      <c r="M137" s="494"/>
    </row>
    <row r="138" spans="1:13" s="3" customFormat="1" ht="21.9" customHeight="1">
      <c r="A138" s="574"/>
      <c r="B138" s="574"/>
      <c r="C138" s="574"/>
      <c r="D138" s="574"/>
      <c r="E138" s="574"/>
      <c r="F138" s="574"/>
      <c r="G138" s="72"/>
      <c r="H138" s="575"/>
      <c r="I138" s="575"/>
      <c r="J138" s="494"/>
      <c r="K138" s="494"/>
      <c r="L138" s="76"/>
      <c r="M138" s="494"/>
    </row>
    <row r="139" spans="1:13" s="3" customFormat="1" ht="21.9" customHeight="1">
      <c r="A139" s="574"/>
      <c r="B139" s="574"/>
      <c r="C139" s="574"/>
      <c r="D139" s="574"/>
      <c r="E139" s="574"/>
      <c r="F139" s="574"/>
      <c r="G139" s="72"/>
      <c r="H139" s="575"/>
      <c r="I139" s="575"/>
      <c r="J139" s="494"/>
      <c r="K139" s="494"/>
      <c r="L139" s="76"/>
      <c r="M139" s="494"/>
    </row>
    <row r="140" spans="1:13" s="3" customFormat="1" ht="21.9" customHeight="1">
      <c r="A140" s="574"/>
      <c r="B140" s="574"/>
      <c r="C140" s="574"/>
      <c r="D140" s="574"/>
      <c r="E140" s="574"/>
      <c r="F140" s="574"/>
      <c r="G140" s="72"/>
      <c r="H140" s="575"/>
      <c r="I140" s="575"/>
      <c r="J140" s="494"/>
      <c r="K140" s="494"/>
      <c r="L140" s="77"/>
      <c r="M140" s="494"/>
    </row>
    <row r="141" spans="1:13" s="3" customFormat="1" ht="21.9" customHeight="1">
      <c r="A141" s="574"/>
      <c r="B141" s="574"/>
      <c r="C141" s="574"/>
      <c r="D141" s="574"/>
      <c r="E141" s="574"/>
      <c r="F141" s="574"/>
      <c r="G141" s="72"/>
      <c r="H141" s="575"/>
      <c r="I141" s="575"/>
      <c r="J141" s="73"/>
      <c r="K141" s="72"/>
      <c r="M141" s="73"/>
    </row>
    <row r="142" spans="1:13" s="3" customFormat="1" ht="21.9" customHeight="1">
      <c r="A142" s="574"/>
      <c r="B142" s="574"/>
      <c r="C142" s="574"/>
      <c r="D142" s="574"/>
      <c r="E142" s="574"/>
      <c r="F142" s="574"/>
      <c r="G142" s="72"/>
      <c r="H142" s="575"/>
      <c r="I142" s="575"/>
      <c r="J142" s="73"/>
      <c r="K142" s="73"/>
      <c r="L142" s="77"/>
      <c r="M142" s="73"/>
    </row>
    <row r="143" spans="1:13" s="3" customFormat="1" ht="21.9" customHeight="1">
      <c r="A143" s="574"/>
      <c r="B143" s="574"/>
      <c r="C143" s="574"/>
      <c r="D143" s="574"/>
      <c r="E143" s="574"/>
      <c r="F143" s="574"/>
      <c r="G143" s="72"/>
      <c r="H143" s="575"/>
      <c r="I143" s="575"/>
      <c r="J143" s="73"/>
      <c r="K143" s="73"/>
      <c r="L143" s="77"/>
      <c r="M143" s="73"/>
    </row>
    <row r="144" spans="1:13" s="3" customFormat="1" ht="21.9" customHeight="1">
      <c r="A144" s="574"/>
      <c r="B144" s="574"/>
      <c r="C144" s="574"/>
      <c r="D144" s="574"/>
      <c r="E144" s="574"/>
      <c r="F144" s="574"/>
      <c r="G144" s="72"/>
      <c r="H144" s="575"/>
      <c r="I144" s="575"/>
      <c r="J144" s="73"/>
      <c r="K144" s="73"/>
      <c r="L144" s="77"/>
      <c r="M144" s="73"/>
    </row>
    <row r="145" spans="1:13" s="3" customFormat="1" ht="21.9" customHeight="1">
      <c r="A145" s="574"/>
      <c r="B145" s="574"/>
      <c r="C145" s="574"/>
      <c r="D145" s="574"/>
      <c r="E145" s="574"/>
      <c r="F145" s="574"/>
      <c r="G145" s="72"/>
      <c r="H145" s="575"/>
      <c r="I145" s="575"/>
      <c r="J145" s="73"/>
      <c r="K145" s="73"/>
      <c r="L145" s="77"/>
      <c r="M145" s="73"/>
    </row>
    <row r="146" spans="1:13" s="3" customFormat="1" ht="21.9" customHeight="1">
      <c r="A146" s="45"/>
      <c r="B146" s="46"/>
      <c r="C146" s="46"/>
      <c r="D146" s="46"/>
      <c r="E146" s="44"/>
      <c r="F146" s="46"/>
      <c r="G146" s="46"/>
      <c r="H146" s="46"/>
      <c r="I146" s="46"/>
      <c r="J146" s="46"/>
      <c r="K146" s="46"/>
      <c r="L146" s="47"/>
      <c r="M146" s="46"/>
    </row>
    <row r="147" spans="1:13" s="3" customFormat="1" ht="21.9" customHeight="1">
      <c r="A147" s="45" t="s">
        <v>45</v>
      </c>
      <c r="B147" s="46"/>
      <c r="C147" s="46"/>
      <c r="D147" s="46"/>
      <c r="E147" s="44"/>
      <c r="F147" s="46"/>
      <c r="G147" s="46"/>
      <c r="H147" s="46"/>
      <c r="I147" s="46"/>
      <c r="J147" s="46"/>
      <c r="K147" s="46"/>
      <c r="L147" s="47"/>
      <c r="M147" s="46"/>
    </row>
    <row r="148" spans="1:13" s="3" customFormat="1" ht="21.9" customHeight="1">
      <c r="A148" s="45"/>
      <c r="B148" s="46"/>
      <c r="C148" s="46"/>
      <c r="D148" s="46"/>
      <c r="E148" s="44"/>
      <c r="F148" s="46"/>
      <c r="G148" s="46"/>
      <c r="H148" s="46"/>
      <c r="I148" s="48"/>
      <c r="J148" s="48"/>
      <c r="K148" s="48"/>
      <c r="L148" s="47"/>
      <c r="M148" s="46"/>
    </row>
    <row r="149" spans="1:13" s="3" customFormat="1" ht="21.9" customHeight="1">
      <c r="A149" s="46" t="s">
        <v>46</v>
      </c>
      <c r="B149" s="578" t="s">
        <v>47</v>
      </c>
      <c r="C149" s="579"/>
      <c r="D149" s="578" t="s">
        <v>48</v>
      </c>
      <c r="E149" s="579"/>
      <c r="F149" s="578" t="s">
        <v>49</v>
      </c>
      <c r="G149" s="579"/>
      <c r="H149" s="578" t="s">
        <v>50</v>
      </c>
      <c r="I149" s="579"/>
      <c r="J149" s="578" t="s">
        <v>51</v>
      </c>
      <c r="K149" s="769"/>
      <c r="L149" s="579"/>
      <c r="M149" s="49"/>
    </row>
    <row r="150" spans="1:13" s="3" customFormat="1" ht="21.9" customHeight="1">
      <c r="A150" s="50"/>
      <c r="B150" s="583"/>
      <c r="C150" s="584"/>
      <c r="D150" s="587"/>
      <c r="E150" s="588"/>
      <c r="F150" s="665"/>
      <c r="G150" s="666"/>
      <c r="H150" s="665"/>
      <c r="I150" s="666"/>
      <c r="J150" s="587"/>
      <c r="K150" s="770"/>
      <c r="L150" s="588"/>
      <c r="M150" s="49"/>
    </row>
    <row r="151" spans="1:13" s="3" customFormat="1" ht="21.9" customHeight="1">
      <c r="A151" s="50"/>
      <c r="B151" s="585"/>
      <c r="C151" s="586"/>
      <c r="D151" s="589"/>
      <c r="E151" s="590"/>
      <c r="F151" s="667"/>
      <c r="G151" s="668"/>
      <c r="H151" s="667"/>
      <c r="I151" s="668"/>
      <c r="J151" s="589"/>
      <c r="K151" s="771"/>
      <c r="L151" s="590"/>
      <c r="M151" s="49"/>
    </row>
    <row r="152" spans="1:13" s="3" customFormat="1" ht="21.9" customHeight="1">
      <c r="A152" s="35"/>
      <c r="B152" s="27"/>
      <c r="C152" s="27"/>
      <c r="D152" s="27"/>
      <c r="E152" s="35"/>
      <c r="F152" s="58"/>
      <c r="G152" s="58"/>
      <c r="H152" s="58"/>
      <c r="I152" s="58"/>
      <c r="J152" s="68"/>
      <c r="K152" s="68"/>
      <c r="L152" s="68"/>
    </row>
    <row r="153" spans="1:13" s="3" customFormat="1" ht="21.9" customHeight="1">
      <c r="A153" s="35" t="s">
        <v>53</v>
      </c>
      <c r="B153" s="27"/>
      <c r="C153" s="27"/>
      <c r="D153" s="35" t="s">
        <v>54</v>
      </c>
      <c r="E153" s="22"/>
      <c r="F153" s="58"/>
      <c r="G153" s="22"/>
      <c r="H153" s="35" t="s">
        <v>250</v>
      </c>
      <c r="I153" s="58"/>
      <c r="J153" s="22"/>
      <c r="K153" s="22"/>
      <c r="L153" s="68" t="s">
        <v>266</v>
      </c>
    </row>
    <row r="154" spans="1:13" s="3" customFormat="1" ht="21.9" customHeight="1">
      <c r="A154" s="29"/>
      <c r="B154" s="29"/>
      <c r="C154" s="29"/>
      <c r="D154" s="29"/>
      <c r="E154" s="29"/>
      <c r="F154" s="29"/>
      <c r="G154" s="22"/>
      <c r="H154" s="29"/>
      <c r="I154" s="29"/>
    </row>
    <row r="155" spans="1:13" s="3" customFormat="1" ht="21.9" customHeight="1">
      <c r="A155" s="580"/>
      <c r="B155" s="580"/>
      <c r="C155" s="318"/>
      <c r="D155" s="671" t="s">
        <v>267</v>
      </c>
      <c r="E155" s="671"/>
      <c r="F155" s="671"/>
      <c r="G155" s="22"/>
      <c r="H155" s="672" t="s">
        <v>247</v>
      </c>
      <c r="I155" s="672"/>
      <c r="J155" s="672"/>
      <c r="K155" s="496"/>
      <c r="L155" s="662" t="s">
        <v>268</v>
      </c>
      <c r="M155" s="662"/>
    </row>
    <row r="156" spans="1:13" s="3" customFormat="1" ht="21.9" customHeight="1">
      <c r="A156" s="663" t="s">
        <v>59</v>
      </c>
      <c r="B156" s="663"/>
      <c r="C156" s="319"/>
      <c r="D156" s="664" t="s">
        <v>60</v>
      </c>
      <c r="E156" s="664"/>
      <c r="F156" s="664"/>
      <c r="H156" s="663" t="s">
        <v>252</v>
      </c>
      <c r="I156" s="663"/>
      <c r="J156" s="663"/>
      <c r="K156" s="497"/>
      <c r="L156" s="320" t="s">
        <v>253</v>
      </c>
      <c r="M156" s="320"/>
    </row>
    <row r="157" spans="1:13" s="3" customFormat="1" ht="21.9" customHeight="1">
      <c r="A157" s="32"/>
      <c r="B157" s="32"/>
      <c r="C157" s="32"/>
      <c r="D157" s="32"/>
      <c r="E157" s="32"/>
      <c r="F157" s="31"/>
      <c r="G157" s="31"/>
      <c r="H157" s="31"/>
      <c r="I157" s="31"/>
      <c r="J157" s="31"/>
      <c r="K157" s="31"/>
    </row>
    <row r="158" spans="1:13" s="3" customFormat="1" ht="21.9" customHeight="1">
      <c r="A158" s="32"/>
      <c r="B158" s="32"/>
      <c r="C158" s="32"/>
      <c r="D158" s="32"/>
      <c r="E158" s="32"/>
      <c r="F158" s="31"/>
      <c r="G158" s="31"/>
      <c r="H158" s="31"/>
      <c r="I158" s="31"/>
      <c r="J158" s="31"/>
      <c r="K158" s="31"/>
    </row>
    <row r="159" spans="1:13" s="3" customFormat="1" ht="21.9" customHeight="1">
      <c r="A159" s="32"/>
      <c r="B159" s="32"/>
      <c r="C159" s="32"/>
      <c r="D159" s="32"/>
      <c r="E159" s="32"/>
      <c r="F159" s="33"/>
      <c r="G159" s="33"/>
      <c r="H159" s="33"/>
      <c r="I159" s="33"/>
      <c r="J159" s="33"/>
      <c r="K159" s="33"/>
    </row>
    <row r="160" spans="1:13" s="3" customFormat="1" ht="21.9" customHeight="1">
      <c r="A160" s="32"/>
      <c r="B160" s="32"/>
      <c r="C160" s="32"/>
      <c r="D160" s="32"/>
      <c r="E160" s="32"/>
      <c r="F160" s="33"/>
      <c r="G160" s="33"/>
      <c r="H160" s="33"/>
      <c r="I160" s="33"/>
      <c r="J160" s="33"/>
      <c r="K160" s="33"/>
    </row>
    <row r="161" spans="1:13" s="3" customFormat="1" ht="21.9" customHeight="1">
      <c r="A161" s="13"/>
      <c r="B161" s="13"/>
      <c r="C161" s="13"/>
      <c r="D161" s="13"/>
      <c r="E161" s="13"/>
      <c r="F161" s="14"/>
      <c r="G161" s="14"/>
      <c r="H161" s="14"/>
      <c r="I161" s="14"/>
      <c r="J161" s="14"/>
      <c r="K161" s="14"/>
      <c r="L161" s="9"/>
      <c r="M161" s="9"/>
    </row>
    <row r="162" spans="1:13" s="3" customFormat="1" ht="21.9" customHeight="1">
      <c r="A162" s="13"/>
      <c r="B162" s="13"/>
      <c r="C162" s="13"/>
      <c r="D162" s="13"/>
      <c r="E162" s="13"/>
      <c r="F162" s="14"/>
      <c r="G162" s="14"/>
      <c r="H162" s="14"/>
      <c r="I162" s="14"/>
      <c r="J162" s="14"/>
      <c r="K162" s="14"/>
      <c r="L162" s="9"/>
      <c r="M162" s="9"/>
    </row>
    <row r="163" spans="1:13" s="3" customFormat="1" ht="21.9" customHeight="1">
      <c r="A163" s="13"/>
      <c r="B163" s="13"/>
      <c r="C163" s="13"/>
      <c r="D163" s="13"/>
      <c r="E163" s="13"/>
      <c r="F163" s="14"/>
      <c r="G163" s="14"/>
      <c r="H163" s="14"/>
      <c r="I163" s="14"/>
      <c r="J163" s="14"/>
      <c r="K163" s="14"/>
      <c r="L163" s="9"/>
      <c r="M163" s="9"/>
    </row>
    <row r="164" spans="1:13" s="3" customFormat="1" ht="21.9" customHeight="1">
      <c r="A164" s="13"/>
      <c r="B164" s="13"/>
      <c r="C164" s="13"/>
      <c r="D164" s="13"/>
      <c r="E164" s="13"/>
      <c r="F164" s="14"/>
      <c r="G164" s="14"/>
      <c r="H164" s="14"/>
      <c r="I164" s="14"/>
      <c r="J164" s="14"/>
      <c r="K164" s="14"/>
      <c r="L164" s="9"/>
      <c r="M164" s="9"/>
    </row>
    <row r="165" spans="1:13" s="3" customFormat="1" ht="21.9" customHeight="1">
      <c r="A165" s="13"/>
      <c r="B165" s="13"/>
      <c r="C165" s="13"/>
      <c r="D165" s="13"/>
      <c r="E165" s="13"/>
      <c r="F165" s="14"/>
      <c r="G165" s="14"/>
      <c r="H165" s="14"/>
      <c r="I165" s="14"/>
      <c r="J165" s="14"/>
      <c r="K165" s="14"/>
      <c r="L165" s="9"/>
      <c r="M165" s="9"/>
    </row>
    <row r="166" spans="1:13" s="3" customFormat="1" ht="21.9" customHeight="1">
      <c r="A166" s="13"/>
      <c r="B166" s="13"/>
      <c r="C166" s="13"/>
      <c r="D166" s="13"/>
      <c r="E166" s="13"/>
      <c r="F166" s="10"/>
      <c r="G166" s="10"/>
      <c r="H166" s="10"/>
      <c r="I166" s="10"/>
      <c r="J166" s="10"/>
      <c r="K166" s="10"/>
      <c r="L166" s="9"/>
      <c r="M166" s="9"/>
    </row>
    <row r="167" spans="1:13" s="9" customFormat="1" ht="21.9" customHeight="1">
      <c r="A167" s="13"/>
      <c r="B167" s="13"/>
      <c r="C167" s="13"/>
      <c r="D167" s="13"/>
      <c r="E167" s="13"/>
      <c r="F167" s="14"/>
      <c r="G167" s="14"/>
      <c r="H167" s="14"/>
      <c r="I167" s="14"/>
      <c r="J167" s="14"/>
      <c r="K167" s="14"/>
    </row>
    <row r="168" spans="1:13" s="9" customFormat="1" ht="21.9" customHeight="1">
      <c r="A168" s="13"/>
      <c r="B168" s="13"/>
      <c r="C168" s="13"/>
      <c r="D168" s="13"/>
      <c r="E168" s="13"/>
      <c r="F168" s="14"/>
      <c r="G168" s="14"/>
      <c r="H168" s="14"/>
      <c r="I168" s="14"/>
      <c r="J168" s="14"/>
      <c r="K168" s="14"/>
    </row>
    <row r="169" spans="1:13" s="9" customFormat="1" ht="21.9" customHeight="1">
      <c r="A169" s="13"/>
      <c r="B169" s="13"/>
      <c r="C169" s="13"/>
      <c r="D169" s="13"/>
      <c r="E169" s="13"/>
      <c r="F169" s="14"/>
      <c r="G169" s="14"/>
      <c r="H169" s="14"/>
      <c r="I169" s="14"/>
      <c r="J169" s="14"/>
      <c r="K169" s="14"/>
    </row>
    <row r="170" spans="1:13" s="9" customFormat="1" ht="21.9" customHeight="1">
      <c r="A170" s="13"/>
      <c r="B170" s="13"/>
      <c r="C170" s="13"/>
      <c r="D170" s="13"/>
      <c r="E170" s="13"/>
      <c r="F170" s="8"/>
      <c r="G170" s="8"/>
      <c r="H170" s="8"/>
      <c r="I170" s="8"/>
      <c r="J170" s="8"/>
      <c r="K170" s="8"/>
    </row>
    <row r="171" spans="1:13" s="9" customFormat="1" ht="21.9" customHeight="1">
      <c r="A171" s="13"/>
      <c r="B171" s="13"/>
      <c r="C171" s="13"/>
      <c r="D171" s="13"/>
      <c r="E171" s="13"/>
      <c r="F171" s="14"/>
      <c r="G171" s="14"/>
      <c r="H171" s="14"/>
      <c r="I171" s="14"/>
      <c r="J171" s="14"/>
      <c r="K171" s="14"/>
    </row>
    <row r="172" spans="1:13" s="9" customFormat="1" ht="21.9" customHeight="1">
      <c r="A172" s="13"/>
      <c r="B172" s="13"/>
      <c r="C172" s="13"/>
      <c r="D172" s="13"/>
      <c r="E172" s="13"/>
      <c r="F172" s="10"/>
      <c r="G172" s="10"/>
      <c r="H172" s="10"/>
      <c r="I172" s="10"/>
      <c r="J172" s="10"/>
      <c r="K172" s="10"/>
    </row>
    <row r="173" spans="1:13" s="9" customFormat="1" ht="21.9" customHeight="1">
      <c r="A173" s="13"/>
      <c r="B173" s="13"/>
      <c r="C173" s="13"/>
      <c r="D173" s="13"/>
      <c r="E173" s="13"/>
      <c r="F173" s="12"/>
      <c r="G173" s="12"/>
      <c r="H173" s="12"/>
      <c r="I173" s="12"/>
      <c r="J173" s="12"/>
      <c r="K173" s="12"/>
    </row>
    <row r="174" spans="1:13" s="9" customFormat="1" ht="21.9" customHeight="1">
      <c r="A174" s="13"/>
      <c r="B174" s="13"/>
      <c r="C174" s="13"/>
      <c r="D174" s="13"/>
      <c r="E174" s="13"/>
      <c r="F174" s="12"/>
      <c r="G174" s="12"/>
      <c r="H174" s="12"/>
      <c r="I174" s="12"/>
      <c r="J174" s="12"/>
      <c r="K174" s="12"/>
    </row>
    <row r="175" spans="1:13" s="9" customFormat="1" ht="21.9" customHeight="1">
      <c r="A175" s="13"/>
      <c r="B175" s="13"/>
      <c r="C175" s="13"/>
      <c r="D175" s="13"/>
      <c r="E175" s="13"/>
      <c r="F175" s="12"/>
      <c r="G175" s="12"/>
      <c r="H175" s="12"/>
      <c r="I175" s="12"/>
      <c r="J175" s="12"/>
      <c r="K175" s="12"/>
    </row>
    <row r="176" spans="1:13" s="9" customFormat="1" ht="21.9" customHeight="1">
      <c r="A176" s="13"/>
      <c r="B176" s="13"/>
      <c r="C176" s="13"/>
      <c r="D176" s="13"/>
      <c r="E176" s="13"/>
      <c r="F176" s="12"/>
      <c r="G176" s="12"/>
      <c r="H176" s="12"/>
      <c r="I176" s="12"/>
      <c r="J176" s="12"/>
      <c r="K176" s="12"/>
    </row>
    <row r="177" spans="1:11" s="9" customFormat="1" ht="21.9" customHeight="1">
      <c r="A177" s="13"/>
      <c r="B177" s="13"/>
      <c r="C177" s="13"/>
      <c r="D177" s="13"/>
      <c r="E177" s="13"/>
      <c r="F177" s="12"/>
      <c r="G177" s="12"/>
      <c r="H177" s="12"/>
      <c r="I177" s="12"/>
      <c r="J177" s="12"/>
      <c r="K177" s="12"/>
    </row>
    <row r="178" spans="1:11" s="9" customFormat="1" ht="21.9" customHeight="1">
      <c r="A178" s="13"/>
      <c r="B178" s="13"/>
      <c r="C178" s="13"/>
      <c r="D178" s="13"/>
      <c r="E178" s="13"/>
      <c r="F178" s="12"/>
      <c r="G178" s="12"/>
      <c r="H178" s="12"/>
      <c r="I178" s="12"/>
      <c r="J178" s="12"/>
      <c r="K178" s="12"/>
    </row>
    <row r="179" spans="1:11" s="9" customFormat="1" ht="21.9" customHeight="1">
      <c r="A179" s="13"/>
      <c r="B179" s="13"/>
      <c r="C179" s="13"/>
      <c r="D179" s="13"/>
      <c r="E179" s="13"/>
      <c r="F179" s="14"/>
      <c r="G179" s="14"/>
      <c r="H179" s="14"/>
      <c r="I179" s="14"/>
      <c r="J179" s="14"/>
      <c r="K179" s="14"/>
    </row>
    <row r="180" spans="1:11" s="9" customFormat="1" ht="21.9" customHeight="1">
      <c r="A180" s="13"/>
      <c r="B180" s="13"/>
      <c r="C180" s="13"/>
      <c r="D180" s="13"/>
      <c r="E180" s="13"/>
      <c r="F180" s="8"/>
      <c r="G180" s="8"/>
      <c r="H180" s="8"/>
      <c r="I180" s="8"/>
      <c r="J180" s="8"/>
      <c r="K180" s="8"/>
    </row>
    <row r="181" spans="1:11" s="9" customFormat="1" ht="21.9" customHeight="1">
      <c r="A181" s="13"/>
      <c r="B181" s="13"/>
      <c r="C181" s="13"/>
      <c r="D181" s="13"/>
      <c r="E181" s="13"/>
      <c r="F181" s="8"/>
      <c r="G181" s="8"/>
      <c r="H181" s="8"/>
      <c r="I181" s="8"/>
      <c r="J181" s="8"/>
      <c r="K181" s="8"/>
    </row>
    <row r="182" spans="1:11" s="9" customFormat="1" ht="21.9" customHeight="1">
      <c r="A182" s="13"/>
      <c r="B182" s="13"/>
      <c r="C182" s="13"/>
      <c r="D182" s="13"/>
      <c r="E182" s="13"/>
      <c r="F182" s="8"/>
      <c r="G182" s="8"/>
      <c r="H182" s="8"/>
      <c r="I182" s="8"/>
      <c r="J182" s="8"/>
      <c r="K182" s="8"/>
    </row>
    <row r="183" spans="1:11" s="9" customFormat="1" ht="21.9" customHeight="1">
      <c r="A183" s="13"/>
      <c r="B183" s="13"/>
      <c r="C183" s="13"/>
      <c r="D183" s="13"/>
      <c r="E183" s="13"/>
      <c r="F183" s="8"/>
      <c r="G183" s="8"/>
      <c r="H183" s="8"/>
      <c r="I183" s="8"/>
      <c r="J183" s="8"/>
      <c r="K183" s="8"/>
    </row>
    <row r="184" spans="1:11" s="9" customFormat="1" ht="21.9" customHeight="1">
      <c r="A184" s="13"/>
      <c r="B184" s="13"/>
      <c r="C184" s="13"/>
      <c r="D184" s="13"/>
      <c r="E184" s="13"/>
      <c r="F184" s="8"/>
      <c r="G184" s="8"/>
      <c r="H184" s="8"/>
      <c r="I184" s="8"/>
      <c r="J184" s="8"/>
      <c r="K184" s="8"/>
    </row>
    <row r="185" spans="1:11" s="9" customFormat="1" ht="21.9" customHeight="1">
      <c r="A185" s="13"/>
      <c r="B185" s="13"/>
      <c r="C185" s="13"/>
      <c r="D185" s="13"/>
      <c r="E185" s="13"/>
      <c r="F185" s="8"/>
      <c r="G185" s="8"/>
      <c r="H185" s="8"/>
      <c r="I185" s="8"/>
      <c r="J185" s="8"/>
      <c r="K185" s="8"/>
    </row>
    <row r="186" spans="1:11" s="9" customFormat="1" ht="21.9" customHeight="1">
      <c r="A186" s="13"/>
      <c r="B186" s="13"/>
      <c r="C186" s="13"/>
      <c r="D186" s="13"/>
      <c r="E186" s="13"/>
      <c r="F186" s="10"/>
      <c r="G186" s="10"/>
      <c r="H186" s="10"/>
      <c r="I186" s="10"/>
      <c r="J186" s="10"/>
      <c r="K186" s="10"/>
    </row>
    <row r="187" spans="1:11" s="9" customFormat="1" ht="21.9" customHeight="1">
      <c r="A187" s="13"/>
      <c r="B187" s="13"/>
      <c r="C187" s="13"/>
      <c r="D187" s="13"/>
      <c r="E187" s="13"/>
      <c r="F187" s="10"/>
      <c r="G187" s="10"/>
      <c r="H187" s="10"/>
      <c r="I187" s="10"/>
      <c r="J187" s="10"/>
      <c r="K187" s="10"/>
    </row>
    <row r="188" spans="1:11" s="9" customFormat="1" ht="21.9" customHeight="1">
      <c r="A188" s="13"/>
      <c r="B188" s="13"/>
      <c r="C188" s="13"/>
      <c r="D188" s="13"/>
      <c r="E188" s="13"/>
      <c r="F188" s="10"/>
      <c r="G188" s="10"/>
      <c r="H188" s="10"/>
      <c r="I188" s="10"/>
      <c r="J188" s="10"/>
      <c r="K188" s="10"/>
    </row>
    <row r="189" spans="1:11" s="9" customFormat="1" ht="21.9" customHeight="1">
      <c r="A189" s="13"/>
      <c r="B189" s="13"/>
      <c r="C189" s="13"/>
      <c r="D189" s="13"/>
      <c r="E189" s="13"/>
      <c r="F189" s="10"/>
      <c r="G189" s="10"/>
      <c r="H189" s="10"/>
      <c r="I189" s="10"/>
      <c r="J189" s="10"/>
      <c r="K189" s="10"/>
    </row>
    <row r="190" spans="1:11" s="9" customFormat="1" ht="21.9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  <c r="K190" s="12"/>
    </row>
    <row r="191" spans="1:11" s="9" customFormat="1" ht="21.9" customHeight="1">
      <c r="A191" s="13"/>
      <c r="B191" s="13"/>
      <c r="C191" s="13"/>
      <c r="D191" s="13"/>
      <c r="E191" s="13"/>
      <c r="F191" s="12"/>
      <c r="G191" s="12"/>
      <c r="H191" s="12"/>
      <c r="I191" s="12"/>
      <c r="J191" s="12"/>
      <c r="K191" s="12"/>
    </row>
    <row r="192" spans="1:11" s="9" customFormat="1" ht="21.9" customHeight="1">
      <c r="A192" s="13"/>
      <c r="B192" s="13"/>
      <c r="C192" s="13"/>
      <c r="D192" s="13"/>
      <c r="E192" s="13"/>
      <c r="F192" s="12"/>
      <c r="G192" s="12"/>
      <c r="H192" s="12"/>
      <c r="I192" s="12"/>
      <c r="J192" s="12"/>
      <c r="K192" s="12"/>
    </row>
    <row r="193" spans="1:11" s="9" customFormat="1" ht="21.9" customHeight="1">
      <c r="A193" s="13"/>
      <c r="B193" s="13"/>
      <c r="C193" s="13"/>
      <c r="D193" s="13"/>
      <c r="E193" s="13"/>
      <c r="F193" s="8"/>
      <c r="G193" s="8"/>
      <c r="H193" s="8"/>
      <c r="I193" s="8"/>
      <c r="J193" s="8"/>
      <c r="K193" s="8"/>
    </row>
    <row r="194" spans="1:11" s="9" customFormat="1" ht="21.9" customHeight="1">
      <c r="A194" s="13"/>
      <c r="B194" s="13"/>
      <c r="C194" s="13"/>
      <c r="D194" s="13"/>
      <c r="E194" s="13"/>
      <c r="F194" s="8"/>
      <c r="G194" s="8"/>
      <c r="H194" s="8"/>
      <c r="I194" s="8"/>
      <c r="J194" s="8"/>
      <c r="K194" s="8"/>
    </row>
    <row r="195" spans="1:11" s="9" customFormat="1" ht="21.9" customHeight="1">
      <c r="A195" s="13"/>
      <c r="B195" s="13"/>
      <c r="C195" s="13"/>
      <c r="D195" s="13"/>
      <c r="E195" s="13"/>
      <c r="F195" s="12"/>
      <c r="G195" s="12"/>
      <c r="H195" s="12"/>
      <c r="I195" s="12"/>
      <c r="J195" s="12"/>
      <c r="K195" s="12"/>
    </row>
    <row r="196" spans="1:11" s="9" customFormat="1" ht="21.9" customHeight="1">
      <c r="A196" s="13"/>
      <c r="B196" s="13"/>
      <c r="C196" s="13"/>
      <c r="D196" s="13"/>
      <c r="E196" s="13"/>
      <c r="F196" s="12"/>
      <c r="G196" s="12"/>
      <c r="H196" s="12"/>
      <c r="I196" s="12"/>
      <c r="J196" s="12"/>
      <c r="K196" s="12"/>
    </row>
    <row r="197" spans="1:11" s="9" customFormat="1" ht="21.9" customHeight="1">
      <c r="A197" s="13"/>
      <c r="B197" s="13"/>
      <c r="C197" s="13"/>
      <c r="D197" s="13"/>
      <c r="E197" s="13"/>
      <c r="F197" s="8"/>
      <c r="G197" s="8"/>
      <c r="H197" s="8"/>
      <c r="I197" s="8"/>
      <c r="J197" s="8"/>
      <c r="K197" s="8"/>
    </row>
    <row r="198" spans="1:11" s="9" customFormat="1" ht="21.9" customHeight="1">
      <c r="A198" s="13"/>
      <c r="B198" s="13"/>
      <c r="C198" s="13"/>
      <c r="D198" s="13"/>
      <c r="E198" s="13"/>
      <c r="F198" s="8"/>
      <c r="G198" s="8"/>
      <c r="H198" s="8"/>
      <c r="I198" s="8"/>
      <c r="J198" s="8"/>
      <c r="K198" s="8"/>
    </row>
    <row r="199" spans="1:11" s="9" customFormat="1" ht="21.9" customHeight="1">
      <c r="A199" s="13"/>
      <c r="B199" s="13"/>
      <c r="C199" s="13"/>
      <c r="D199" s="13"/>
      <c r="E199" s="13"/>
      <c r="F199" s="8"/>
      <c r="G199" s="8"/>
      <c r="H199" s="8"/>
      <c r="I199" s="8"/>
      <c r="J199" s="8"/>
      <c r="K199" s="8"/>
    </row>
    <row r="200" spans="1:11" s="9" customFormat="1" ht="21.9" customHeight="1">
      <c r="A200" s="13"/>
      <c r="B200" s="13"/>
      <c r="C200" s="13"/>
      <c r="D200" s="13"/>
      <c r="E200" s="13"/>
      <c r="F200" s="8"/>
      <c r="G200" s="8"/>
      <c r="H200" s="8"/>
      <c r="I200" s="8"/>
      <c r="J200" s="8"/>
      <c r="K200" s="8"/>
    </row>
    <row r="201" spans="1:11" s="9" customFormat="1" ht="21.9" customHeight="1">
      <c r="A201" s="13"/>
      <c r="B201" s="13"/>
      <c r="C201" s="13"/>
      <c r="D201" s="13"/>
      <c r="E201" s="13"/>
      <c r="F201" s="8"/>
      <c r="G201" s="8"/>
      <c r="H201" s="8"/>
      <c r="I201" s="8"/>
      <c r="J201" s="8"/>
      <c r="K201" s="8"/>
    </row>
    <row r="202" spans="1:11" s="9" customFormat="1" ht="21.9" customHeight="1">
      <c r="A202" s="13"/>
      <c r="B202" s="13"/>
      <c r="C202" s="13"/>
      <c r="D202" s="13"/>
      <c r="E202" s="13"/>
      <c r="F202" s="8"/>
      <c r="G202" s="8"/>
      <c r="H202" s="8"/>
      <c r="I202" s="8"/>
      <c r="J202" s="8"/>
      <c r="K202" s="8"/>
    </row>
    <row r="203" spans="1:11" s="9" customFormat="1" ht="21.9" customHeight="1">
      <c r="A203" s="13"/>
      <c r="B203" s="13"/>
      <c r="C203" s="13"/>
      <c r="D203" s="13"/>
      <c r="E203" s="13"/>
      <c r="F203" s="11"/>
      <c r="G203" s="11"/>
      <c r="H203" s="11"/>
      <c r="I203" s="11"/>
      <c r="J203" s="11"/>
      <c r="K203" s="11"/>
    </row>
    <row r="204" spans="1:11" s="9" customFormat="1" ht="21.9" customHeight="1">
      <c r="A204" s="13"/>
      <c r="B204" s="13"/>
      <c r="C204" s="13"/>
      <c r="D204" s="13"/>
      <c r="E204" s="13"/>
      <c r="F204" s="11"/>
      <c r="G204" s="11"/>
      <c r="H204" s="11"/>
      <c r="I204" s="11"/>
      <c r="J204" s="11"/>
      <c r="K204" s="11"/>
    </row>
    <row r="205" spans="1:11" s="9" customFormat="1" ht="21.9" customHeight="1">
      <c r="A205" s="13"/>
      <c r="B205" s="13"/>
      <c r="C205" s="13"/>
      <c r="D205" s="13"/>
      <c r="E205" s="13"/>
      <c r="F205" s="11"/>
      <c r="G205" s="11"/>
      <c r="H205" s="11"/>
      <c r="I205" s="11"/>
      <c r="J205" s="11"/>
      <c r="K205" s="11"/>
    </row>
    <row r="206" spans="1:11" s="9" customFormat="1" ht="21.9" customHeight="1">
      <c r="A206" s="13"/>
      <c r="B206" s="13"/>
      <c r="C206" s="13"/>
      <c r="D206" s="13"/>
      <c r="E206" s="13"/>
      <c r="F206" s="11"/>
      <c r="G206" s="11"/>
      <c r="H206" s="11"/>
      <c r="I206" s="11"/>
      <c r="J206" s="11"/>
      <c r="K206" s="11"/>
    </row>
    <row r="207" spans="1:11" s="9" customFormat="1" ht="21.9" customHeight="1">
      <c r="A207" s="15"/>
      <c r="B207" s="15"/>
      <c r="C207" s="15"/>
      <c r="D207" s="15"/>
      <c r="E207" s="15"/>
      <c r="F207" s="12"/>
      <c r="G207" s="12"/>
      <c r="H207" s="12"/>
      <c r="I207" s="12"/>
      <c r="J207" s="12"/>
      <c r="K207" s="12"/>
    </row>
    <row r="208" spans="1:11" s="9" customFormat="1" ht="21.9" customHeight="1">
      <c r="A208" s="15"/>
      <c r="B208" s="15"/>
      <c r="C208" s="15"/>
      <c r="D208" s="15"/>
      <c r="E208" s="15"/>
      <c r="F208" s="11"/>
      <c r="G208" s="11"/>
      <c r="H208" s="11"/>
      <c r="I208" s="11"/>
      <c r="J208" s="11"/>
      <c r="K208" s="11"/>
    </row>
    <row r="209" spans="1:11" s="9" customFormat="1" ht="21.9" customHeight="1">
      <c r="A209" s="15"/>
      <c r="B209" s="15"/>
      <c r="C209" s="15"/>
      <c r="D209" s="15"/>
      <c r="E209" s="15"/>
      <c r="F209" s="12"/>
      <c r="G209" s="12"/>
      <c r="H209" s="12"/>
      <c r="I209" s="12"/>
      <c r="J209" s="12"/>
      <c r="K209" s="12"/>
    </row>
    <row r="210" spans="1:11" s="9" customFormat="1" ht="21.9" customHeight="1">
      <c r="A210" s="15"/>
      <c r="B210" s="15"/>
      <c r="C210" s="15"/>
      <c r="D210" s="15"/>
      <c r="E210" s="15"/>
      <c r="F210" s="12"/>
      <c r="G210" s="12"/>
      <c r="H210" s="12"/>
      <c r="I210" s="12"/>
      <c r="J210" s="12"/>
      <c r="K210" s="12"/>
    </row>
    <row r="211" spans="1:11" s="9" customFormat="1" ht="21.9" customHeight="1">
      <c r="A211" s="15"/>
      <c r="B211" s="15"/>
      <c r="C211" s="15"/>
      <c r="D211" s="15"/>
      <c r="E211" s="15"/>
      <c r="F211" s="12"/>
      <c r="G211" s="12"/>
      <c r="H211" s="12"/>
      <c r="I211" s="12"/>
      <c r="J211" s="12"/>
      <c r="K211" s="12"/>
    </row>
    <row r="212" spans="1:11" s="9" customFormat="1" ht="21.9" customHeight="1">
      <c r="A212" s="15"/>
      <c r="B212" s="15"/>
      <c r="C212" s="15"/>
      <c r="D212" s="15"/>
      <c r="E212" s="15"/>
      <c r="F212" s="12"/>
      <c r="G212" s="12"/>
      <c r="H212" s="12"/>
      <c r="I212" s="12"/>
      <c r="J212" s="12"/>
      <c r="K212" s="12"/>
    </row>
    <row r="213" spans="1:11" s="9" customFormat="1" ht="21.9" customHeight="1">
      <c r="A213" s="15"/>
      <c r="B213" s="15"/>
      <c r="C213" s="15"/>
      <c r="D213" s="15"/>
      <c r="E213" s="15"/>
      <c r="F213" s="12"/>
      <c r="G213" s="12"/>
      <c r="H213" s="12"/>
      <c r="I213" s="12"/>
      <c r="J213" s="12"/>
      <c r="K213" s="12"/>
    </row>
    <row r="214" spans="1:11" s="9" customFormat="1" ht="21.9" customHeight="1">
      <c r="A214" s="15"/>
      <c r="B214" s="15"/>
      <c r="C214" s="15"/>
      <c r="D214" s="15"/>
      <c r="E214" s="15"/>
      <c r="F214" s="12"/>
      <c r="G214" s="12"/>
      <c r="H214" s="12"/>
      <c r="I214" s="12"/>
      <c r="J214" s="12"/>
      <c r="K214" s="12"/>
    </row>
    <row r="215" spans="1:11" s="9" customFormat="1" ht="21.9" customHeight="1">
      <c r="A215" s="15"/>
      <c r="B215" s="15"/>
      <c r="C215" s="15"/>
      <c r="D215" s="15"/>
      <c r="E215" s="15"/>
      <c r="F215" s="8"/>
      <c r="G215" s="8"/>
      <c r="H215" s="8"/>
      <c r="I215" s="8"/>
      <c r="J215" s="8"/>
      <c r="K215" s="8"/>
    </row>
    <row r="216" spans="1:11" s="9" customFormat="1" ht="21.9" customHeight="1">
      <c r="A216" s="15"/>
      <c r="B216" s="15"/>
      <c r="C216" s="15"/>
      <c r="D216" s="15"/>
      <c r="E216" s="15"/>
      <c r="F216" s="12"/>
      <c r="G216" s="12"/>
      <c r="H216" s="12"/>
      <c r="I216" s="12"/>
      <c r="J216" s="12"/>
      <c r="K216" s="12"/>
    </row>
    <row r="217" spans="1:11" s="9" customFormat="1" ht="21.9" customHeight="1">
      <c r="A217" s="15"/>
      <c r="B217" s="15"/>
      <c r="C217" s="15"/>
      <c r="D217" s="15"/>
      <c r="E217" s="15"/>
      <c r="F217" s="12"/>
      <c r="G217" s="12"/>
      <c r="H217" s="12"/>
      <c r="I217" s="12"/>
      <c r="J217" s="12"/>
      <c r="K217" s="12"/>
    </row>
    <row r="218" spans="1:11" s="9" customFormat="1" ht="21.9" customHeight="1">
      <c r="A218" s="15"/>
      <c r="B218" s="15"/>
      <c r="C218" s="15"/>
      <c r="D218" s="15"/>
      <c r="E218" s="15"/>
      <c r="F218" s="12"/>
      <c r="G218" s="12"/>
      <c r="H218" s="12"/>
      <c r="I218" s="12"/>
      <c r="J218" s="12"/>
      <c r="K218" s="12"/>
    </row>
    <row r="219" spans="1:11" s="9" customFormat="1" ht="21.9" customHeight="1">
      <c r="A219" s="15"/>
      <c r="B219" s="15"/>
      <c r="C219" s="15"/>
      <c r="D219" s="15"/>
      <c r="E219" s="15"/>
      <c r="F219" s="8"/>
      <c r="G219" s="8"/>
      <c r="H219" s="8"/>
      <c r="I219" s="8"/>
      <c r="J219" s="8"/>
      <c r="K219" s="8"/>
    </row>
    <row r="220" spans="1:11" s="9" customFormat="1" ht="21.9" customHeight="1">
      <c r="A220" s="15"/>
      <c r="B220" s="15"/>
      <c r="C220" s="15"/>
      <c r="D220" s="15"/>
      <c r="E220" s="15"/>
      <c r="F220" s="8"/>
      <c r="G220" s="8"/>
      <c r="H220" s="8"/>
      <c r="I220" s="8"/>
      <c r="J220" s="8"/>
      <c r="K220" s="8"/>
    </row>
    <row r="221" spans="1:11" s="9" customFormat="1" ht="21.9" customHeight="1">
      <c r="A221" s="15"/>
      <c r="B221" s="15"/>
      <c r="C221" s="15"/>
      <c r="D221" s="15"/>
      <c r="E221" s="15"/>
      <c r="F221" s="8"/>
      <c r="G221" s="8"/>
      <c r="H221" s="8"/>
      <c r="I221" s="8"/>
      <c r="J221" s="8"/>
      <c r="K221" s="8"/>
    </row>
    <row r="222" spans="1:11" s="9" customFormat="1" ht="21.9" customHeight="1">
      <c r="A222" s="15"/>
      <c r="B222" s="15"/>
      <c r="C222" s="15"/>
      <c r="D222" s="15"/>
      <c r="E222" s="15"/>
      <c r="F222" s="8"/>
      <c r="G222" s="8"/>
      <c r="H222" s="8"/>
      <c r="I222" s="8"/>
      <c r="J222" s="8"/>
      <c r="K222" s="8"/>
    </row>
    <row r="223" spans="1:11" s="9" customFormat="1" ht="21.9" customHeight="1">
      <c r="A223" s="15"/>
      <c r="B223" s="15"/>
      <c r="C223" s="15"/>
      <c r="D223" s="15"/>
      <c r="E223" s="15"/>
      <c r="F223" s="8"/>
      <c r="G223" s="8"/>
      <c r="H223" s="8"/>
      <c r="I223" s="8"/>
      <c r="J223" s="8"/>
      <c r="K223" s="8"/>
    </row>
    <row r="224" spans="1:11" s="9" customFormat="1" ht="21.9" customHeight="1">
      <c r="A224" s="15"/>
      <c r="B224" s="15"/>
      <c r="C224" s="15"/>
      <c r="D224" s="15"/>
      <c r="E224" s="15"/>
      <c r="F224" s="8"/>
      <c r="G224" s="8"/>
      <c r="H224" s="8"/>
      <c r="I224" s="8"/>
      <c r="J224" s="8"/>
      <c r="K224" s="8"/>
    </row>
    <row r="225" spans="1:11" s="9" customFormat="1" ht="21.9" customHeight="1">
      <c r="A225" s="15"/>
      <c r="B225" s="15"/>
      <c r="C225" s="15"/>
      <c r="D225" s="15"/>
      <c r="E225" s="15"/>
      <c r="F225" s="11"/>
      <c r="G225" s="11"/>
      <c r="H225" s="11"/>
      <c r="I225" s="11"/>
      <c r="J225" s="11"/>
      <c r="K225" s="11"/>
    </row>
    <row r="226" spans="1:11" s="9" customFormat="1" ht="21.9" customHeight="1">
      <c r="A226" s="15"/>
      <c r="B226" s="15"/>
      <c r="C226" s="15"/>
      <c r="D226" s="15"/>
      <c r="E226" s="15"/>
      <c r="F226" s="11"/>
      <c r="G226" s="11"/>
      <c r="H226" s="11"/>
      <c r="I226" s="11"/>
      <c r="J226" s="11"/>
      <c r="K226" s="11"/>
    </row>
    <row r="227" spans="1:11" s="9" customFormat="1" ht="21.9" customHeight="1">
      <c r="A227" s="15"/>
      <c r="B227" s="15"/>
      <c r="C227" s="15"/>
      <c r="D227" s="15"/>
      <c r="E227" s="15"/>
      <c r="F227" s="11"/>
      <c r="G227" s="11"/>
      <c r="H227" s="11"/>
      <c r="I227" s="11"/>
      <c r="J227" s="11"/>
      <c r="K227" s="11"/>
    </row>
    <row r="228" spans="1:11" s="9" customFormat="1" ht="21.9" customHeight="1">
      <c r="A228" s="15"/>
      <c r="B228" s="15"/>
      <c r="C228" s="15"/>
      <c r="D228" s="15"/>
      <c r="E228" s="15"/>
      <c r="F228" s="11"/>
      <c r="G228" s="11"/>
      <c r="H228" s="11"/>
      <c r="I228" s="11"/>
      <c r="J228" s="11"/>
      <c r="K228" s="11"/>
    </row>
    <row r="229" spans="1:11" s="9" customFormat="1" ht="21.9" customHeight="1">
      <c r="A229" s="15"/>
      <c r="B229" s="15"/>
      <c r="C229" s="15"/>
      <c r="D229" s="15"/>
      <c r="E229" s="15"/>
      <c r="F229" s="11"/>
      <c r="G229" s="11"/>
      <c r="H229" s="11"/>
      <c r="I229" s="11"/>
      <c r="J229" s="11"/>
      <c r="K229" s="11"/>
    </row>
    <row r="230" spans="1:11" s="9" customFormat="1" ht="21.9" customHeight="1">
      <c r="A230" s="15"/>
      <c r="B230" s="15"/>
      <c r="C230" s="15"/>
      <c r="D230" s="15"/>
      <c r="E230" s="15"/>
      <c r="F230" s="11"/>
      <c r="G230" s="11"/>
      <c r="H230" s="11"/>
      <c r="I230" s="11"/>
      <c r="J230" s="11"/>
      <c r="K230" s="11"/>
    </row>
    <row r="231" spans="1:11" s="9" customFormat="1" ht="21.9" customHeight="1">
      <c r="A231" s="15"/>
      <c r="B231" s="15"/>
      <c r="C231" s="15"/>
      <c r="D231" s="15"/>
      <c r="E231" s="15"/>
      <c r="F231" s="8"/>
      <c r="G231" s="8"/>
      <c r="H231" s="8"/>
      <c r="I231" s="8"/>
      <c r="J231" s="8"/>
      <c r="K231" s="8"/>
    </row>
    <row r="232" spans="1:11" s="9" customFormat="1" ht="21.9" customHeight="1">
      <c r="A232" s="15"/>
      <c r="B232" s="15"/>
      <c r="C232" s="15"/>
      <c r="D232" s="15"/>
      <c r="E232" s="15"/>
      <c r="F232" s="8"/>
      <c r="G232" s="8"/>
      <c r="H232" s="8"/>
      <c r="I232" s="8"/>
      <c r="J232" s="8"/>
      <c r="K232" s="8"/>
    </row>
    <row r="233" spans="1:11" s="9" customFormat="1" ht="21.9" customHeight="1">
      <c r="A233" s="15"/>
      <c r="B233" s="15"/>
      <c r="C233" s="15"/>
      <c r="D233" s="15"/>
      <c r="E233" s="15"/>
      <c r="F233" s="8"/>
      <c r="G233" s="8"/>
      <c r="H233" s="8"/>
      <c r="I233" s="8"/>
      <c r="J233" s="8"/>
      <c r="K233" s="8"/>
    </row>
    <row r="234" spans="1:11" s="9" customFormat="1" ht="21.9" customHeight="1">
      <c r="A234" s="15"/>
      <c r="B234" s="15"/>
      <c r="C234" s="15"/>
      <c r="D234" s="15"/>
      <c r="E234" s="15"/>
      <c r="F234" s="8"/>
      <c r="G234" s="8"/>
      <c r="H234" s="8"/>
      <c r="I234" s="8"/>
      <c r="J234" s="8"/>
      <c r="K234" s="8"/>
    </row>
    <row r="235" spans="1:11" s="9" customFormat="1" ht="21.9" customHeight="1">
      <c r="A235" s="15"/>
      <c r="B235" s="15"/>
      <c r="C235" s="15"/>
      <c r="D235" s="15"/>
      <c r="E235" s="15"/>
      <c r="F235" s="8"/>
      <c r="G235" s="8"/>
      <c r="H235" s="8"/>
      <c r="I235" s="8"/>
      <c r="J235" s="8"/>
      <c r="K235" s="8"/>
    </row>
    <row r="236" spans="1:11" s="9" customFormat="1" ht="21.9" customHeight="1">
      <c r="A236" s="15"/>
      <c r="B236" s="15"/>
      <c r="C236" s="15"/>
      <c r="D236" s="15"/>
      <c r="E236" s="15"/>
      <c r="F236" s="8"/>
      <c r="G236" s="8"/>
      <c r="H236" s="8"/>
      <c r="I236" s="8"/>
      <c r="J236" s="8"/>
      <c r="K236" s="8"/>
    </row>
    <row r="237" spans="1:11" s="9" customFormat="1" ht="21.9" customHeight="1">
      <c r="A237" s="15"/>
      <c r="B237" s="15"/>
      <c r="C237" s="15"/>
      <c r="D237" s="15"/>
      <c r="E237" s="15"/>
      <c r="F237" s="8"/>
      <c r="G237" s="8"/>
      <c r="H237" s="8"/>
      <c r="I237" s="8"/>
      <c r="J237" s="8"/>
      <c r="K237" s="8"/>
    </row>
    <row r="238" spans="1:11" s="9" customFormat="1" ht="21.9" customHeight="1">
      <c r="A238" s="6"/>
      <c r="B238" s="6"/>
      <c r="C238" s="6"/>
      <c r="D238" s="6"/>
      <c r="E238" s="6"/>
      <c r="F238" s="12"/>
      <c r="G238" s="12"/>
      <c r="H238" s="12"/>
      <c r="I238" s="12"/>
      <c r="J238" s="12"/>
      <c r="K238" s="12"/>
    </row>
    <row r="239" spans="1:11" s="9" customFormat="1" ht="21.9" customHeight="1">
      <c r="A239" s="6"/>
      <c r="B239" s="6"/>
      <c r="C239" s="6"/>
      <c r="D239" s="6"/>
      <c r="E239" s="6"/>
      <c r="F239" s="12"/>
      <c r="G239" s="12"/>
      <c r="H239" s="12"/>
      <c r="I239" s="12"/>
      <c r="J239" s="12"/>
      <c r="K239" s="12"/>
    </row>
    <row r="240" spans="1:11" s="9" customFormat="1" ht="21.9" customHeight="1">
      <c r="A240" s="6"/>
      <c r="B240" s="6"/>
      <c r="C240" s="6"/>
      <c r="D240" s="6"/>
      <c r="E240" s="6"/>
      <c r="F240" s="11"/>
      <c r="G240" s="11"/>
      <c r="H240" s="11"/>
      <c r="I240" s="11"/>
      <c r="J240" s="11"/>
      <c r="K240" s="11"/>
    </row>
    <row r="241" spans="1:11" s="9" customFormat="1" ht="21.9" customHeight="1">
      <c r="A241" s="6"/>
      <c r="B241" s="6"/>
      <c r="C241" s="6"/>
      <c r="D241" s="6"/>
      <c r="E241" s="6"/>
      <c r="F241" s="12"/>
      <c r="G241" s="12"/>
      <c r="H241" s="12"/>
      <c r="I241" s="12"/>
      <c r="J241" s="12"/>
      <c r="K241" s="12"/>
    </row>
    <row r="242" spans="1:11" s="9" customFormat="1" ht="21.9" customHeight="1">
      <c r="A242" s="6"/>
      <c r="B242" s="6"/>
      <c r="C242" s="6"/>
      <c r="D242" s="6"/>
      <c r="E242" s="6"/>
      <c r="F242" s="8"/>
      <c r="G242" s="8"/>
      <c r="H242" s="8"/>
      <c r="I242" s="8"/>
      <c r="J242" s="8"/>
      <c r="K242" s="8"/>
    </row>
    <row r="243" spans="1:11" s="9" customFormat="1" ht="21.9" customHeight="1">
      <c r="A243" s="6"/>
      <c r="B243" s="6"/>
      <c r="C243" s="6"/>
      <c r="D243" s="6"/>
      <c r="E243" s="6"/>
      <c r="F243" s="8"/>
      <c r="G243" s="8"/>
      <c r="H243" s="8"/>
      <c r="I243" s="8"/>
      <c r="J243" s="8"/>
      <c r="K243" s="8"/>
    </row>
    <row r="244" spans="1:11" s="9" customFormat="1" ht="21.9" customHeight="1">
      <c r="A244" s="6"/>
      <c r="B244" s="6"/>
      <c r="C244" s="6"/>
      <c r="D244" s="6"/>
      <c r="E244" s="6"/>
      <c r="F244" s="11"/>
      <c r="G244" s="11"/>
      <c r="H244" s="11"/>
      <c r="I244" s="11"/>
      <c r="J244" s="11"/>
      <c r="K244" s="11"/>
    </row>
    <row r="245" spans="1:11" s="9" customFormat="1" ht="21.9" customHeight="1">
      <c r="A245" s="6"/>
      <c r="B245" s="6"/>
      <c r="C245" s="6"/>
      <c r="D245" s="6"/>
      <c r="E245" s="6"/>
      <c r="F245" s="12"/>
      <c r="G245" s="12"/>
      <c r="H245" s="12"/>
      <c r="I245" s="12"/>
      <c r="J245" s="12"/>
      <c r="K245" s="12"/>
    </row>
    <row r="246" spans="1:11" s="9" customFormat="1" ht="21.9" customHeight="1">
      <c r="A246" s="6"/>
      <c r="B246" s="6"/>
      <c r="C246" s="6"/>
      <c r="D246" s="6"/>
      <c r="E246" s="6"/>
      <c r="F246" s="11"/>
      <c r="G246" s="11"/>
      <c r="H246" s="11"/>
      <c r="I246" s="11"/>
      <c r="J246" s="11"/>
      <c r="K246" s="11"/>
    </row>
    <row r="247" spans="1:11" s="9" customFormat="1" ht="21.9" customHeight="1">
      <c r="A247" s="6"/>
      <c r="B247" s="6"/>
      <c r="C247" s="6"/>
      <c r="D247" s="6"/>
      <c r="E247" s="6"/>
      <c r="F247" s="11"/>
      <c r="G247" s="11"/>
      <c r="H247" s="11"/>
      <c r="I247" s="11"/>
      <c r="J247" s="11"/>
      <c r="K247" s="11"/>
    </row>
    <row r="248" spans="1:11" s="9" customFormat="1" ht="21.9" customHeight="1">
      <c r="A248" s="6"/>
      <c r="B248" s="6"/>
      <c r="C248" s="6"/>
      <c r="D248" s="6"/>
      <c r="E248" s="6"/>
      <c r="F248" s="11"/>
      <c r="G248" s="11"/>
      <c r="H248" s="11"/>
      <c r="I248" s="11"/>
      <c r="J248" s="11"/>
      <c r="K248" s="11"/>
    </row>
    <row r="249" spans="1:11" s="9" customFormat="1" ht="21.9" customHeight="1">
      <c r="A249" s="6"/>
      <c r="B249" s="6"/>
      <c r="C249" s="6"/>
      <c r="D249" s="6"/>
      <c r="E249" s="6"/>
      <c r="F249" s="11"/>
      <c r="G249" s="11"/>
      <c r="H249" s="11"/>
      <c r="I249" s="11"/>
      <c r="J249" s="11"/>
      <c r="K249" s="11"/>
    </row>
    <row r="250" spans="1:11" s="9" customFormat="1" ht="21.9" customHeight="1">
      <c r="A250" s="6"/>
      <c r="B250" s="6"/>
      <c r="C250" s="6"/>
      <c r="D250" s="6"/>
      <c r="E250" s="6"/>
      <c r="F250" s="11"/>
      <c r="G250" s="11"/>
      <c r="H250" s="11"/>
      <c r="I250" s="11"/>
      <c r="J250" s="11"/>
      <c r="K250" s="11"/>
    </row>
    <row r="251" spans="1:11" s="9" customFormat="1" ht="21.9" customHeight="1">
      <c r="A251" s="6"/>
      <c r="B251" s="6"/>
      <c r="C251" s="6"/>
      <c r="D251" s="6"/>
      <c r="E251" s="6"/>
      <c r="F251" s="11"/>
      <c r="G251" s="11"/>
      <c r="H251" s="11"/>
      <c r="I251" s="11"/>
      <c r="J251" s="11"/>
      <c r="K251" s="11"/>
    </row>
    <row r="252" spans="1:11" s="9" customFormat="1" ht="21.9" customHeight="1">
      <c r="A252" s="6"/>
      <c r="B252" s="6"/>
      <c r="C252" s="6"/>
      <c r="D252" s="6"/>
      <c r="E252" s="6"/>
      <c r="F252" s="11"/>
      <c r="G252" s="11"/>
      <c r="H252" s="11"/>
      <c r="I252" s="11"/>
      <c r="J252" s="11"/>
      <c r="K252" s="11"/>
    </row>
    <row r="253" spans="1:11" s="9" customFormat="1" ht="21.9" customHeight="1">
      <c r="A253" s="6"/>
      <c r="B253" s="6"/>
      <c r="C253" s="6"/>
      <c r="D253" s="6"/>
      <c r="E253" s="6"/>
      <c r="F253" s="11"/>
      <c r="G253" s="11"/>
      <c r="H253" s="11"/>
      <c r="I253" s="11"/>
      <c r="J253" s="11"/>
      <c r="K253" s="11"/>
    </row>
    <row r="254" spans="1:11" s="9" customFormat="1" ht="21.9" customHeight="1">
      <c r="A254" s="6"/>
      <c r="B254" s="6"/>
      <c r="C254" s="6"/>
      <c r="D254" s="6"/>
      <c r="E254" s="6"/>
      <c r="F254" s="8"/>
      <c r="G254" s="8"/>
      <c r="H254" s="8"/>
      <c r="I254" s="8"/>
      <c r="J254" s="8"/>
      <c r="K254" s="8"/>
    </row>
    <row r="255" spans="1:11" s="9" customFormat="1" ht="21.9" customHeight="1">
      <c r="A255" s="6"/>
      <c r="B255" s="6"/>
      <c r="C255" s="6"/>
      <c r="D255" s="6"/>
      <c r="E255" s="6"/>
      <c r="F255" s="8"/>
      <c r="G255" s="8"/>
      <c r="H255" s="8"/>
      <c r="I255" s="8"/>
      <c r="J255" s="8"/>
      <c r="K255" s="8"/>
    </row>
    <row r="256" spans="1:11" s="9" customFormat="1" ht="21.9" customHeight="1">
      <c r="A256" s="6"/>
      <c r="B256" s="6"/>
      <c r="C256" s="6"/>
      <c r="D256" s="6"/>
      <c r="E256" s="6"/>
      <c r="F256" s="8"/>
      <c r="G256" s="8"/>
      <c r="H256" s="8"/>
      <c r="I256" s="8"/>
      <c r="J256" s="8"/>
      <c r="K256" s="8"/>
    </row>
    <row r="257" spans="1:11" s="9" customFormat="1" ht="21.9" customHeight="1">
      <c r="A257" s="6"/>
      <c r="B257" s="6"/>
      <c r="C257" s="6"/>
      <c r="D257" s="6"/>
      <c r="E257" s="6"/>
      <c r="F257" s="8"/>
      <c r="G257" s="8"/>
      <c r="H257" s="8"/>
      <c r="I257" s="8"/>
      <c r="J257" s="8"/>
      <c r="K257" s="8"/>
    </row>
    <row r="258" spans="1:11" s="9" customFormat="1" ht="21.9" customHeight="1">
      <c r="A258" s="6"/>
      <c r="B258" s="6"/>
      <c r="C258" s="6"/>
      <c r="D258" s="6"/>
      <c r="E258" s="6"/>
      <c r="F258" s="8"/>
      <c r="G258" s="8"/>
      <c r="H258" s="8"/>
      <c r="I258" s="8"/>
      <c r="J258" s="8"/>
      <c r="K258" s="8"/>
    </row>
    <row r="259" spans="1:11" s="9" customFormat="1" ht="21.9" customHeight="1">
      <c r="A259" s="6"/>
      <c r="B259" s="6"/>
      <c r="C259" s="6"/>
      <c r="D259" s="6"/>
      <c r="E259" s="6"/>
      <c r="F259" s="8"/>
      <c r="G259" s="8"/>
      <c r="H259" s="8"/>
      <c r="I259" s="8"/>
      <c r="J259" s="8"/>
      <c r="K259" s="8"/>
    </row>
    <row r="260" spans="1:11" s="9" customFormat="1" ht="13.2">
      <c r="A260" s="6"/>
      <c r="B260" s="6"/>
      <c r="C260" s="6"/>
      <c r="D260" s="6"/>
      <c r="E260" s="6"/>
      <c r="F260" s="12"/>
      <c r="G260" s="12"/>
      <c r="H260" s="12"/>
      <c r="I260" s="12"/>
      <c r="J260" s="12"/>
      <c r="K260" s="12"/>
    </row>
    <row r="261" spans="1:11" s="9" customFormat="1" ht="13.2">
      <c r="A261" s="6"/>
      <c r="B261" s="6"/>
      <c r="C261" s="6"/>
      <c r="D261" s="6"/>
      <c r="E261" s="6"/>
      <c r="F261" s="10"/>
      <c r="G261" s="10"/>
      <c r="H261" s="10"/>
      <c r="I261" s="10"/>
      <c r="J261" s="10"/>
      <c r="K261" s="10"/>
    </row>
    <row r="262" spans="1:11" s="9" customFormat="1" ht="13.2">
      <c r="A262" s="6"/>
      <c r="B262" s="6"/>
      <c r="C262" s="6"/>
      <c r="D262" s="6"/>
      <c r="E262" s="6"/>
      <c r="F262" s="12"/>
      <c r="G262" s="12"/>
      <c r="H262" s="12"/>
      <c r="I262" s="12"/>
      <c r="J262" s="12"/>
      <c r="K262" s="12"/>
    </row>
    <row r="263" spans="1:11" s="9" customFormat="1" ht="13.2">
      <c r="A263" s="6"/>
      <c r="B263" s="6"/>
      <c r="C263" s="6"/>
      <c r="D263" s="6"/>
      <c r="E263" s="6"/>
      <c r="F263" s="12"/>
      <c r="G263" s="12"/>
      <c r="H263" s="12"/>
      <c r="I263" s="12"/>
      <c r="J263" s="12"/>
      <c r="K263" s="12"/>
    </row>
    <row r="264" spans="1:11" s="9" customFormat="1" ht="13.2">
      <c r="A264" s="6"/>
      <c r="B264" s="6"/>
      <c r="C264" s="6"/>
      <c r="D264" s="6"/>
      <c r="E264" s="6"/>
      <c r="F264" s="8"/>
      <c r="G264" s="8"/>
      <c r="H264" s="8"/>
      <c r="I264" s="8"/>
      <c r="J264" s="8"/>
      <c r="K264" s="8"/>
    </row>
    <row r="265" spans="1:11" s="9" customFormat="1" ht="13.2">
      <c r="A265" s="6"/>
      <c r="B265" s="6"/>
      <c r="C265" s="6"/>
      <c r="D265" s="6"/>
      <c r="E265" s="6"/>
      <c r="F265" s="8"/>
      <c r="G265" s="8"/>
      <c r="H265" s="8"/>
      <c r="I265" s="8"/>
      <c r="J265" s="8"/>
      <c r="K265" s="8"/>
    </row>
    <row r="266" spans="1:11" s="9" customFormat="1" ht="13.2">
      <c r="A266" s="6"/>
      <c r="B266" s="6"/>
      <c r="C266" s="6"/>
      <c r="D266" s="6"/>
      <c r="E266" s="6"/>
      <c r="F266" s="8"/>
      <c r="G266" s="8"/>
      <c r="H266" s="8"/>
      <c r="I266" s="8"/>
      <c r="J266" s="8"/>
      <c r="K266" s="8"/>
    </row>
    <row r="267" spans="1:11" s="9" customFormat="1" ht="13.2">
      <c r="A267" s="6"/>
      <c r="B267" s="6"/>
      <c r="C267" s="6"/>
      <c r="D267" s="6"/>
      <c r="E267" s="6"/>
      <c r="F267" s="8"/>
      <c r="G267" s="8"/>
      <c r="H267" s="8"/>
      <c r="I267" s="8"/>
      <c r="J267" s="8"/>
      <c r="K267" s="8"/>
    </row>
    <row r="268" spans="1:11" s="9" customFormat="1" ht="13.2">
      <c r="A268" s="6"/>
      <c r="B268" s="6"/>
      <c r="C268" s="6"/>
      <c r="D268" s="6"/>
      <c r="E268" s="6"/>
      <c r="F268" s="11"/>
      <c r="G268" s="11"/>
      <c r="H268" s="11"/>
      <c r="I268" s="11"/>
      <c r="J268" s="11"/>
      <c r="K268" s="11"/>
    </row>
    <row r="269" spans="1:11" s="9" customFormat="1" ht="13.2">
      <c r="A269" s="6"/>
      <c r="B269" s="6"/>
      <c r="C269" s="6"/>
      <c r="D269" s="6"/>
      <c r="E269" s="6"/>
      <c r="F269" s="12"/>
      <c r="G269" s="12"/>
      <c r="H269" s="12"/>
      <c r="I269" s="12"/>
      <c r="J269" s="12"/>
      <c r="K269" s="12"/>
    </row>
    <row r="270" spans="1:11" s="9" customFormat="1" ht="13.2">
      <c r="A270" s="6"/>
      <c r="B270" s="6"/>
      <c r="C270" s="6"/>
      <c r="D270" s="6"/>
      <c r="E270" s="6"/>
      <c r="F270" s="10"/>
      <c r="G270" s="10"/>
      <c r="H270" s="10"/>
      <c r="I270" s="10"/>
      <c r="J270" s="10"/>
      <c r="K270" s="10"/>
    </row>
    <row r="271" spans="1:11" s="9" customFormat="1" ht="13.2">
      <c r="A271" s="6"/>
      <c r="B271" s="6"/>
      <c r="C271" s="6"/>
      <c r="D271" s="6"/>
      <c r="E271" s="6"/>
      <c r="F271" s="11"/>
      <c r="G271" s="11"/>
      <c r="H271" s="11"/>
      <c r="I271" s="11"/>
      <c r="J271" s="11"/>
      <c r="K271" s="11"/>
    </row>
    <row r="272" spans="1:11" s="9" customFormat="1" ht="13.2">
      <c r="A272" s="6"/>
      <c r="B272" s="6"/>
      <c r="C272" s="6"/>
      <c r="D272" s="6"/>
      <c r="E272" s="6"/>
      <c r="F272" s="8"/>
      <c r="G272" s="8"/>
      <c r="H272" s="8"/>
      <c r="I272" s="8"/>
      <c r="J272" s="8"/>
      <c r="K272" s="8"/>
    </row>
    <row r="273" spans="1:11" s="9" customFormat="1" ht="13.2">
      <c r="A273" s="6"/>
      <c r="B273" s="6"/>
      <c r="C273" s="6"/>
      <c r="D273" s="6"/>
      <c r="E273" s="6"/>
      <c r="F273" s="7"/>
      <c r="G273" s="7"/>
      <c r="H273" s="7"/>
      <c r="I273" s="7"/>
      <c r="J273" s="7"/>
      <c r="K273" s="7"/>
    </row>
    <row r="274" spans="1:11" s="9" customFormat="1" ht="13.2">
      <c r="A274" s="6"/>
      <c r="B274" s="6"/>
      <c r="C274" s="6"/>
      <c r="D274" s="6"/>
      <c r="E274" s="6"/>
      <c r="F274" s="7"/>
      <c r="G274" s="7"/>
      <c r="H274" s="7"/>
      <c r="I274" s="7"/>
      <c r="J274" s="7"/>
      <c r="K274" s="7"/>
    </row>
    <row r="275" spans="1:11" s="9" customFormat="1" ht="13.2">
      <c r="A275" s="6"/>
      <c r="B275" s="6"/>
      <c r="C275" s="6"/>
      <c r="D275" s="6"/>
      <c r="E275" s="6"/>
      <c r="F275" s="7"/>
      <c r="G275" s="7"/>
      <c r="H275" s="7"/>
      <c r="I275" s="7"/>
      <c r="J275" s="7"/>
      <c r="K275" s="7"/>
    </row>
    <row r="276" spans="1:11" s="9" customFormat="1" ht="13.2">
      <c r="A276" s="6"/>
      <c r="B276" s="6"/>
      <c r="C276" s="6"/>
      <c r="D276" s="6"/>
      <c r="E276" s="6"/>
      <c r="F276" s="7"/>
      <c r="G276" s="7"/>
      <c r="H276" s="7"/>
      <c r="I276" s="7"/>
      <c r="J276" s="7"/>
      <c r="K276" s="7"/>
    </row>
    <row r="277" spans="1:11" s="9" customFormat="1" ht="13.2">
      <c r="A277" s="6"/>
      <c r="B277" s="6"/>
      <c r="C277" s="6"/>
      <c r="D277" s="6"/>
      <c r="E277" s="6"/>
      <c r="F277" s="8"/>
      <c r="G277" s="8"/>
      <c r="H277" s="8"/>
      <c r="I277" s="8"/>
      <c r="J277" s="8"/>
      <c r="K277" s="8"/>
    </row>
    <row r="278" spans="1:11" s="9" customFormat="1" ht="13.2">
      <c r="A278" s="6"/>
      <c r="B278" s="6"/>
      <c r="C278" s="6"/>
      <c r="D278" s="6"/>
      <c r="E278" s="6"/>
      <c r="F278" s="8"/>
      <c r="G278" s="8"/>
      <c r="H278" s="8"/>
      <c r="I278" s="8"/>
      <c r="J278" s="8"/>
      <c r="K278" s="8"/>
    </row>
    <row r="279" spans="1:11" s="9" customFormat="1" ht="13.2">
      <c r="A279" s="6"/>
      <c r="B279" s="6"/>
      <c r="C279" s="6"/>
      <c r="D279" s="6"/>
      <c r="E279" s="6"/>
      <c r="F279" s="8"/>
      <c r="G279" s="8"/>
      <c r="H279" s="8"/>
      <c r="I279" s="8"/>
      <c r="J279" s="8"/>
      <c r="K279" s="8"/>
    </row>
    <row r="280" spans="1:11" s="9" customFormat="1" ht="13.2">
      <c r="A280" s="6"/>
      <c r="B280" s="6"/>
      <c r="C280" s="6"/>
      <c r="D280" s="6"/>
      <c r="E280" s="6"/>
      <c r="F280" s="8"/>
      <c r="G280" s="8"/>
      <c r="H280" s="8"/>
      <c r="I280" s="8"/>
      <c r="J280" s="8"/>
      <c r="K280" s="8"/>
    </row>
    <row r="281" spans="1:11" s="9" customFormat="1" ht="13.2">
      <c r="A281" s="6"/>
      <c r="B281" s="6"/>
      <c r="C281" s="6"/>
      <c r="D281" s="6"/>
      <c r="E281" s="6"/>
      <c r="F281" s="8"/>
      <c r="G281" s="8"/>
      <c r="H281" s="8"/>
      <c r="I281" s="8"/>
      <c r="J281" s="8"/>
      <c r="K281" s="8"/>
    </row>
    <row r="282" spans="1:11" s="9" customFormat="1" ht="13.2">
      <c r="A282" s="6"/>
      <c r="B282" s="6"/>
      <c r="C282" s="6"/>
      <c r="D282" s="6"/>
      <c r="E282" s="6"/>
      <c r="F282" s="8"/>
      <c r="G282" s="8"/>
      <c r="H282" s="8"/>
      <c r="I282" s="8"/>
      <c r="J282" s="8"/>
      <c r="K282" s="8"/>
    </row>
    <row r="283" spans="1:11" s="9" customFormat="1" ht="13.2">
      <c r="A283" s="6"/>
      <c r="B283" s="6"/>
      <c r="C283" s="6"/>
      <c r="D283" s="6"/>
      <c r="E283" s="6"/>
      <c r="F283" s="8"/>
      <c r="G283" s="8"/>
      <c r="H283" s="8"/>
      <c r="I283" s="8"/>
      <c r="J283" s="8"/>
      <c r="K283" s="8"/>
    </row>
    <row r="284" spans="1:11" s="9" customFormat="1" ht="13.2">
      <c r="A284" s="6"/>
      <c r="B284" s="6"/>
      <c r="C284" s="6"/>
      <c r="D284" s="6"/>
      <c r="E284" s="6"/>
      <c r="F284" s="8"/>
      <c r="G284" s="8"/>
      <c r="H284" s="8"/>
      <c r="I284" s="8"/>
      <c r="J284" s="8"/>
      <c r="K284" s="8"/>
    </row>
    <row r="285" spans="1:11" s="9" customFormat="1" ht="13.2">
      <c r="A285" s="6"/>
      <c r="B285" s="6"/>
      <c r="C285" s="6"/>
      <c r="D285" s="6"/>
      <c r="E285" s="6"/>
      <c r="F285" s="12"/>
      <c r="G285" s="12"/>
      <c r="H285" s="12"/>
      <c r="I285" s="12"/>
      <c r="J285" s="12"/>
      <c r="K285" s="12"/>
    </row>
    <row r="286" spans="1:11" s="9" customFormat="1" ht="13.2">
      <c r="A286" s="6"/>
      <c r="B286" s="6"/>
      <c r="C286" s="6"/>
      <c r="D286" s="6"/>
      <c r="E286" s="6"/>
      <c r="F286" s="11"/>
      <c r="G286" s="11"/>
      <c r="H286" s="11"/>
      <c r="I286" s="11"/>
      <c r="J286" s="11"/>
      <c r="K286" s="11"/>
    </row>
    <row r="287" spans="1:11" s="9" customFormat="1" ht="13.2">
      <c r="A287" s="6"/>
      <c r="B287" s="6"/>
      <c r="C287" s="6"/>
      <c r="D287" s="6"/>
      <c r="E287" s="6"/>
      <c r="F287" s="12"/>
      <c r="G287" s="12"/>
      <c r="H287" s="12"/>
      <c r="I287" s="12"/>
      <c r="J287" s="12"/>
      <c r="K287" s="12"/>
    </row>
    <row r="288" spans="1:11" s="9" customFormat="1" ht="13.2">
      <c r="A288" s="6"/>
      <c r="B288" s="6"/>
      <c r="C288" s="6"/>
      <c r="D288" s="6"/>
      <c r="E288" s="6"/>
      <c r="F288" s="8"/>
      <c r="G288" s="8"/>
      <c r="H288" s="8"/>
      <c r="I288" s="8"/>
      <c r="J288" s="8"/>
      <c r="K288" s="8"/>
    </row>
    <row r="289" spans="1:11" s="9" customFormat="1" ht="13.2">
      <c r="A289" s="6"/>
      <c r="B289" s="6"/>
      <c r="C289" s="6"/>
      <c r="D289" s="6"/>
      <c r="E289" s="6"/>
      <c r="F289" s="12"/>
      <c r="G289" s="12"/>
      <c r="H289" s="12"/>
      <c r="I289" s="12"/>
      <c r="J289" s="12"/>
      <c r="K289" s="12"/>
    </row>
    <row r="290" spans="1:11" s="9" customFormat="1" ht="13.2">
      <c r="A290" s="6"/>
      <c r="B290" s="6"/>
      <c r="C290" s="6"/>
      <c r="D290" s="6"/>
      <c r="E290" s="6"/>
      <c r="F290" s="8"/>
      <c r="G290" s="8"/>
      <c r="H290" s="8"/>
      <c r="I290" s="8"/>
      <c r="J290" s="8"/>
      <c r="K290" s="8"/>
    </row>
    <row r="291" spans="1:11" s="9" customFormat="1" ht="13.2">
      <c r="A291" s="6"/>
      <c r="B291" s="6"/>
      <c r="C291" s="6"/>
      <c r="D291" s="6"/>
      <c r="E291" s="6"/>
      <c r="F291" s="8"/>
      <c r="G291" s="8"/>
      <c r="H291" s="8"/>
      <c r="I291" s="8"/>
      <c r="J291" s="8"/>
      <c r="K291" s="8"/>
    </row>
    <row r="292" spans="1:11" s="9" customFormat="1" ht="13.2">
      <c r="A292" s="6"/>
      <c r="B292" s="6"/>
      <c r="C292" s="6"/>
      <c r="D292" s="6"/>
      <c r="E292" s="6"/>
      <c r="F292" s="12"/>
      <c r="G292" s="12"/>
      <c r="H292" s="12"/>
      <c r="I292" s="12"/>
      <c r="J292" s="12"/>
      <c r="K292" s="12"/>
    </row>
    <row r="293" spans="1:11" s="9" customFormat="1" ht="13.2">
      <c r="A293" s="6"/>
      <c r="B293" s="6"/>
      <c r="C293" s="6"/>
      <c r="D293" s="6"/>
      <c r="E293" s="6"/>
      <c r="F293" s="8"/>
      <c r="G293" s="8"/>
      <c r="H293" s="8"/>
      <c r="I293" s="8"/>
      <c r="J293" s="8"/>
      <c r="K293" s="8"/>
    </row>
    <row r="294" spans="1:11" s="9" customFormat="1" ht="13.2">
      <c r="A294" s="6"/>
      <c r="B294" s="6"/>
      <c r="C294" s="6"/>
      <c r="D294" s="6"/>
      <c r="E294" s="6"/>
      <c r="F294" s="8"/>
      <c r="G294" s="8"/>
      <c r="H294" s="8"/>
      <c r="I294" s="8"/>
      <c r="J294" s="8"/>
      <c r="K294" s="8"/>
    </row>
    <row r="295" spans="1:11" s="9" customFormat="1" ht="13.2">
      <c r="A295" s="6"/>
      <c r="B295" s="6"/>
      <c r="C295" s="6"/>
      <c r="D295" s="6"/>
      <c r="E295" s="6"/>
      <c r="F295" s="11"/>
      <c r="G295" s="11"/>
      <c r="H295" s="11"/>
      <c r="I295" s="11"/>
      <c r="J295" s="11"/>
      <c r="K295" s="11"/>
    </row>
    <row r="296" spans="1:11" s="9" customFormat="1" ht="13.2">
      <c r="A296" s="6"/>
      <c r="B296" s="6"/>
      <c r="C296" s="6"/>
      <c r="D296" s="6"/>
      <c r="E296" s="6"/>
      <c r="F296" s="8"/>
      <c r="G296" s="8"/>
      <c r="H296" s="8"/>
      <c r="I296" s="8"/>
      <c r="J296" s="8"/>
      <c r="K296" s="8"/>
    </row>
    <row r="297" spans="1:11" s="9" customFormat="1" ht="13.2">
      <c r="A297" s="6"/>
      <c r="B297" s="6"/>
      <c r="C297" s="6"/>
      <c r="D297" s="6"/>
      <c r="E297" s="6"/>
      <c r="F297" s="8"/>
      <c r="G297" s="8"/>
      <c r="H297" s="8"/>
      <c r="I297" s="8"/>
      <c r="J297" s="8"/>
      <c r="K297" s="8"/>
    </row>
    <row r="298" spans="1:11" s="9" customFormat="1" ht="13.2">
      <c r="A298" s="6"/>
      <c r="B298" s="6"/>
      <c r="C298" s="6"/>
      <c r="D298" s="6"/>
      <c r="E298" s="6"/>
      <c r="F298" s="8"/>
      <c r="G298" s="8"/>
      <c r="H298" s="8"/>
      <c r="I298" s="8"/>
      <c r="J298" s="8"/>
      <c r="K298" s="8"/>
    </row>
    <row r="299" spans="1:11" s="9" customFormat="1" ht="13.2">
      <c r="A299" s="6"/>
      <c r="B299" s="6"/>
      <c r="C299" s="6"/>
      <c r="D299" s="6"/>
      <c r="E299" s="6"/>
      <c r="F299" s="11"/>
      <c r="G299" s="11"/>
      <c r="H299" s="11"/>
      <c r="I299" s="11"/>
      <c r="J299" s="11"/>
      <c r="K299" s="11"/>
    </row>
    <row r="300" spans="1:11" s="9" customFormat="1" ht="13.2">
      <c r="A300" s="6"/>
      <c r="B300" s="6"/>
      <c r="C300" s="6"/>
      <c r="D300" s="6"/>
      <c r="E300" s="6"/>
      <c r="F300" s="8"/>
      <c r="G300" s="8"/>
      <c r="H300" s="8"/>
      <c r="I300" s="8"/>
      <c r="J300" s="8"/>
      <c r="K300" s="8"/>
    </row>
    <row r="301" spans="1:11" s="9" customFormat="1" ht="13.2">
      <c r="A301" s="6"/>
      <c r="B301" s="6"/>
      <c r="C301" s="6"/>
      <c r="D301" s="6"/>
      <c r="E301" s="6"/>
      <c r="F301" s="8"/>
      <c r="G301" s="8"/>
      <c r="H301" s="8"/>
      <c r="I301" s="8"/>
      <c r="J301" s="8"/>
      <c r="K301" s="8"/>
    </row>
    <row r="302" spans="1:11" s="9" customFormat="1" ht="13.2">
      <c r="A302" s="6"/>
      <c r="B302" s="6"/>
      <c r="C302" s="6"/>
      <c r="D302" s="6"/>
      <c r="E302" s="6"/>
      <c r="F302" s="8"/>
      <c r="G302" s="8"/>
      <c r="H302" s="8"/>
      <c r="I302" s="8"/>
      <c r="J302" s="8"/>
      <c r="K302" s="8"/>
    </row>
    <row r="303" spans="1:11" s="9" customFormat="1" ht="13.2">
      <c r="A303" s="6"/>
      <c r="B303" s="6"/>
      <c r="C303" s="6"/>
      <c r="D303" s="6"/>
      <c r="E303" s="6"/>
      <c r="F303" s="8"/>
      <c r="G303" s="8"/>
      <c r="H303" s="8"/>
      <c r="I303" s="8"/>
      <c r="J303" s="8"/>
      <c r="K303" s="8"/>
    </row>
    <row r="304" spans="1:11" s="9" customFormat="1" ht="13.2">
      <c r="A304" s="6"/>
      <c r="B304" s="6"/>
      <c r="C304" s="6"/>
      <c r="D304" s="6"/>
      <c r="E304" s="6"/>
      <c r="F304" s="8"/>
      <c r="G304" s="8"/>
      <c r="H304" s="8"/>
      <c r="I304" s="8"/>
      <c r="J304" s="8"/>
      <c r="K304" s="8"/>
    </row>
    <row r="305" spans="1:11" s="9" customFormat="1" ht="13.2">
      <c r="A305" s="6"/>
      <c r="B305" s="6"/>
      <c r="C305" s="6"/>
      <c r="D305" s="6"/>
      <c r="E305" s="6"/>
      <c r="F305" s="8"/>
      <c r="G305" s="8"/>
      <c r="H305" s="8"/>
      <c r="I305" s="8"/>
      <c r="J305" s="8"/>
      <c r="K305" s="8"/>
    </row>
    <row r="306" spans="1:11" s="9" customFormat="1" ht="13.2">
      <c r="A306" s="6"/>
      <c r="B306" s="6"/>
      <c r="C306" s="6"/>
      <c r="D306" s="6"/>
      <c r="E306" s="6"/>
      <c r="F306" s="10"/>
      <c r="G306" s="10"/>
      <c r="H306" s="10"/>
      <c r="I306" s="10"/>
      <c r="J306" s="10"/>
      <c r="K306" s="10"/>
    </row>
    <row r="307" spans="1:11" s="9" customFormat="1" ht="13.2">
      <c r="A307" s="6"/>
      <c r="B307" s="6"/>
      <c r="C307" s="6"/>
      <c r="D307" s="6"/>
      <c r="E307" s="6"/>
      <c r="F307" s="11"/>
      <c r="G307" s="11"/>
      <c r="H307" s="11"/>
      <c r="I307" s="11"/>
      <c r="J307" s="11"/>
      <c r="K307" s="11"/>
    </row>
    <row r="308" spans="1:11" s="9" customFormat="1" ht="13.2">
      <c r="A308" s="6"/>
      <c r="B308" s="6"/>
      <c r="C308" s="6"/>
      <c r="D308" s="6"/>
      <c r="E308" s="6"/>
      <c r="F308" s="8"/>
      <c r="G308" s="8"/>
      <c r="H308" s="8"/>
      <c r="I308" s="8"/>
      <c r="J308" s="8"/>
      <c r="K308" s="8"/>
    </row>
    <row r="309" spans="1:11" s="9" customFormat="1" ht="13.2">
      <c r="A309" s="6"/>
      <c r="B309" s="6"/>
      <c r="C309" s="6"/>
      <c r="D309" s="6"/>
      <c r="E309" s="6"/>
      <c r="F309" s="11"/>
      <c r="G309" s="11"/>
      <c r="H309" s="11"/>
      <c r="I309" s="11"/>
      <c r="J309" s="11"/>
      <c r="K309" s="11"/>
    </row>
    <row r="310" spans="1:11" s="9" customFormat="1" ht="13.2">
      <c r="A310" s="6"/>
      <c r="B310" s="6"/>
      <c r="C310" s="6"/>
      <c r="D310" s="6"/>
      <c r="E310" s="6"/>
      <c r="F310" s="8"/>
      <c r="G310" s="8"/>
      <c r="H310" s="8"/>
      <c r="I310" s="8"/>
      <c r="J310" s="8"/>
      <c r="K310" s="8"/>
    </row>
    <row r="311" spans="1:11" s="9" customFormat="1" ht="13.2">
      <c r="A311" s="6"/>
      <c r="B311" s="6"/>
      <c r="C311" s="6"/>
      <c r="D311" s="6"/>
      <c r="E311" s="6"/>
      <c r="F311" s="8"/>
      <c r="G311" s="8"/>
      <c r="H311" s="8"/>
      <c r="I311" s="8"/>
      <c r="J311" s="8"/>
      <c r="K311" s="8"/>
    </row>
    <row r="312" spans="1:11" s="9" customFormat="1" ht="13.2">
      <c r="A312" s="6"/>
      <c r="B312" s="6"/>
      <c r="C312" s="6"/>
      <c r="D312" s="6"/>
      <c r="E312" s="6"/>
      <c r="F312" s="11"/>
      <c r="G312" s="11"/>
      <c r="H312" s="11"/>
      <c r="I312" s="11"/>
      <c r="J312" s="11"/>
      <c r="K312" s="11"/>
    </row>
    <row r="313" spans="1:11" s="9" customFormat="1" ht="13.2">
      <c r="A313" s="6"/>
      <c r="B313" s="6"/>
      <c r="C313" s="6"/>
      <c r="D313" s="6"/>
      <c r="E313" s="6"/>
      <c r="F313" s="11"/>
      <c r="G313" s="11"/>
      <c r="H313" s="11"/>
      <c r="I313" s="11"/>
      <c r="J313" s="11"/>
      <c r="K313" s="11"/>
    </row>
    <row r="314" spans="1:11" s="9" customFormat="1" ht="13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spans="1:11" s="9" customFormat="1" ht="13.2">
      <c r="A315" s="6"/>
      <c r="B315" s="6"/>
      <c r="C315" s="6"/>
      <c r="D315" s="6"/>
      <c r="E315" s="6"/>
      <c r="F315" s="11"/>
      <c r="G315" s="11"/>
      <c r="H315" s="11"/>
      <c r="I315" s="11"/>
      <c r="J315" s="11"/>
      <c r="K315" s="11"/>
    </row>
    <row r="316" spans="1:11" s="9" customFormat="1" ht="13.2">
      <c r="A316" s="6"/>
      <c r="B316" s="6"/>
      <c r="C316" s="6"/>
      <c r="D316" s="6"/>
      <c r="E316" s="6"/>
      <c r="F316" s="11"/>
      <c r="G316" s="11"/>
      <c r="H316" s="11"/>
      <c r="I316" s="11"/>
      <c r="J316" s="11"/>
      <c r="K316" s="11"/>
    </row>
    <row r="317" spans="1:11" s="9" customFormat="1" ht="13.2">
      <c r="A317" s="6"/>
      <c r="B317" s="6"/>
      <c r="C317" s="6"/>
      <c r="D317" s="6"/>
      <c r="E317" s="6"/>
      <c r="F317" s="8"/>
      <c r="G317" s="8"/>
      <c r="H317" s="8"/>
      <c r="I317" s="8"/>
      <c r="J317" s="8"/>
      <c r="K317" s="8"/>
    </row>
    <row r="318" spans="1:11" s="9" customFormat="1" ht="13.2">
      <c r="A318" s="6"/>
      <c r="B318" s="6"/>
      <c r="C318" s="6"/>
      <c r="D318" s="6"/>
      <c r="E318" s="6"/>
      <c r="F318" s="8"/>
      <c r="G318" s="8"/>
      <c r="H318" s="8"/>
      <c r="I318" s="8"/>
      <c r="J318" s="8"/>
      <c r="K318" s="8"/>
    </row>
    <row r="319" spans="1:11" s="9" customFormat="1" ht="13.2">
      <c r="A319" s="6"/>
      <c r="B319" s="6"/>
      <c r="C319" s="6"/>
      <c r="D319" s="6"/>
      <c r="E319" s="6"/>
      <c r="F319" s="8"/>
      <c r="G319" s="8"/>
      <c r="H319" s="8"/>
      <c r="I319" s="8"/>
      <c r="J319" s="8"/>
      <c r="K319" s="8"/>
    </row>
    <row r="320" spans="1:11" s="9" customFormat="1" ht="13.2">
      <c r="A320" s="6"/>
      <c r="B320" s="6"/>
      <c r="C320" s="6"/>
      <c r="D320" s="6"/>
      <c r="E320" s="6"/>
      <c r="F320" s="8"/>
      <c r="G320" s="8"/>
      <c r="H320" s="8"/>
      <c r="I320" s="8"/>
      <c r="J320" s="8"/>
      <c r="K320" s="8"/>
    </row>
    <row r="321" spans="1:11" s="9" customFormat="1" ht="13.2">
      <c r="A321" s="6"/>
      <c r="B321" s="6"/>
      <c r="C321" s="6"/>
      <c r="D321" s="6"/>
      <c r="E321" s="6"/>
      <c r="F321" s="8"/>
      <c r="G321" s="8"/>
      <c r="H321" s="8"/>
      <c r="I321" s="8"/>
      <c r="J321" s="8"/>
      <c r="K321" s="8"/>
    </row>
    <row r="322" spans="1:11" s="9" customFormat="1" ht="13.2">
      <c r="A322" s="6"/>
      <c r="B322" s="6"/>
      <c r="C322" s="6"/>
      <c r="D322" s="6"/>
      <c r="E322" s="6"/>
      <c r="F322" s="7"/>
      <c r="G322" s="7"/>
      <c r="H322" s="7"/>
      <c r="I322" s="7"/>
      <c r="J322" s="7"/>
      <c r="K322" s="7"/>
    </row>
    <row r="323" spans="1:11" s="9" customFormat="1" ht="13.2">
      <c r="A323" s="6"/>
      <c r="B323" s="6"/>
      <c r="C323" s="6"/>
      <c r="D323" s="6"/>
      <c r="E323" s="6"/>
      <c r="F323" s="7"/>
      <c r="G323" s="7"/>
      <c r="H323" s="7"/>
      <c r="I323" s="7"/>
      <c r="J323" s="7"/>
      <c r="K323" s="7"/>
    </row>
    <row r="324" spans="1:11" s="9" customFormat="1" ht="13.2">
      <c r="A324" s="6"/>
      <c r="B324" s="6"/>
      <c r="C324" s="6"/>
      <c r="D324" s="6"/>
      <c r="E324" s="6"/>
      <c r="F324" s="8"/>
      <c r="G324" s="8"/>
      <c r="H324" s="8"/>
      <c r="I324" s="8"/>
      <c r="J324" s="8"/>
      <c r="K324" s="8"/>
    </row>
    <row r="325" spans="1:11" s="9" customFormat="1" ht="13.2">
      <c r="A325" s="6"/>
      <c r="B325" s="6"/>
      <c r="C325" s="6"/>
      <c r="D325" s="6"/>
      <c r="E325" s="6"/>
      <c r="F325" s="11"/>
      <c r="G325" s="11"/>
      <c r="H325" s="11"/>
      <c r="I325" s="11"/>
      <c r="J325" s="11"/>
      <c r="K325" s="11"/>
    </row>
    <row r="326" spans="1:11" s="9" customFormat="1" ht="13.2">
      <c r="A326" s="6"/>
      <c r="B326" s="6"/>
      <c r="C326" s="6"/>
      <c r="D326" s="6"/>
      <c r="E326" s="6"/>
      <c r="F326" s="7"/>
      <c r="G326" s="7"/>
      <c r="H326" s="7"/>
      <c r="I326" s="7"/>
      <c r="J326" s="7"/>
      <c r="K326" s="7"/>
    </row>
    <row r="327" spans="1:11" s="9" customFormat="1" ht="13.2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</row>
    <row r="328" spans="1:11" s="9" customFormat="1" ht="13.2">
      <c r="A328" s="6"/>
      <c r="B328" s="6"/>
      <c r="C328" s="6"/>
      <c r="D328" s="6"/>
      <c r="E328" s="6"/>
      <c r="F328" s="7"/>
      <c r="G328" s="7"/>
      <c r="H328" s="7"/>
      <c r="I328" s="7"/>
      <c r="J328" s="7"/>
      <c r="K328" s="7"/>
    </row>
    <row r="329" spans="1:11" s="9" customFormat="1" ht="13.2">
      <c r="A329" s="6"/>
      <c r="B329" s="6"/>
      <c r="C329" s="6"/>
      <c r="D329" s="6"/>
      <c r="E329" s="6"/>
      <c r="F329" s="7"/>
      <c r="G329" s="7"/>
      <c r="H329" s="7"/>
      <c r="I329" s="7"/>
      <c r="J329" s="7"/>
      <c r="K329" s="7"/>
    </row>
    <row r="330" spans="1:11" s="9" customFormat="1" ht="13.2">
      <c r="A330" s="6"/>
      <c r="B330" s="6"/>
      <c r="C330" s="6"/>
      <c r="D330" s="6"/>
      <c r="E330" s="6"/>
      <c r="F330" s="8"/>
      <c r="G330" s="8"/>
      <c r="H330" s="8"/>
      <c r="I330" s="8"/>
      <c r="J330" s="8"/>
      <c r="K330" s="8"/>
    </row>
    <row r="331" spans="1:11" s="9" customFormat="1" ht="13.2">
      <c r="A331" s="6"/>
      <c r="B331" s="6"/>
      <c r="C331" s="6"/>
      <c r="D331" s="6"/>
      <c r="E331" s="6"/>
      <c r="F331" s="8"/>
      <c r="G331" s="8"/>
      <c r="H331" s="8"/>
      <c r="I331" s="8"/>
      <c r="J331" s="8"/>
      <c r="K331" s="8"/>
    </row>
    <row r="332" spans="1:11" s="9" customFormat="1" ht="13.2">
      <c r="A332" s="6"/>
      <c r="B332" s="6"/>
      <c r="C332" s="6"/>
      <c r="D332" s="6"/>
      <c r="E332" s="6"/>
      <c r="F332" s="8"/>
      <c r="G332" s="8"/>
      <c r="H332" s="8"/>
      <c r="I332" s="8"/>
      <c r="J332" s="8"/>
      <c r="K332" s="8"/>
    </row>
    <row r="333" spans="1:11" s="9" customFormat="1" ht="13.2">
      <c r="A333" s="6"/>
      <c r="B333" s="6"/>
      <c r="C333" s="6"/>
      <c r="D333" s="6"/>
      <c r="E333" s="6"/>
      <c r="F333" s="8"/>
      <c r="G333" s="8"/>
      <c r="H333" s="8"/>
      <c r="I333" s="8"/>
      <c r="J333" s="8"/>
      <c r="K333" s="8"/>
    </row>
    <row r="334" spans="1:11" s="9" customFormat="1" ht="13.2">
      <c r="A334" s="6"/>
      <c r="B334" s="6"/>
      <c r="C334" s="6"/>
      <c r="D334" s="6"/>
      <c r="E334" s="6"/>
      <c r="F334" s="8"/>
      <c r="G334" s="8"/>
      <c r="H334" s="8"/>
      <c r="I334" s="8"/>
      <c r="J334" s="8"/>
      <c r="K334" s="8"/>
    </row>
    <row r="335" spans="1:11" s="9" customFormat="1" ht="13.2">
      <c r="A335" s="6"/>
      <c r="B335" s="6"/>
      <c r="C335" s="6"/>
      <c r="D335" s="6"/>
      <c r="E335" s="6"/>
      <c r="F335" s="8"/>
      <c r="G335" s="8"/>
      <c r="H335" s="8"/>
      <c r="I335" s="8"/>
      <c r="J335" s="8"/>
      <c r="K335" s="8"/>
    </row>
    <row r="336" spans="1:11" s="9" customFormat="1" ht="13.2">
      <c r="A336" s="6"/>
      <c r="B336" s="6"/>
      <c r="C336" s="6"/>
      <c r="D336" s="6"/>
      <c r="E336" s="6"/>
      <c r="F336" s="8"/>
      <c r="G336" s="8"/>
      <c r="H336" s="8"/>
      <c r="I336" s="8"/>
      <c r="J336" s="8"/>
      <c r="K336" s="8"/>
    </row>
    <row r="337" spans="1:11" s="9" customFormat="1" ht="13.2">
      <c r="A337" s="6"/>
      <c r="B337" s="6"/>
      <c r="C337" s="6"/>
      <c r="D337" s="6"/>
      <c r="E337" s="6"/>
      <c r="F337" s="7"/>
      <c r="G337" s="7"/>
      <c r="H337" s="7"/>
      <c r="I337" s="7"/>
      <c r="J337" s="7"/>
      <c r="K337" s="7"/>
    </row>
    <row r="338" spans="1:11" s="9" customFormat="1" ht="13.2">
      <c r="A338" s="6"/>
      <c r="B338" s="6"/>
      <c r="C338" s="6"/>
      <c r="D338" s="6"/>
      <c r="E338" s="6"/>
      <c r="F338" s="7"/>
      <c r="G338" s="7"/>
      <c r="H338" s="7"/>
      <c r="I338" s="7"/>
      <c r="J338" s="7"/>
      <c r="K338" s="7"/>
    </row>
    <row r="339" spans="1:11" s="9" customFormat="1" ht="13.2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</row>
    <row r="340" spans="1:11" s="9" customFormat="1" ht="13.2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</row>
    <row r="341" spans="1:11" s="9" customFormat="1" ht="13.2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</row>
    <row r="342" spans="1:11" s="9" customFormat="1" ht="13.2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</row>
    <row r="343" spans="1:11" s="9" customFormat="1" ht="13.2">
      <c r="A343" s="6"/>
      <c r="B343" s="6"/>
      <c r="C343" s="6"/>
      <c r="D343" s="6"/>
      <c r="E343" s="6"/>
      <c r="F343" s="8"/>
      <c r="G343" s="8"/>
      <c r="H343" s="8"/>
      <c r="I343" s="8"/>
      <c r="J343" s="8"/>
      <c r="K343" s="8"/>
    </row>
    <row r="344" spans="1:11" s="9" customFormat="1" ht="13.2">
      <c r="A344" s="6"/>
      <c r="B344" s="6"/>
      <c r="C344" s="6"/>
      <c r="D344" s="6"/>
      <c r="E344" s="6"/>
      <c r="F344" s="8"/>
      <c r="G344" s="8"/>
      <c r="H344" s="8"/>
      <c r="I344" s="8"/>
      <c r="J344" s="8"/>
      <c r="K344" s="8"/>
    </row>
    <row r="345" spans="1:11" s="9" customFormat="1" ht="13.2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</row>
    <row r="346" spans="1:11" s="9" customFormat="1" ht="13.2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</row>
    <row r="347" spans="1:11" s="9" customFormat="1" ht="13.2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</row>
    <row r="348" spans="1:11" s="9" customFormat="1" ht="13.2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</row>
    <row r="349" spans="1:11" s="9" customFormat="1" ht="13.2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</row>
    <row r="350" spans="1:11" s="9" customFormat="1" ht="13.2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</row>
    <row r="351" spans="1:11" s="9" customFormat="1" ht="13.2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</row>
    <row r="352" spans="1:11" s="9" customFormat="1" ht="13.2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</row>
    <row r="353" spans="1:11" s="9" customFormat="1" ht="13.2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</row>
    <row r="354" spans="1:11" s="9" customFormat="1" ht="13.2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</row>
    <row r="355" spans="1:11" s="9" customFormat="1" ht="13.2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</row>
    <row r="356" spans="1:11" s="9" customFormat="1" ht="13.2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</row>
    <row r="357" spans="1:11" s="9" customFormat="1" ht="13.2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</row>
    <row r="358" spans="1:11" s="9" customFormat="1" ht="13.2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</row>
    <row r="359" spans="1:11" s="9" customFormat="1" ht="13.2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</row>
    <row r="360" spans="1:11" s="9" customFormat="1" ht="13.2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</row>
    <row r="361" spans="1:11" s="9" customFormat="1" ht="13.2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</row>
    <row r="362" spans="1:11" s="9" customFormat="1" ht="13.2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</row>
    <row r="363" spans="1:11" s="9" customFormat="1" ht="13.2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</row>
    <row r="364" spans="1:11" s="9" customFormat="1" ht="13.2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</row>
    <row r="365" spans="1:11" s="9" customFormat="1" ht="13.2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</row>
    <row r="366" spans="1:11" s="9" customFormat="1" ht="13.2">
      <c r="A366" s="6"/>
      <c r="B366" s="6"/>
      <c r="C366" s="6"/>
      <c r="D366" s="6"/>
      <c r="E366" s="6"/>
      <c r="F366" s="10"/>
      <c r="G366" s="10"/>
      <c r="H366" s="10"/>
      <c r="I366" s="10"/>
      <c r="J366" s="10"/>
      <c r="K366" s="10"/>
    </row>
    <row r="367" spans="1:11" s="9" customFormat="1" ht="13.2">
      <c r="A367" s="6"/>
      <c r="B367" s="6"/>
      <c r="C367" s="6"/>
      <c r="D367" s="6"/>
      <c r="E367" s="6"/>
      <c r="F367" s="10"/>
      <c r="G367" s="10"/>
      <c r="H367" s="10"/>
      <c r="I367" s="10"/>
      <c r="J367" s="10"/>
      <c r="K367" s="10"/>
    </row>
    <row r="368" spans="1:11" s="9" customFormat="1" ht="13.2">
      <c r="A368" s="6"/>
      <c r="B368" s="6"/>
      <c r="C368" s="6"/>
      <c r="D368" s="6"/>
      <c r="E368" s="6"/>
      <c r="F368" s="10"/>
      <c r="G368" s="10"/>
      <c r="H368" s="10"/>
      <c r="I368" s="10"/>
      <c r="J368" s="10"/>
      <c r="K368" s="10"/>
    </row>
    <row r="369" spans="1:11" s="9" customFormat="1" ht="13.2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</row>
    <row r="370" spans="1:11" s="9" customFormat="1" ht="13.2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</row>
    <row r="371" spans="1:11" s="9" customFormat="1" ht="13.2">
      <c r="A371" s="6"/>
      <c r="B371" s="6"/>
      <c r="C371" s="6"/>
      <c r="D371" s="6"/>
      <c r="E371" s="6"/>
      <c r="F371" s="10"/>
      <c r="G371" s="10"/>
      <c r="H371" s="10"/>
      <c r="I371" s="10"/>
      <c r="J371" s="10"/>
      <c r="K371" s="10"/>
    </row>
    <row r="372" spans="1:11" s="9" customFormat="1" ht="13.2">
      <c r="A372" s="6"/>
      <c r="B372" s="6"/>
      <c r="C372" s="6"/>
      <c r="D372" s="6"/>
      <c r="E372" s="6"/>
      <c r="F372" s="10"/>
      <c r="G372" s="10"/>
      <c r="H372" s="10"/>
      <c r="I372" s="10"/>
      <c r="J372" s="10"/>
      <c r="K372" s="10"/>
    </row>
    <row r="373" spans="1:11" s="9" customFormat="1" ht="13.2">
      <c r="A373" s="6"/>
      <c r="B373" s="6"/>
      <c r="C373" s="6"/>
      <c r="D373" s="6"/>
      <c r="E373" s="6"/>
      <c r="F373" s="10"/>
      <c r="G373" s="10"/>
      <c r="H373" s="10"/>
      <c r="I373" s="10"/>
      <c r="J373" s="10"/>
      <c r="K373" s="10"/>
    </row>
    <row r="374" spans="1:11" s="9" customFormat="1" ht="13.2">
      <c r="A374" s="6"/>
      <c r="B374" s="6"/>
      <c r="C374" s="6"/>
      <c r="D374" s="6"/>
      <c r="E374" s="6"/>
      <c r="F374" s="8"/>
      <c r="G374" s="8"/>
      <c r="H374" s="8"/>
      <c r="I374" s="8"/>
      <c r="J374" s="8"/>
      <c r="K374" s="8"/>
    </row>
    <row r="375" spans="1:11" s="9" customFormat="1" ht="13.2">
      <c r="A375" s="6"/>
      <c r="B375" s="6"/>
      <c r="C375" s="6"/>
      <c r="D375" s="6"/>
      <c r="E375" s="6"/>
      <c r="F375" s="8"/>
      <c r="G375" s="8"/>
      <c r="H375" s="8"/>
      <c r="I375" s="8"/>
      <c r="J375" s="8"/>
      <c r="K375" s="8"/>
    </row>
    <row r="376" spans="1:11" s="9" customFormat="1" ht="13.2">
      <c r="A376" s="6"/>
      <c r="B376" s="6"/>
      <c r="C376" s="6"/>
      <c r="D376" s="6"/>
      <c r="E376" s="6"/>
      <c r="F376" s="8"/>
      <c r="G376" s="8"/>
      <c r="H376" s="8"/>
      <c r="I376" s="8"/>
      <c r="J376" s="8"/>
      <c r="K376" s="8"/>
    </row>
    <row r="377" spans="1:11" s="9" customFormat="1" ht="13.2">
      <c r="A377" s="6"/>
      <c r="B377" s="6"/>
      <c r="C377" s="6"/>
      <c r="D377" s="6"/>
      <c r="E377" s="6"/>
      <c r="F377" s="12"/>
      <c r="G377" s="12"/>
      <c r="H377" s="12"/>
      <c r="I377" s="12"/>
      <c r="J377" s="12"/>
      <c r="K377" s="12"/>
    </row>
    <row r="378" spans="1:11" s="9" customFormat="1" ht="13.2">
      <c r="A378" s="13"/>
      <c r="B378" s="13"/>
      <c r="C378" s="13"/>
      <c r="D378" s="13"/>
      <c r="E378" s="13"/>
      <c r="F378" s="12"/>
      <c r="G378" s="12"/>
      <c r="H378" s="12"/>
      <c r="I378" s="12"/>
      <c r="J378" s="12"/>
      <c r="K378" s="12"/>
    </row>
    <row r="379" spans="1:11" s="9" customFormat="1" ht="13.2">
      <c r="A379" s="13"/>
      <c r="B379" s="13"/>
      <c r="C379" s="13"/>
      <c r="D379" s="13"/>
      <c r="E379" s="13"/>
      <c r="F379" s="12"/>
      <c r="G379" s="12"/>
      <c r="H379" s="12"/>
      <c r="I379" s="12"/>
      <c r="J379" s="12"/>
      <c r="K379" s="12"/>
    </row>
    <row r="380" spans="1:11" s="9" customFormat="1" ht="13.2">
      <c r="A380" s="13"/>
      <c r="B380" s="13"/>
      <c r="C380" s="13"/>
      <c r="D380" s="13"/>
      <c r="E380" s="13"/>
      <c r="F380" s="12"/>
      <c r="G380" s="12"/>
      <c r="H380" s="12"/>
      <c r="I380" s="12"/>
      <c r="J380" s="12"/>
      <c r="K380" s="12"/>
    </row>
    <row r="381" spans="1:11" s="9" customFormat="1" ht="13.2">
      <c r="A381" s="13"/>
      <c r="B381" s="13"/>
      <c r="C381" s="13"/>
      <c r="D381" s="13"/>
      <c r="E381" s="13"/>
      <c r="F381" s="12"/>
      <c r="G381" s="12"/>
      <c r="H381" s="12"/>
      <c r="I381" s="12"/>
      <c r="J381" s="12"/>
      <c r="K381" s="12"/>
    </row>
    <row r="382" spans="1:11" s="9" customFormat="1" ht="13.2">
      <c r="A382" s="13"/>
      <c r="B382" s="13"/>
      <c r="C382" s="13"/>
      <c r="D382" s="13"/>
      <c r="E382" s="13"/>
      <c r="F382" s="12"/>
      <c r="G382" s="12"/>
      <c r="H382" s="12"/>
      <c r="I382" s="12"/>
      <c r="J382" s="12"/>
      <c r="K382" s="12"/>
    </row>
    <row r="383" spans="1:11" s="9" customFormat="1" ht="13.2">
      <c r="A383" s="13"/>
      <c r="B383" s="13"/>
      <c r="C383" s="13"/>
      <c r="D383" s="13"/>
      <c r="E383" s="13"/>
      <c r="F383" s="12"/>
      <c r="G383" s="12"/>
      <c r="H383" s="12"/>
      <c r="I383" s="12"/>
      <c r="J383" s="12"/>
      <c r="K383" s="12"/>
    </row>
    <row r="384" spans="1:11" s="9" customFormat="1" ht="13.2">
      <c r="A384" s="13"/>
      <c r="B384" s="13"/>
      <c r="C384" s="13"/>
      <c r="D384" s="13"/>
      <c r="E384" s="13"/>
      <c r="F384" s="12"/>
      <c r="G384" s="12"/>
      <c r="H384" s="12"/>
      <c r="I384" s="12"/>
      <c r="J384" s="12"/>
      <c r="K384" s="12"/>
    </row>
    <row r="385" spans="1:11" s="9" customFormat="1" ht="13.2">
      <c r="A385" s="13"/>
      <c r="B385" s="13"/>
      <c r="C385" s="13"/>
      <c r="D385" s="13"/>
      <c r="E385" s="13"/>
      <c r="F385" s="12"/>
      <c r="G385" s="12"/>
      <c r="H385" s="12"/>
      <c r="I385" s="12"/>
      <c r="J385" s="12"/>
      <c r="K385" s="12"/>
    </row>
    <row r="386" spans="1:11" s="9" customFormat="1" ht="13.2">
      <c r="A386" s="13"/>
      <c r="B386" s="13"/>
      <c r="C386" s="13"/>
      <c r="D386" s="13"/>
      <c r="E386" s="13"/>
      <c r="F386" s="11"/>
      <c r="G386" s="11"/>
      <c r="H386" s="11"/>
      <c r="I386" s="11"/>
      <c r="J386" s="11"/>
      <c r="K386" s="11"/>
    </row>
    <row r="387" spans="1:11" s="9" customFormat="1" ht="13.2">
      <c r="A387" s="13"/>
      <c r="B387" s="13"/>
      <c r="C387" s="13"/>
      <c r="D387" s="13"/>
      <c r="E387" s="13"/>
      <c r="F387" s="11"/>
      <c r="G387" s="11"/>
      <c r="H387" s="11"/>
      <c r="I387" s="11"/>
      <c r="J387" s="11"/>
      <c r="K387" s="11"/>
    </row>
    <row r="388" spans="1:11" s="9" customFormat="1" ht="13.2">
      <c r="A388" s="13"/>
      <c r="B388" s="13"/>
      <c r="C388" s="13"/>
      <c r="D388" s="13"/>
      <c r="E388" s="13"/>
      <c r="F388" s="11"/>
      <c r="G388" s="11"/>
      <c r="H388" s="11"/>
      <c r="I388" s="11"/>
      <c r="J388" s="11"/>
      <c r="K388" s="11"/>
    </row>
    <row r="389" spans="1:11" s="9" customFormat="1" ht="13.2">
      <c r="A389" s="13"/>
      <c r="B389" s="13"/>
      <c r="C389" s="13"/>
      <c r="D389" s="13"/>
      <c r="E389" s="13"/>
      <c r="F389" s="11"/>
      <c r="G389" s="11"/>
      <c r="H389" s="11"/>
      <c r="I389" s="11"/>
      <c r="J389" s="11"/>
      <c r="K389" s="11"/>
    </row>
    <row r="390" spans="1:11" s="9" customFormat="1" ht="13.2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</row>
    <row r="391" spans="1:11" s="9" customFormat="1" ht="13.2">
      <c r="A391" s="13"/>
      <c r="B391" s="13"/>
      <c r="C391" s="13"/>
      <c r="D391" s="13"/>
      <c r="E391" s="13"/>
      <c r="F391" s="12"/>
      <c r="G391" s="12"/>
      <c r="H391" s="12"/>
      <c r="I391" s="12"/>
      <c r="J391" s="12"/>
      <c r="K391" s="12"/>
    </row>
    <row r="392" spans="1:11" s="9" customFormat="1" ht="13.2">
      <c r="A392" s="13"/>
      <c r="B392" s="13"/>
      <c r="C392" s="13"/>
      <c r="D392" s="13"/>
      <c r="E392" s="13"/>
      <c r="F392" s="12"/>
      <c r="G392" s="12"/>
      <c r="H392" s="12"/>
      <c r="I392" s="12"/>
      <c r="J392" s="12"/>
      <c r="K392" s="12"/>
    </row>
    <row r="393" spans="1:11" s="9" customFormat="1" ht="13.2">
      <c r="A393" s="13"/>
      <c r="B393" s="13"/>
      <c r="C393" s="13"/>
      <c r="D393" s="13"/>
      <c r="E393" s="13"/>
      <c r="F393" s="8"/>
      <c r="G393" s="8"/>
      <c r="H393" s="8"/>
      <c r="I393" s="8"/>
      <c r="J393" s="8"/>
      <c r="K393" s="8"/>
    </row>
    <row r="394" spans="1:11" s="9" customFormat="1" ht="13.2">
      <c r="A394" s="13"/>
      <c r="B394" s="13"/>
      <c r="C394" s="13"/>
      <c r="D394" s="13"/>
      <c r="E394" s="13"/>
      <c r="F394" s="12"/>
      <c r="G394" s="12"/>
      <c r="H394" s="12"/>
      <c r="I394" s="12"/>
      <c r="J394" s="12"/>
      <c r="K394" s="12"/>
    </row>
    <row r="395" spans="1:11" s="9" customFormat="1" ht="13.2">
      <c r="A395" s="13"/>
      <c r="B395" s="13"/>
      <c r="C395" s="13"/>
      <c r="D395" s="13"/>
      <c r="E395" s="13"/>
      <c r="F395" s="12"/>
      <c r="G395" s="12"/>
      <c r="H395" s="12"/>
      <c r="I395" s="12"/>
      <c r="J395" s="12"/>
      <c r="K395" s="12"/>
    </row>
    <row r="396" spans="1:11" s="9" customFormat="1" ht="13.2">
      <c r="A396" s="13"/>
      <c r="B396" s="13"/>
      <c r="C396" s="13"/>
      <c r="D396" s="13"/>
      <c r="E396" s="13"/>
      <c r="F396" s="14"/>
      <c r="G396" s="14"/>
      <c r="H396" s="14"/>
      <c r="I396" s="14"/>
      <c r="J396" s="14"/>
      <c r="K396" s="14"/>
    </row>
    <row r="397" spans="1:11" s="9" customFormat="1" ht="13.2">
      <c r="A397" s="13"/>
      <c r="B397" s="13"/>
      <c r="C397" s="13"/>
      <c r="D397" s="13"/>
      <c r="E397" s="13"/>
      <c r="F397" s="14"/>
      <c r="G397" s="14"/>
      <c r="H397" s="14"/>
      <c r="I397" s="14"/>
      <c r="J397" s="14"/>
      <c r="K397" s="14"/>
    </row>
    <row r="398" spans="1:11" s="9" customFormat="1" ht="13.2">
      <c r="A398" s="13"/>
      <c r="B398" s="13"/>
      <c r="C398" s="13"/>
      <c r="D398" s="13"/>
      <c r="E398" s="13"/>
      <c r="F398" s="14"/>
      <c r="G398" s="14"/>
      <c r="H398" s="14"/>
      <c r="I398" s="14"/>
      <c r="J398" s="14"/>
      <c r="K398" s="14"/>
    </row>
    <row r="399" spans="1:11" s="9" customFormat="1" ht="13.2">
      <c r="A399" s="13"/>
      <c r="B399" s="13"/>
      <c r="C399" s="13"/>
      <c r="D399" s="13"/>
      <c r="E399" s="13"/>
      <c r="F399" s="14"/>
      <c r="G399" s="14"/>
      <c r="H399" s="14"/>
      <c r="I399" s="14"/>
      <c r="J399" s="14"/>
      <c r="K399" s="14"/>
    </row>
    <row r="400" spans="1:11" s="9" customFormat="1" ht="13.2">
      <c r="A400" s="13"/>
      <c r="B400" s="13"/>
      <c r="C400" s="13"/>
      <c r="D400" s="13"/>
      <c r="E400" s="13"/>
      <c r="F400" s="14"/>
      <c r="G400" s="14"/>
      <c r="H400" s="14"/>
      <c r="I400" s="14"/>
      <c r="J400" s="14"/>
      <c r="K400" s="14"/>
    </row>
    <row r="401" spans="1:11" s="9" customFormat="1" ht="13.2">
      <c r="A401" s="13"/>
      <c r="B401" s="13"/>
      <c r="C401" s="13"/>
      <c r="D401" s="13"/>
      <c r="E401" s="13"/>
      <c r="F401" s="14"/>
      <c r="G401" s="14"/>
      <c r="H401" s="14"/>
      <c r="I401" s="14"/>
      <c r="J401" s="14"/>
      <c r="K401" s="14"/>
    </row>
    <row r="402" spans="1:11" s="9" customFormat="1" ht="13.2">
      <c r="A402" s="13"/>
      <c r="B402" s="13"/>
      <c r="C402" s="13"/>
      <c r="D402" s="13"/>
      <c r="E402" s="13"/>
      <c r="F402" s="14"/>
      <c r="G402" s="14"/>
      <c r="H402" s="14"/>
      <c r="I402" s="14"/>
      <c r="J402" s="14"/>
      <c r="K402" s="14"/>
    </row>
    <row r="403" spans="1:11" s="9" customFormat="1" ht="13.2">
      <c r="A403" s="13"/>
      <c r="B403" s="13"/>
      <c r="C403" s="13"/>
      <c r="D403" s="13"/>
      <c r="E403" s="13"/>
      <c r="F403" s="10"/>
      <c r="G403" s="10"/>
      <c r="H403" s="10"/>
      <c r="I403" s="10"/>
      <c r="J403" s="10"/>
      <c r="K403" s="10"/>
    </row>
    <row r="404" spans="1:11" s="9" customFormat="1" ht="13.2">
      <c r="A404" s="13"/>
      <c r="B404" s="13"/>
      <c r="C404" s="13"/>
      <c r="D404" s="13"/>
      <c r="E404" s="13"/>
      <c r="F404" s="14"/>
      <c r="G404" s="14"/>
      <c r="H404" s="14"/>
      <c r="I404" s="14"/>
      <c r="J404" s="14"/>
      <c r="K404" s="14"/>
    </row>
    <row r="405" spans="1:11" s="9" customFormat="1" ht="13.2">
      <c r="A405" s="13"/>
      <c r="B405" s="13"/>
      <c r="C405" s="13"/>
      <c r="D405" s="13"/>
      <c r="E405" s="13"/>
      <c r="F405" s="14"/>
      <c r="G405" s="14"/>
      <c r="H405" s="14"/>
      <c r="I405" s="14"/>
      <c r="J405" s="14"/>
      <c r="K405" s="14"/>
    </row>
    <row r="406" spans="1:11" s="9" customFormat="1" ht="13.2">
      <c r="A406" s="13"/>
      <c r="B406" s="13"/>
      <c r="C406" s="13"/>
      <c r="D406" s="13"/>
      <c r="E406" s="13"/>
      <c r="F406" s="14"/>
      <c r="G406" s="14"/>
      <c r="H406" s="14"/>
      <c r="I406" s="14"/>
      <c r="J406" s="14"/>
      <c r="K406" s="14"/>
    </row>
    <row r="407" spans="1:11" s="9" customFormat="1" ht="13.2">
      <c r="A407" s="13"/>
      <c r="B407" s="13"/>
      <c r="C407" s="13"/>
      <c r="D407" s="13"/>
      <c r="E407" s="13"/>
      <c r="F407" s="8"/>
      <c r="G407" s="8"/>
      <c r="H407" s="8"/>
      <c r="I407" s="8"/>
      <c r="J407" s="8"/>
      <c r="K407" s="8"/>
    </row>
    <row r="408" spans="1:11" s="9" customFormat="1" ht="13.2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</row>
    <row r="409" spans="1:11" s="9" customFormat="1" ht="13.2">
      <c r="A409" s="13"/>
      <c r="B409" s="13"/>
      <c r="C409" s="13"/>
      <c r="D409" s="13"/>
      <c r="E409" s="13"/>
      <c r="F409" s="10"/>
      <c r="G409" s="10"/>
      <c r="H409" s="10"/>
      <c r="I409" s="10"/>
      <c r="J409" s="10"/>
      <c r="K409" s="10"/>
    </row>
    <row r="410" spans="1:11" s="9" customFormat="1" ht="13.2">
      <c r="A410" s="13"/>
      <c r="B410" s="13"/>
      <c r="C410" s="13"/>
      <c r="D410" s="13"/>
      <c r="E410" s="13"/>
      <c r="F410" s="12"/>
      <c r="G410" s="12"/>
      <c r="H410" s="12"/>
      <c r="I410" s="12"/>
      <c r="J410" s="12"/>
      <c r="K410" s="12"/>
    </row>
    <row r="411" spans="1:11" s="9" customFormat="1" ht="13.2">
      <c r="A411" s="13"/>
      <c r="B411" s="13"/>
      <c r="C411" s="13"/>
      <c r="D411" s="13"/>
      <c r="E411" s="13"/>
      <c r="F411" s="12"/>
      <c r="G411" s="12"/>
      <c r="H411" s="12"/>
      <c r="I411" s="12"/>
      <c r="J411" s="12"/>
      <c r="K411" s="12"/>
    </row>
    <row r="412" spans="1:11" s="9" customFormat="1" ht="13.2">
      <c r="A412" s="13"/>
      <c r="B412" s="13"/>
      <c r="C412" s="13"/>
      <c r="D412" s="13"/>
      <c r="E412" s="13"/>
      <c r="F412" s="12"/>
      <c r="G412" s="12"/>
      <c r="H412" s="12"/>
      <c r="I412" s="12"/>
      <c r="J412" s="12"/>
      <c r="K412" s="12"/>
    </row>
    <row r="413" spans="1:11" s="9" customFormat="1" ht="13.2">
      <c r="A413" s="13"/>
      <c r="B413" s="13"/>
      <c r="C413" s="13"/>
      <c r="D413" s="13"/>
      <c r="E413" s="13"/>
      <c r="F413" s="12"/>
      <c r="G413" s="12"/>
      <c r="H413" s="12"/>
      <c r="I413" s="12"/>
      <c r="J413" s="12"/>
      <c r="K413" s="12"/>
    </row>
    <row r="414" spans="1:11" s="9" customFormat="1" ht="13.2">
      <c r="A414" s="13"/>
      <c r="B414" s="13"/>
      <c r="C414" s="13"/>
      <c r="D414" s="13"/>
      <c r="E414" s="13"/>
      <c r="F414" s="12"/>
      <c r="G414" s="12"/>
      <c r="H414" s="12"/>
      <c r="I414" s="12"/>
      <c r="J414" s="12"/>
      <c r="K414" s="12"/>
    </row>
    <row r="415" spans="1:11" s="9" customFormat="1" ht="13.2">
      <c r="A415" s="13"/>
      <c r="B415" s="13"/>
      <c r="C415" s="13"/>
      <c r="D415" s="13"/>
      <c r="E415" s="13"/>
      <c r="F415" s="12"/>
      <c r="G415" s="12"/>
      <c r="H415" s="12"/>
      <c r="I415" s="12"/>
      <c r="J415" s="12"/>
      <c r="K415" s="12"/>
    </row>
    <row r="416" spans="1:11" s="9" customFormat="1" ht="13.2">
      <c r="A416" s="13"/>
      <c r="B416" s="13"/>
      <c r="C416" s="13"/>
      <c r="D416" s="13"/>
      <c r="E416" s="13"/>
      <c r="F416" s="14"/>
      <c r="G416" s="14"/>
      <c r="H416" s="14"/>
      <c r="I416" s="14"/>
      <c r="J416" s="14"/>
      <c r="K416" s="14"/>
    </row>
    <row r="417" spans="1:11" s="9" customFormat="1" ht="13.2">
      <c r="A417" s="13"/>
      <c r="B417" s="13"/>
      <c r="C417" s="13"/>
      <c r="D417" s="13"/>
      <c r="E417" s="13"/>
      <c r="F417" s="8"/>
      <c r="G417" s="8"/>
      <c r="H417" s="8"/>
      <c r="I417" s="8"/>
      <c r="J417" s="8"/>
      <c r="K417" s="8"/>
    </row>
    <row r="418" spans="1:11" s="9" customFormat="1" ht="13.2">
      <c r="A418" s="13"/>
      <c r="B418" s="13"/>
      <c r="C418" s="13"/>
      <c r="D418" s="13"/>
      <c r="E418" s="13"/>
      <c r="F418" s="8"/>
      <c r="G418" s="8"/>
      <c r="H418" s="8"/>
      <c r="I418" s="8"/>
      <c r="J418" s="8"/>
      <c r="K418" s="8"/>
    </row>
    <row r="419" spans="1:11" s="9" customFormat="1" ht="13.2">
      <c r="A419" s="13"/>
      <c r="B419" s="13"/>
      <c r="C419" s="13"/>
      <c r="D419" s="13"/>
      <c r="E419" s="13"/>
      <c r="F419" s="8"/>
      <c r="G419" s="8"/>
      <c r="H419" s="8"/>
      <c r="I419" s="8"/>
      <c r="J419" s="8"/>
      <c r="K419" s="8"/>
    </row>
    <row r="420" spans="1:11" s="9" customFormat="1" ht="13.2">
      <c r="A420" s="13"/>
      <c r="B420" s="13"/>
      <c r="C420" s="13"/>
      <c r="D420" s="13"/>
      <c r="E420" s="13"/>
      <c r="F420" s="8"/>
      <c r="G420" s="8"/>
      <c r="H420" s="8"/>
      <c r="I420" s="8"/>
      <c r="J420" s="8"/>
      <c r="K420" s="8"/>
    </row>
    <row r="421" spans="1:11" s="9" customFormat="1" ht="13.2">
      <c r="A421" s="13"/>
      <c r="B421" s="13"/>
      <c r="C421" s="13"/>
      <c r="D421" s="13"/>
      <c r="E421" s="13"/>
      <c r="F421" s="8"/>
      <c r="G421" s="8"/>
      <c r="H421" s="8"/>
      <c r="I421" s="8"/>
      <c r="J421" s="8"/>
      <c r="K421" s="8"/>
    </row>
    <row r="422" spans="1:11" s="9" customFormat="1" ht="13.2">
      <c r="A422" s="13"/>
      <c r="B422" s="13"/>
      <c r="C422" s="13"/>
      <c r="D422" s="13"/>
      <c r="E422" s="13"/>
      <c r="F422" s="8"/>
      <c r="G422" s="8"/>
      <c r="H422" s="8"/>
      <c r="I422" s="8"/>
      <c r="J422" s="8"/>
      <c r="K422" s="8"/>
    </row>
    <row r="423" spans="1:11" s="9" customFormat="1" ht="13.2">
      <c r="A423" s="13"/>
      <c r="B423" s="13"/>
      <c r="C423" s="13"/>
      <c r="D423" s="13"/>
      <c r="E423" s="13"/>
      <c r="F423" s="10"/>
      <c r="G423" s="10"/>
      <c r="H423" s="10"/>
      <c r="I423" s="10"/>
      <c r="J423" s="10"/>
      <c r="K423" s="10"/>
    </row>
    <row r="424" spans="1:11" s="9" customFormat="1" ht="13.2">
      <c r="A424" s="13"/>
      <c r="B424" s="13"/>
      <c r="C424" s="13"/>
      <c r="D424" s="13"/>
      <c r="E424" s="13"/>
      <c r="F424" s="10"/>
      <c r="G424" s="10"/>
      <c r="H424" s="10"/>
      <c r="I424" s="10"/>
      <c r="J424" s="10"/>
      <c r="K424" s="10"/>
    </row>
    <row r="425" spans="1:11" s="9" customFormat="1" ht="13.2">
      <c r="A425" s="13"/>
      <c r="B425" s="13"/>
      <c r="C425" s="13"/>
      <c r="D425" s="13"/>
      <c r="E425" s="13"/>
      <c r="F425" s="10"/>
      <c r="G425" s="10"/>
      <c r="H425" s="10"/>
      <c r="I425" s="10"/>
      <c r="J425" s="10"/>
      <c r="K425" s="10"/>
    </row>
    <row r="426" spans="1:11" s="9" customFormat="1" ht="13.2">
      <c r="A426" s="13"/>
      <c r="B426" s="13"/>
      <c r="C426" s="13"/>
      <c r="D426" s="13"/>
      <c r="E426" s="13"/>
      <c r="F426" s="10"/>
      <c r="G426" s="10"/>
      <c r="H426" s="10"/>
      <c r="I426" s="10"/>
      <c r="J426" s="10"/>
      <c r="K426" s="10"/>
    </row>
    <row r="427" spans="1:11" s="9" customFormat="1" ht="13.2">
      <c r="A427" s="13"/>
      <c r="B427" s="13"/>
      <c r="C427" s="13"/>
      <c r="D427" s="13"/>
      <c r="E427" s="13"/>
      <c r="F427" s="12"/>
      <c r="G427" s="12"/>
      <c r="H427" s="12"/>
      <c r="I427" s="12"/>
      <c r="J427" s="12"/>
      <c r="K427" s="12"/>
    </row>
    <row r="428" spans="1:11" s="9" customFormat="1" ht="13.2">
      <c r="A428" s="13"/>
      <c r="B428" s="13"/>
      <c r="C428" s="13"/>
      <c r="D428" s="13"/>
      <c r="E428" s="13"/>
      <c r="F428" s="12"/>
      <c r="G428" s="12"/>
      <c r="H428" s="12"/>
      <c r="I428" s="12"/>
      <c r="J428" s="12"/>
      <c r="K428" s="12"/>
    </row>
    <row r="429" spans="1:11" s="9" customFormat="1" ht="13.2">
      <c r="A429" s="13"/>
      <c r="B429" s="13"/>
      <c r="C429" s="13"/>
      <c r="D429" s="13"/>
      <c r="E429" s="13"/>
      <c r="F429" s="12"/>
      <c r="G429" s="12"/>
      <c r="H429" s="12"/>
      <c r="I429" s="12"/>
      <c r="J429" s="12"/>
      <c r="K429" s="12"/>
    </row>
    <row r="430" spans="1:11" s="9" customFormat="1" ht="13.2">
      <c r="A430" s="13"/>
      <c r="B430" s="13"/>
      <c r="C430" s="13"/>
      <c r="D430" s="13"/>
      <c r="E430" s="13"/>
      <c r="F430" s="8"/>
      <c r="G430" s="8"/>
      <c r="H430" s="8"/>
      <c r="I430" s="8"/>
      <c r="J430" s="8"/>
      <c r="K430" s="8"/>
    </row>
    <row r="431" spans="1:11" s="9" customFormat="1" ht="13.2">
      <c r="A431" s="13"/>
      <c r="B431" s="13"/>
      <c r="C431" s="13"/>
      <c r="D431" s="13"/>
      <c r="E431" s="13"/>
      <c r="F431" s="8"/>
      <c r="G431" s="8"/>
      <c r="H431" s="8"/>
      <c r="I431" s="8"/>
      <c r="J431" s="8"/>
      <c r="K431" s="8"/>
    </row>
    <row r="432" spans="1:11" s="9" customFormat="1" ht="13.2">
      <c r="A432" s="13"/>
      <c r="B432" s="13"/>
      <c r="C432" s="13"/>
      <c r="D432" s="13"/>
      <c r="E432" s="13"/>
      <c r="F432" s="12"/>
      <c r="G432" s="12"/>
      <c r="H432" s="12"/>
      <c r="I432" s="12"/>
      <c r="J432" s="12"/>
      <c r="K432" s="12"/>
    </row>
    <row r="433" spans="1:11" s="9" customFormat="1" ht="13.2">
      <c r="A433" s="13"/>
      <c r="B433" s="13"/>
      <c r="C433" s="13"/>
      <c r="D433" s="13"/>
      <c r="E433" s="13"/>
      <c r="F433" s="12"/>
      <c r="G433" s="12"/>
      <c r="H433" s="12"/>
      <c r="I433" s="12"/>
      <c r="J433" s="12"/>
      <c r="K433" s="12"/>
    </row>
    <row r="434" spans="1:11" s="9" customFormat="1" ht="13.2">
      <c r="A434" s="13"/>
      <c r="B434" s="13"/>
      <c r="C434" s="13"/>
      <c r="D434" s="13"/>
      <c r="E434" s="13"/>
      <c r="F434" s="8"/>
      <c r="G434" s="8"/>
      <c r="H434" s="8"/>
      <c r="I434" s="8"/>
      <c r="J434" s="8"/>
      <c r="K434" s="8"/>
    </row>
    <row r="435" spans="1:11" s="9" customFormat="1" ht="13.2">
      <c r="A435" s="13"/>
      <c r="B435" s="13"/>
      <c r="C435" s="13"/>
      <c r="D435" s="13"/>
      <c r="E435" s="13"/>
      <c r="F435" s="8"/>
      <c r="G435" s="8"/>
      <c r="H435" s="8"/>
      <c r="I435" s="8"/>
      <c r="J435" s="8"/>
      <c r="K435" s="8"/>
    </row>
    <row r="436" spans="1:11" s="9" customFormat="1" ht="13.2">
      <c r="A436" s="13"/>
      <c r="B436" s="13"/>
      <c r="C436" s="13"/>
      <c r="D436" s="13"/>
      <c r="E436" s="13"/>
      <c r="F436" s="8"/>
      <c r="G436" s="8"/>
      <c r="H436" s="8"/>
      <c r="I436" s="8"/>
      <c r="J436" s="8"/>
      <c r="K436" s="8"/>
    </row>
    <row r="437" spans="1:11" s="9" customFormat="1" ht="13.2">
      <c r="A437" s="13"/>
      <c r="B437" s="13"/>
      <c r="C437" s="13"/>
      <c r="D437" s="13"/>
      <c r="E437" s="13"/>
      <c r="F437" s="8"/>
      <c r="G437" s="8"/>
      <c r="H437" s="8"/>
      <c r="I437" s="8"/>
      <c r="J437" s="8"/>
      <c r="K437" s="8"/>
    </row>
    <row r="438" spans="1:11" s="9" customFormat="1" ht="13.2">
      <c r="A438" s="13"/>
      <c r="B438" s="13"/>
      <c r="C438" s="13"/>
      <c r="D438" s="13"/>
      <c r="E438" s="13"/>
      <c r="F438" s="8"/>
      <c r="G438" s="8"/>
      <c r="H438" s="8"/>
      <c r="I438" s="8"/>
      <c r="J438" s="8"/>
      <c r="K438" s="8"/>
    </row>
    <row r="439" spans="1:11" s="9" customFormat="1" ht="13.2">
      <c r="A439" s="13"/>
      <c r="B439" s="13"/>
      <c r="C439" s="13"/>
      <c r="D439" s="13"/>
      <c r="E439" s="13"/>
      <c r="F439" s="8"/>
      <c r="G439" s="8"/>
      <c r="H439" s="8"/>
      <c r="I439" s="8"/>
      <c r="J439" s="8"/>
      <c r="K439" s="8"/>
    </row>
    <row r="440" spans="1:11" s="9" customFormat="1" ht="13.2">
      <c r="A440" s="13"/>
      <c r="B440" s="13"/>
      <c r="C440" s="13"/>
      <c r="D440" s="13"/>
      <c r="E440" s="13"/>
      <c r="F440" s="11"/>
      <c r="G440" s="11"/>
      <c r="H440" s="11"/>
      <c r="I440" s="11"/>
      <c r="J440" s="11"/>
      <c r="K440" s="11"/>
    </row>
    <row r="441" spans="1:11" s="9" customFormat="1" ht="13.2">
      <c r="A441" s="13"/>
      <c r="B441" s="13"/>
      <c r="C441" s="13"/>
      <c r="D441" s="13"/>
      <c r="E441" s="13"/>
      <c r="F441" s="11"/>
      <c r="G441" s="11"/>
      <c r="H441" s="11"/>
      <c r="I441" s="11"/>
      <c r="J441" s="11"/>
      <c r="K441" s="11"/>
    </row>
    <row r="442" spans="1:11" s="9" customFormat="1" ht="13.2">
      <c r="A442" s="13"/>
      <c r="B442" s="13"/>
      <c r="C442" s="13"/>
      <c r="D442" s="13"/>
      <c r="E442" s="13"/>
      <c r="F442" s="11"/>
      <c r="G442" s="11"/>
      <c r="H442" s="11"/>
      <c r="I442" s="11"/>
      <c r="J442" s="11"/>
      <c r="K442" s="11"/>
    </row>
    <row r="443" spans="1:11" s="9" customFormat="1" ht="13.2">
      <c r="A443" s="13"/>
      <c r="B443" s="13"/>
      <c r="C443" s="13"/>
      <c r="D443" s="13"/>
      <c r="E443" s="13"/>
      <c r="F443" s="11"/>
      <c r="G443" s="11"/>
      <c r="H443" s="11"/>
      <c r="I443" s="11"/>
      <c r="J443" s="11"/>
      <c r="K443" s="11"/>
    </row>
    <row r="444" spans="1:11" s="9" customFormat="1" ht="13.2">
      <c r="A444" s="15"/>
      <c r="B444" s="15"/>
      <c r="C444" s="15"/>
      <c r="D444" s="15"/>
      <c r="E444" s="15"/>
      <c r="F444" s="12"/>
      <c r="G444" s="12"/>
      <c r="H444" s="12"/>
      <c r="I444" s="12"/>
      <c r="J444" s="12"/>
      <c r="K444" s="12"/>
    </row>
    <row r="445" spans="1:11" s="9" customFormat="1" ht="13.2">
      <c r="A445" s="15"/>
      <c r="B445" s="15"/>
      <c r="C445" s="15"/>
      <c r="D445" s="15"/>
      <c r="E445" s="15"/>
      <c r="F445" s="11"/>
      <c r="G445" s="11"/>
      <c r="H445" s="11"/>
      <c r="I445" s="11"/>
      <c r="J445" s="11"/>
      <c r="K445" s="11"/>
    </row>
    <row r="446" spans="1:11" s="9" customFormat="1" ht="13.2">
      <c r="A446" s="15"/>
      <c r="B446" s="15"/>
      <c r="C446" s="15"/>
      <c r="D446" s="15"/>
      <c r="E446" s="15"/>
      <c r="F446" s="12"/>
      <c r="G446" s="12"/>
      <c r="H446" s="12"/>
      <c r="I446" s="12"/>
      <c r="J446" s="12"/>
      <c r="K446" s="12"/>
    </row>
    <row r="447" spans="1:11" s="9" customFormat="1" ht="13.2">
      <c r="A447" s="15"/>
      <c r="B447" s="15"/>
      <c r="C447" s="15"/>
      <c r="D447" s="15"/>
      <c r="E447" s="15"/>
      <c r="F447" s="12"/>
      <c r="G447" s="12"/>
      <c r="H447" s="12"/>
      <c r="I447" s="12"/>
      <c r="J447" s="12"/>
      <c r="K447" s="12"/>
    </row>
    <row r="448" spans="1:11" s="9" customFormat="1" ht="13.2">
      <c r="A448" s="15"/>
      <c r="B448" s="15"/>
      <c r="C448" s="15"/>
      <c r="D448" s="15"/>
      <c r="E448" s="15"/>
      <c r="F448" s="12"/>
      <c r="G448" s="12"/>
      <c r="H448" s="12"/>
      <c r="I448" s="12"/>
      <c r="J448" s="12"/>
      <c r="K448" s="12"/>
    </row>
    <row r="449" spans="1:11" s="9" customFormat="1" ht="13.2">
      <c r="A449" s="15"/>
      <c r="B449" s="15"/>
      <c r="C449" s="15"/>
      <c r="D449" s="15"/>
      <c r="E449" s="15"/>
      <c r="F449" s="12"/>
      <c r="G449" s="12"/>
      <c r="H449" s="12"/>
      <c r="I449" s="12"/>
      <c r="J449" s="12"/>
      <c r="K449" s="12"/>
    </row>
    <row r="450" spans="1:11" s="9" customFormat="1" ht="13.2">
      <c r="A450" s="15"/>
      <c r="B450" s="15"/>
      <c r="C450" s="15"/>
      <c r="D450" s="15"/>
      <c r="E450" s="15"/>
      <c r="F450" s="12"/>
      <c r="G450" s="12"/>
      <c r="H450" s="12"/>
      <c r="I450" s="12"/>
      <c r="J450" s="12"/>
      <c r="K450" s="12"/>
    </row>
    <row r="451" spans="1:11" s="9" customFormat="1" ht="13.2">
      <c r="A451" s="15"/>
      <c r="B451" s="15"/>
      <c r="C451" s="15"/>
      <c r="D451" s="15"/>
      <c r="E451" s="15"/>
      <c r="F451" s="12"/>
      <c r="G451" s="12"/>
      <c r="H451" s="12"/>
      <c r="I451" s="12"/>
      <c r="J451" s="12"/>
      <c r="K451" s="12"/>
    </row>
    <row r="452" spans="1:11" s="9" customFormat="1" ht="13.2">
      <c r="A452" s="15"/>
      <c r="B452" s="15"/>
      <c r="C452" s="15"/>
      <c r="D452" s="15"/>
      <c r="E452" s="15"/>
      <c r="F452" s="8"/>
      <c r="G452" s="8"/>
      <c r="H452" s="8"/>
      <c r="I452" s="8"/>
      <c r="J452" s="8"/>
      <c r="K452" s="8"/>
    </row>
    <row r="453" spans="1:11" s="9" customFormat="1" ht="13.2">
      <c r="A453" s="15"/>
      <c r="B453" s="15"/>
      <c r="C453" s="15"/>
      <c r="D453" s="15"/>
      <c r="E453" s="15"/>
      <c r="F453" s="12"/>
      <c r="G453" s="12"/>
      <c r="H453" s="12"/>
      <c r="I453" s="12"/>
      <c r="J453" s="12"/>
      <c r="K453" s="12"/>
    </row>
    <row r="454" spans="1:11" s="9" customFormat="1" ht="13.2">
      <c r="A454" s="15"/>
      <c r="B454" s="15"/>
      <c r="C454" s="15"/>
      <c r="D454" s="15"/>
      <c r="E454" s="15"/>
      <c r="F454" s="12"/>
      <c r="G454" s="12"/>
      <c r="H454" s="12"/>
      <c r="I454" s="12"/>
      <c r="J454" s="12"/>
      <c r="K454" s="12"/>
    </row>
    <row r="455" spans="1:11" s="9" customFormat="1" ht="13.2">
      <c r="A455" s="15"/>
      <c r="B455" s="15"/>
      <c r="C455" s="15"/>
      <c r="D455" s="15"/>
      <c r="E455" s="15"/>
      <c r="F455" s="12"/>
      <c r="G455" s="12"/>
      <c r="H455" s="12"/>
      <c r="I455" s="12"/>
      <c r="J455" s="12"/>
      <c r="K455" s="12"/>
    </row>
    <row r="456" spans="1:11" s="9" customFormat="1" ht="13.2">
      <c r="A456" s="15"/>
      <c r="B456" s="15"/>
      <c r="C456" s="15"/>
      <c r="D456" s="15"/>
      <c r="E456" s="15"/>
      <c r="F456" s="8"/>
      <c r="G456" s="8"/>
      <c r="H456" s="8"/>
      <c r="I456" s="8"/>
      <c r="J456" s="8"/>
      <c r="K456" s="8"/>
    </row>
    <row r="457" spans="1:11" s="9" customFormat="1" ht="13.2">
      <c r="A457" s="15"/>
      <c r="B457" s="15"/>
      <c r="C457" s="15"/>
      <c r="D457" s="15"/>
      <c r="E457" s="15"/>
      <c r="F457" s="8"/>
      <c r="G457" s="8"/>
      <c r="H457" s="8"/>
      <c r="I457" s="8"/>
      <c r="J457" s="8"/>
      <c r="K457" s="8"/>
    </row>
    <row r="458" spans="1:11" s="9" customFormat="1" ht="13.2">
      <c r="A458" s="15"/>
      <c r="B458" s="15"/>
      <c r="C458" s="15"/>
      <c r="D458" s="15"/>
      <c r="E458" s="15"/>
      <c r="F458" s="8"/>
      <c r="G458" s="8"/>
      <c r="H458" s="8"/>
      <c r="I458" s="8"/>
      <c r="J458" s="8"/>
      <c r="K458" s="8"/>
    </row>
    <row r="459" spans="1:11" s="9" customFormat="1" ht="13.2">
      <c r="A459" s="15"/>
      <c r="B459" s="15"/>
      <c r="C459" s="15"/>
      <c r="D459" s="15"/>
      <c r="E459" s="15"/>
      <c r="F459" s="8"/>
      <c r="G459" s="8"/>
      <c r="H459" s="8"/>
      <c r="I459" s="8"/>
      <c r="J459" s="8"/>
      <c r="K459" s="8"/>
    </row>
    <row r="460" spans="1:11" s="9" customFormat="1" ht="13.2">
      <c r="A460" s="15"/>
      <c r="B460" s="15"/>
      <c r="C460" s="15"/>
      <c r="D460" s="15"/>
      <c r="E460" s="15"/>
      <c r="F460" s="8"/>
      <c r="G460" s="8"/>
      <c r="H460" s="8"/>
      <c r="I460" s="8"/>
      <c r="J460" s="8"/>
      <c r="K460" s="8"/>
    </row>
    <row r="461" spans="1:11" s="9" customFormat="1" ht="13.2">
      <c r="A461" s="15"/>
      <c r="B461" s="15"/>
      <c r="C461" s="15"/>
      <c r="D461" s="15"/>
      <c r="E461" s="15"/>
      <c r="F461" s="8"/>
      <c r="G461" s="8"/>
      <c r="H461" s="8"/>
      <c r="I461" s="8"/>
      <c r="J461" s="8"/>
      <c r="K461" s="8"/>
    </row>
    <row r="462" spans="1:11" s="9" customFormat="1" ht="13.2">
      <c r="A462" s="15"/>
      <c r="B462" s="15"/>
      <c r="C462" s="15"/>
      <c r="D462" s="15"/>
      <c r="E462" s="15"/>
      <c r="F462" s="11"/>
      <c r="G462" s="11"/>
      <c r="H462" s="11"/>
      <c r="I462" s="11"/>
      <c r="J462" s="11"/>
      <c r="K462" s="11"/>
    </row>
    <row r="463" spans="1:11" s="9" customFormat="1" ht="13.2">
      <c r="A463" s="15"/>
      <c r="B463" s="15"/>
      <c r="C463" s="15"/>
      <c r="D463" s="15"/>
      <c r="E463" s="15"/>
      <c r="F463" s="11"/>
      <c r="G463" s="11"/>
      <c r="H463" s="11"/>
      <c r="I463" s="11"/>
      <c r="J463" s="11"/>
      <c r="K463" s="11"/>
    </row>
    <row r="464" spans="1:11" s="9" customFormat="1" ht="13.2">
      <c r="A464" s="15"/>
      <c r="B464" s="15"/>
      <c r="C464" s="15"/>
      <c r="D464" s="15"/>
      <c r="E464" s="15"/>
      <c r="F464" s="11"/>
      <c r="G464" s="11"/>
      <c r="H464" s="11"/>
      <c r="I464" s="11"/>
      <c r="J464" s="11"/>
      <c r="K464" s="11"/>
    </row>
    <row r="465" spans="1:11" s="9" customFormat="1" ht="13.2">
      <c r="A465" s="15"/>
      <c r="B465" s="15"/>
      <c r="C465" s="15"/>
      <c r="D465" s="15"/>
      <c r="E465" s="15"/>
      <c r="F465" s="11"/>
      <c r="G465" s="11"/>
      <c r="H465" s="11"/>
      <c r="I465" s="11"/>
      <c r="J465" s="11"/>
      <c r="K465" s="11"/>
    </row>
    <row r="466" spans="1:11" s="9" customFormat="1" ht="13.2">
      <c r="A466" s="15"/>
      <c r="B466" s="15"/>
      <c r="C466" s="15"/>
      <c r="D466" s="15"/>
      <c r="E466" s="15"/>
      <c r="F466" s="11"/>
      <c r="G466" s="11"/>
      <c r="H466" s="11"/>
      <c r="I466" s="11"/>
      <c r="J466" s="11"/>
      <c r="K466" s="11"/>
    </row>
    <row r="467" spans="1:11" s="9" customFormat="1" ht="13.2">
      <c r="A467" s="15"/>
      <c r="B467" s="15"/>
      <c r="C467" s="15"/>
      <c r="D467" s="15"/>
      <c r="E467" s="15"/>
      <c r="F467" s="11"/>
      <c r="G467" s="11"/>
      <c r="H467" s="11"/>
      <c r="I467" s="11"/>
      <c r="J467" s="11"/>
      <c r="K467" s="11"/>
    </row>
    <row r="468" spans="1:11" s="9" customFormat="1" ht="13.2">
      <c r="A468" s="15"/>
      <c r="B468" s="15"/>
      <c r="C468" s="15"/>
      <c r="D468" s="15"/>
      <c r="E468" s="15"/>
      <c r="F468" s="8"/>
      <c r="G468" s="8"/>
      <c r="H468" s="8"/>
      <c r="I468" s="8"/>
      <c r="J468" s="8"/>
      <c r="K468" s="8"/>
    </row>
    <row r="469" spans="1:11" s="9" customFormat="1" ht="13.2">
      <c r="A469" s="15"/>
      <c r="B469" s="15"/>
      <c r="C469" s="15"/>
      <c r="D469" s="15"/>
      <c r="E469" s="15"/>
      <c r="F469" s="8"/>
      <c r="G469" s="8"/>
      <c r="H469" s="8"/>
      <c r="I469" s="8"/>
      <c r="J469" s="8"/>
      <c r="K469" s="8"/>
    </row>
    <row r="470" spans="1:11" s="9" customFormat="1" ht="13.2">
      <c r="A470" s="15"/>
      <c r="B470" s="15"/>
      <c r="C470" s="15"/>
      <c r="D470" s="15"/>
      <c r="E470" s="15"/>
      <c r="F470" s="8"/>
      <c r="G470" s="8"/>
      <c r="H470" s="8"/>
      <c r="I470" s="8"/>
      <c r="J470" s="8"/>
      <c r="K470" s="8"/>
    </row>
    <row r="471" spans="1:11" s="9" customFormat="1" ht="13.2">
      <c r="A471" s="15"/>
      <c r="B471" s="15"/>
      <c r="C471" s="15"/>
      <c r="D471" s="15"/>
      <c r="E471" s="15"/>
      <c r="F471" s="8"/>
      <c r="G471" s="8"/>
      <c r="H471" s="8"/>
      <c r="I471" s="8"/>
      <c r="J471" s="8"/>
      <c r="K471" s="8"/>
    </row>
    <row r="472" spans="1:11" s="9" customFormat="1" ht="13.2">
      <c r="A472" s="15"/>
      <c r="B472" s="15"/>
      <c r="C472" s="15"/>
      <c r="D472" s="15"/>
      <c r="E472" s="15"/>
      <c r="F472" s="8"/>
      <c r="G472" s="8"/>
      <c r="H472" s="8"/>
      <c r="I472" s="8"/>
      <c r="J472" s="8"/>
      <c r="K472" s="8"/>
    </row>
    <row r="473" spans="1:11" s="9" customFormat="1" ht="13.2">
      <c r="A473" s="15"/>
      <c r="B473" s="15"/>
      <c r="C473" s="15"/>
      <c r="D473" s="15"/>
      <c r="E473" s="15"/>
      <c r="F473" s="8"/>
      <c r="G473" s="8"/>
      <c r="H473" s="8"/>
      <c r="I473" s="8"/>
      <c r="J473" s="8"/>
      <c r="K473" s="8"/>
    </row>
    <row r="474" spans="1:11" s="9" customFormat="1" ht="13.2">
      <c r="A474" s="15"/>
      <c r="B474" s="15"/>
      <c r="C474" s="15"/>
      <c r="D474" s="15"/>
      <c r="E474" s="15"/>
      <c r="F474" s="8"/>
      <c r="G474" s="8"/>
      <c r="H474" s="8"/>
      <c r="I474" s="8"/>
      <c r="J474" s="8"/>
      <c r="K474" s="8"/>
    </row>
    <row r="475" spans="1:11" s="9" customFormat="1" ht="13.2">
      <c r="A475" s="6"/>
      <c r="B475" s="6"/>
      <c r="C475" s="6"/>
      <c r="D475" s="6"/>
      <c r="E475" s="6"/>
      <c r="F475" s="12"/>
      <c r="G475" s="12"/>
      <c r="H475" s="12"/>
      <c r="I475" s="12"/>
      <c r="J475" s="12"/>
      <c r="K475" s="12"/>
    </row>
    <row r="476" spans="1:11" s="9" customFormat="1" ht="13.2">
      <c r="A476" s="6"/>
      <c r="B476" s="6"/>
      <c r="C476" s="6"/>
      <c r="D476" s="6"/>
      <c r="E476" s="6"/>
      <c r="F476" s="12"/>
      <c r="G476" s="12"/>
      <c r="H476" s="12"/>
      <c r="I476" s="12"/>
      <c r="J476" s="12"/>
      <c r="K476" s="12"/>
    </row>
    <row r="477" spans="1:11" s="9" customFormat="1" ht="13.2">
      <c r="A477" s="6"/>
      <c r="B477" s="6"/>
      <c r="C477" s="6"/>
      <c r="D477" s="6"/>
      <c r="E477" s="6"/>
      <c r="F477" s="11"/>
      <c r="G477" s="11"/>
      <c r="H477" s="11"/>
      <c r="I477" s="11"/>
      <c r="J477" s="11"/>
      <c r="K477" s="11"/>
    </row>
    <row r="478" spans="1:11" s="9" customFormat="1" ht="13.2">
      <c r="A478" s="6"/>
      <c r="B478" s="6"/>
      <c r="C478" s="6"/>
      <c r="D478" s="6"/>
      <c r="E478" s="6"/>
      <c r="F478" s="12"/>
      <c r="G478" s="12"/>
      <c r="H478" s="12"/>
      <c r="I478" s="12"/>
      <c r="J478" s="12"/>
      <c r="K478" s="12"/>
    </row>
    <row r="479" spans="1:11" s="9" customFormat="1" ht="13.2">
      <c r="A479" s="6"/>
      <c r="B479" s="6"/>
      <c r="C479" s="6"/>
      <c r="D479" s="6"/>
      <c r="E479" s="6"/>
      <c r="F479" s="8"/>
      <c r="G479" s="8"/>
      <c r="H479" s="8"/>
      <c r="I479" s="8"/>
      <c r="J479" s="8"/>
      <c r="K479" s="8"/>
    </row>
    <row r="480" spans="1:11" s="9" customFormat="1" ht="13.2">
      <c r="A480" s="6"/>
      <c r="B480" s="6"/>
      <c r="C480" s="6"/>
      <c r="D480" s="6"/>
      <c r="E480" s="6"/>
      <c r="F480" s="8"/>
      <c r="G480" s="8"/>
      <c r="H480" s="8"/>
      <c r="I480" s="8"/>
      <c r="J480" s="8"/>
      <c r="K480" s="8"/>
    </row>
    <row r="481" spans="1:11" s="9" customFormat="1" ht="13.2">
      <c r="A481" s="6"/>
      <c r="B481" s="6"/>
      <c r="C481" s="6"/>
      <c r="D481" s="6"/>
      <c r="E481" s="6"/>
      <c r="F481" s="11"/>
      <c r="G481" s="11"/>
      <c r="H481" s="11"/>
      <c r="I481" s="11"/>
      <c r="J481" s="11"/>
      <c r="K481" s="11"/>
    </row>
    <row r="482" spans="1:11" s="9" customFormat="1" ht="13.2">
      <c r="A482" s="6"/>
      <c r="B482" s="6"/>
      <c r="C482" s="6"/>
      <c r="D482" s="6"/>
      <c r="E482" s="6"/>
      <c r="F482" s="12"/>
      <c r="G482" s="12"/>
      <c r="H482" s="12"/>
      <c r="I482" s="12"/>
      <c r="J482" s="12"/>
      <c r="K482" s="12"/>
    </row>
    <row r="483" spans="1:11" s="9" customFormat="1" ht="13.2">
      <c r="A483" s="6"/>
      <c r="B483" s="6"/>
      <c r="C483" s="6"/>
      <c r="D483" s="6"/>
      <c r="E483" s="6"/>
      <c r="F483" s="11"/>
      <c r="G483" s="11"/>
      <c r="H483" s="11"/>
      <c r="I483" s="11"/>
      <c r="J483" s="11"/>
      <c r="K483" s="11"/>
    </row>
    <row r="484" spans="1:11" s="9" customFormat="1" ht="13.2">
      <c r="A484" s="6"/>
      <c r="B484" s="6"/>
      <c r="C484" s="6"/>
      <c r="D484" s="6"/>
      <c r="E484" s="6"/>
      <c r="F484" s="11"/>
      <c r="G484" s="11"/>
      <c r="H484" s="11"/>
      <c r="I484" s="11"/>
      <c r="J484" s="11"/>
      <c r="K484" s="11"/>
    </row>
    <row r="485" spans="1:11" s="9" customFormat="1" ht="13.2">
      <c r="A485" s="6"/>
      <c r="B485" s="6"/>
      <c r="C485" s="6"/>
      <c r="D485" s="6"/>
      <c r="E485" s="6"/>
      <c r="F485" s="11"/>
      <c r="G485" s="11"/>
      <c r="H485" s="11"/>
      <c r="I485" s="11"/>
      <c r="J485" s="11"/>
      <c r="K485" s="11"/>
    </row>
    <row r="486" spans="1:11" s="9" customFormat="1" ht="13.2">
      <c r="A486" s="6"/>
      <c r="B486" s="6"/>
      <c r="C486" s="6"/>
      <c r="D486" s="6"/>
      <c r="E486" s="6"/>
      <c r="F486" s="11"/>
      <c r="G486" s="11"/>
      <c r="H486" s="11"/>
      <c r="I486" s="11"/>
      <c r="J486" s="11"/>
      <c r="K486" s="11"/>
    </row>
    <row r="487" spans="1:11" s="9" customFormat="1" ht="13.2">
      <c r="A487" s="6"/>
      <c r="B487" s="6"/>
      <c r="C487" s="6"/>
      <c r="D487" s="6"/>
      <c r="E487" s="6"/>
      <c r="F487" s="11"/>
      <c r="G487" s="11"/>
      <c r="H487" s="11"/>
      <c r="I487" s="11"/>
      <c r="J487" s="11"/>
      <c r="K487" s="11"/>
    </row>
    <row r="488" spans="1:11" s="9" customFormat="1" ht="13.2">
      <c r="A488" s="6"/>
      <c r="B488" s="6"/>
      <c r="C488" s="6"/>
      <c r="D488" s="6"/>
      <c r="E488" s="6"/>
      <c r="F488" s="11"/>
      <c r="G488" s="11"/>
      <c r="H488" s="11"/>
      <c r="I488" s="11"/>
      <c r="J488" s="11"/>
      <c r="K488" s="11"/>
    </row>
    <row r="489" spans="1:11" s="9" customFormat="1" ht="13.2">
      <c r="A489" s="6"/>
      <c r="B489" s="6"/>
      <c r="C489" s="6"/>
      <c r="D489" s="6"/>
      <c r="E489" s="6"/>
      <c r="F489" s="11"/>
      <c r="G489" s="11"/>
      <c r="H489" s="11"/>
      <c r="I489" s="11"/>
      <c r="J489" s="11"/>
      <c r="K489" s="11"/>
    </row>
    <row r="490" spans="1:11" s="9" customFormat="1" ht="13.2">
      <c r="A490" s="6"/>
      <c r="B490" s="6"/>
      <c r="C490" s="6"/>
      <c r="D490" s="6"/>
      <c r="E490" s="6"/>
      <c r="F490" s="11"/>
      <c r="G490" s="11"/>
      <c r="H490" s="11"/>
      <c r="I490" s="11"/>
      <c r="J490" s="11"/>
      <c r="K490" s="11"/>
    </row>
    <row r="491" spans="1:11" s="9" customFormat="1" ht="13.2">
      <c r="A491" s="6"/>
      <c r="B491" s="6"/>
      <c r="C491" s="6"/>
      <c r="D491" s="6"/>
      <c r="E491" s="6"/>
      <c r="F491" s="8"/>
      <c r="G491" s="8"/>
      <c r="H491" s="8"/>
      <c r="I491" s="8"/>
      <c r="J491" s="8"/>
      <c r="K491" s="8"/>
    </row>
    <row r="492" spans="1:11" s="9" customFormat="1" ht="13.2">
      <c r="A492" s="6"/>
      <c r="B492" s="6"/>
      <c r="C492" s="6"/>
      <c r="D492" s="6"/>
      <c r="E492" s="6"/>
      <c r="F492" s="8"/>
      <c r="G492" s="8"/>
      <c r="H492" s="8"/>
      <c r="I492" s="8"/>
      <c r="J492" s="8"/>
      <c r="K492" s="8"/>
    </row>
    <row r="493" spans="1:11" s="9" customFormat="1" ht="13.2">
      <c r="A493" s="6"/>
      <c r="B493" s="6"/>
      <c r="C493" s="6"/>
      <c r="D493" s="6"/>
      <c r="E493" s="6"/>
      <c r="F493" s="8"/>
      <c r="G493" s="8"/>
      <c r="H493" s="8"/>
      <c r="I493" s="8"/>
      <c r="J493" s="8"/>
      <c r="K493" s="8"/>
    </row>
    <row r="494" spans="1:11" s="9" customFormat="1" ht="13.2">
      <c r="A494" s="6"/>
      <c r="B494" s="6"/>
      <c r="C494" s="6"/>
      <c r="D494" s="6"/>
      <c r="E494" s="6"/>
      <c r="F494" s="8"/>
      <c r="G494" s="8"/>
      <c r="H494" s="8"/>
      <c r="I494" s="8"/>
      <c r="J494" s="8"/>
      <c r="K494" s="8"/>
    </row>
    <row r="495" spans="1:11" s="9" customFormat="1" ht="13.2">
      <c r="A495" s="6"/>
      <c r="B495" s="6"/>
      <c r="C495" s="6"/>
      <c r="D495" s="6"/>
      <c r="E495" s="6"/>
      <c r="F495" s="8"/>
      <c r="G495" s="8"/>
      <c r="H495" s="8"/>
      <c r="I495" s="8"/>
      <c r="J495" s="8"/>
      <c r="K495" s="8"/>
    </row>
    <row r="496" spans="1:11" s="9" customFormat="1" ht="13.2">
      <c r="A496" s="6"/>
      <c r="B496" s="6"/>
      <c r="C496" s="6"/>
      <c r="D496" s="6"/>
      <c r="E496" s="6"/>
      <c r="F496" s="8"/>
      <c r="G496" s="8"/>
      <c r="H496" s="8"/>
      <c r="I496" s="8"/>
      <c r="J496" s="8"/>
      <c r="K496" s="8"/>
    </row>
    <row r="497" spans="1:11" s="9" customFormat="1" ht="13.2">
      <c r="A497" s="6"/>
      <c r="B497" s="6"/>
      <c r="C497" s="6"/>
      <c r="D497" s="6"/>
      <c r="E497" s="6"/>
      <c r="F497" s="12"/>
      <c r="G497" s="12"/>
      <c r="H497" s="12"/>
      <c r="I497" s="12"/>
      <c r="J497" s="12"/>
      <c r="K497" s="12"/>
    </row>
    <row r="498" spans="1:11" s="9" customFormat="1" ht="13.2">
      <c r="A498" s="6"/>
      <c r="B498" s="6"/>
      <c r="C498" s="6"/>
      <c r="D498" s="6"/>
      <c r="E498" s="6"/>
      <c r="F498" s="10"/>
      <c r="G498" s="10"/>
      <c r="H498" s="10"/>
      <c r="I498" s="10"/>
      <c r="J498" s="10"/>
      <c r="K498" s="10"/>
    </row>
    <row r="499" spans="1:11" s="9" customFormat="1" ht="13.2">
      <c r="A499" s="6"/>
      <c r="B499" s="6"/>
      <c r="C499" s="6"/>
      <c r="D499" s="6"/>
      <c r="E499" s="6"/>
      <c r="F499" s="12"/>
      <c r="G499" s="12"/>
      <c r="H499" s="12"/>
      <c r="I499" s="12"/>
      <c r="J499" s="12"/>
      <c r="K499" s="12"/>
    </row>
    <row r="500" spans="1:11" s="9" customFormat="1" ht="13.2">
      <c r="A500" s="6"/>
      <c r="B500" s="6"/>
      <c r="C500" s="6"/>
      <c r="D500" s="6"/>
      <c r="E500" s="6"/>
      <c r="F500" s="12"/>
      <c r="G500" s="12"/>
      <c r="H500" s="12"/>
      <c r="I500" s="12"/>
      <c r="J500" s="12"/>
      <c r="K500" s="12"/>
    </row>
    <row r="501" spans="1:11" s="9" customFormat="1" ht="13.2">
      <c r="A501" s="6"/>
      <c r="B501" s="6"/>
      <c r="C501" s="6"/>
      <c r="D501" s="6"/>
      <c r="E501" s="6"/>
      <c r="F501" s="8"/>
      <c r="G501" s="8"/>
      <c r="H501" s="8"/>
      <c r="I501" s="8"/>
      <c r="J501" s="8"/>
      <c r="K501" s="8"/>
    </row>
    <row r="502" spans="1:11" s="9" customFormat="1" ht="13.2">
      <c r="A502" s="6"/>
      <c r="B502" s="6"/>
      <c r="C502" s="6"/>
      <c r="D502" s="6"/>
      <c r="E502" s="6"/>
      <c r="F502" s="8"/>
      <c r="G502" s="8"/>
      <c r="H502" s="8"/>
      <c r="I502" s="8"/>
      <c r="J502" s="8"/>
      <c r="K502" s="8"/>
    </row>
    <row r="503" spans="1:11" s="9" customFormat="1" ht="13.2">
      <c r="A503" s="6"/>
      <c r="B503" s="6"/>
      <c r="C503" s="6"/>
      <c r="D503" s="6"/>
      <c r="E503" s="6"/>
      <c r="F503" s="8"/>
      <c r="G503" s="8"/>
      <c r="H503" s="8"/>
      <c r="I503" s="8"/>
      <c r="J503" s="8"/>
      <c r="K503" s="8"/>
    </row>
    <row r="504" spans="1:11" s="9" customFormat="1" ht="13.2">
      <c r="A504" s="6"/>
      <c r="B504" s="6"/>
      <c r="C504" s="6"/>
      <c r="D504" s="6"/>
      <c r="E504" s="6"/>
      <c r="F504" s="8"/>
      <c r="G504" s="8"/>
      <c r="H504" s="8"/>
      <c r="I504" s="8"/>
      <c r="J504" s="8"/>
      <c r="K504" s="8"/>
    </row>
    <row r="505" spans="1:11" s="9" customFormat="1" ht="13.2">
      <c r="A505" s="6"/>
      <c r="B505" s="6"/>
      <c r="C505" s="6"/>
      <c r="D505" s="6"/>
      <c r="E505" s="6"/>
      <c r="F505" s="11"/>
      <c r="G505" s="11"/>
      <c r="H505" s="11"/>
      <c r="I505" s="11"/>
      <c r="J505" s="11"/>
      <c r="K505" s="11"/>
    </row>
    <row r="506" spans="1:11" s="9" customFormat="1" ht="13.2">
      <c r="A506" s="6"/>
      <c r="B506" s="6"/>
      <c r="C506" s="6"/>
      <c r="D506" s="6"/>
      <c r="E506" s="6"/>
      <c r="F506" s="12"/>
      <c r="G506" s="12"/>
      <c r="H506" s="12"/>
      <c r="I506" s="12"/>
      <c r="J506" s="12"/>
      <c r="K506" s="12"/>
    </row>
    <row r="507" spans="1:11" s="9" customFormat="1" ht="13.2">
      <c r="A507" s="6"/>
      <c r="B507" s="6"/>
      <c r="C507" s="6"/>
      <c r="D507" s="6"/>
      <c r="E507" s="6"/>
      <c r="F507" s="10"/>
      <c r="G507" s="10"/>
      <c r="H507" s="10"/>
      <c r="I507" s="10"/>
      <c r="J507" s="10"/>
      <c r="K507" s="10"/>
    </row>
    <row r="508" spans="1:11" s="9" customFormat="1" ht="13.2">
      <c r="A508" s="6"/>
      <c r="B508" s="6"/>
      <c r="C508" s="6"/>
      <c r="D508" s="6"/>
      <c r="E508" s="6"/>
      <c r="F508" s="11"/>
      <c r="G508" s="11"/>
      <c r="H508" s="11"/>
      <c r="I508" s="11"/>
      <c r="J508" s="11"/>
      <c r="K508" s="11"/>
    </row>
    <row r="509" spans="1:11" s="9" customFormat="1" ht="13.2">
      <c r="A509" s="6"/>
      <c r="B509" s="6"/>
      <c r="C509" s="6"/>
      <c r="D509" s="6"/>
      <c r="E509" s="6"/>
      <c r="F509" s="8"/>
      <c r="G509" s="8"/>
      <c r="H509" s="8"/>
      <c r="I509" s="8"/>
      <c r="J509" s="8"/>
      <c r="K509" s="8"/>
    </row>
    <row r="510" spans="1:11" s="9" customFormat="1" ht="13.2">
      <c r="A510" s="6"/>
      <c r="B510" s="6"/>
      <c r="C510" s="6"/>
      <c r="D510" s="6"/>
      <c r="E510" s="6"/>
      <c r="F510" s="7"/>
      <c r="G510" s="7"/>
      <c r="H510" s="7"/>
      <c r="I510" s="7"/>
      <c r="J510" s="7"/>
      <c r="K510" s="7"/>
    </row>
    <row r="511" spans="1:11" s="9" customFormat="1" ht="13.2">
      <c r="A511" s="6"/>
      <c r="B511" s="6"/>
      <c r="C511" s="6"/>
      <c r="D511" s="6"/>
      <c r="E511" s="6"/>
      <c r="F511" s="7"/>
      <c r="G511" s="7"/>
      <c r="H511" s="7"/>
      <c r="I511" s="7"/>
      <c r="J511" s="7"/>
      <c r="K511" s="7"/>
    </row>
    <row r="512" spans="1:11" s="9" customFormat="1" ht="13.2">
      <c r="A512" s="6"/>
      <c r="B512" s="6"/>
      <c r="C512" s="6"/>
      <c r="D512" s="6"/>
      <c r="E512" s="6"/>
      <c r="F512" s="7"/>
      <c r="G512" s="7"/>
      <c r="H512" s="7"/>
      <c r="I512" s="7"/>
      <c r="J512" s="7"/>
      <c r="K512" s="7"/>
    </row>
    <row r="513" spans="1:11" s="9" customFormat="1" ht="13.2">
      <c r="A513" s="6"/>
      <c r="B513" s="6"/>
      <c r="C513" s="6"/>
      <c r="D513" s="6"/>
      <c r="E513" s="6"/>
      <c r="F513" s="7"/>
      <c r="G513" s="7"/>
      <c r="H513" s="7"/>
      <c r="I513" s="7"/>
      <c r="J513" s="7"/>
      <c r="K513" s="7"/>
    </row>
    <row r="514" spans="1:11" s="9" customFormat="1" ht="13.2">
      <c r="A514" s="6"/>
      <c r="B514" s="6"/>
      <c r="C514" s="6"/>
      <c r="D514" s="6"/>
      <c r="E514" s="6"/>
      <c r="F514" s="8"/>
      <c r="G514" s="8"/>
      <c r="H514" s="8"/>
      <c r="I514" s="8"/>
      <c r="J514" s="8"/>
      <c r="K514" s="8"/>
    </row>
    <row r="515" spans="1:11" s="9" customFormat="1" ht="13.2">
      <c r="A515" s="6"/>
      <c r="B515" s="6"/>
      <c r="C515" s="6"/>
      <c r="D515" s="6"/>
      <c r="E515" s="6"/>
      <c r="F515" s="8"/>
      <c r="G515" s="8"/>
      <c r="H515" s="8"/>
      <c r="I515" s="8"/>
      <c r="J515" s="8"/>
      <c r="K515" s="8"/>
    </row>
    <row r="516" spans="1:11" s="9" customFormat="1" ht="13.2">
      <c r="A516" s="6"/>
      <c r="B516" s="6"/>
      <c r="C516" s="6"/>
      <c r="D516" s="6"/>
      <c r="E516" s="6"/>
      <c r="F516" s="8"/>
      <c r="G516" s="8"/>
      <c r="H516" s="8"/>
      <c r="I516" s="8"/>
      <c r="J516" s="8"/>
      <c r="K516" s="8"/>
    </row>
    <row r="517" spans="1:11" s="9" customFormat="1" ht="13.2">
      <c r="A517" s="6"/>
      <c r="B517" s="6"/>
      <c r="C517" s="6"/>
      <c r="D517" s="6"/>
      <c r="E517" s="6"/>
      <c r="F517" s="8"/>
      <c r="G517" s="8"/>
      <c r="H517" s="8"/>
      <c r="I517" s="8"/>
      <c r="J517" s="8"/>
      <c r="K517" s="8"/>
    </row>
    <row r="518" spans="1:11" s="9" customFormat="1" ht="13.2">
      <c r="A518" s="6"/>
      <c r="B518" s="6"/>
      <c r="C518" s="6"/>
      <c r="D518" s="6"/>
      <c r="E518" s="6"/>
      <c r="F518" s="8"/>
      <c r="G518" s="8"/>
      <c r="H518" s="8"/>
      <c r="I518" s="8"/>
      <c r="J518" s="8"/>
      <c r="K518" s="8"/>
    </row>
    <row r="519" spans="1:11" s="9" customFormat="1" ht="13.2">
      <c r="A519" s="6"/>
      <c r="B519" s="6"/>
      <c r="C519" s="6"/>
      <c r="D519" s="6"/>
      <c r="E519" s="6"/>
      <c r="F519" s="8"/>
      <c r="G519" s="8"/>
      <c r="H519" s="8"/>
      <c r="I519" s="8"/>
      <c r="J519" s="8"/>
      <c r="K519" s="8"/>
    </row>
    <row r="520" spans="1:11" s="9" customFormat="1" ht="13.2">
      <c r="A520" s="6"/>
      <c r="B520" s="6"/>
      <c r="C520" s="6"/>
      <c r="D520" s="6"/>
      <c r="E520" s="6"/>
      <c r="F520" s="8"/>
      <c r="G520" s="8"/>
      <c r="H520" s="8"/>
      <c r="I520" s="8"/>
      <c r="J520" s="8"/>
      <c r="K520" s="8"/>
    </row>
    <row r="521" spans="1:11" s="9" customFormat="1" ht="13.2">
      <c r="A521" s="6"/>
      <c r="B521" s="6"/>
      <c r="C521" s="6"/>
      <c r="D521" s="6"/>
      <c r="E521" s="6"/>
      <c r="F521" s="8"/>
      <c r="G521" s="8"/>
      <c r="H521" s="8"/>
      <c r="I521" s="8"/>
      <c r="J521" s="8"/>
      <c r="K521" s="8"/>
    </row>
    <row r="522" spans="1:11" s="9" customFormat="1" ht="13.2">
      <c r="A522" s="6"/>
      <c r="B522" s="6"/>
      <c r="C522" s="6"/>
      <c r="D522" s="6"/>
      <c r="E522" s="6"/>
      <c r="F522" s="12"/>
      <c r="G522" s="12"/>
      <c r="H522" s="12"/>
      <c r="I522" s="12"/>
      <c r="J522" s="12"/>
      <c r="K522" s="12"/>
    </row>
    <row r="523" spans="1:11" s="9" customFormat="1" ht="13.2">
      <c r="A523" s="6"/>
      <c r="B523" s="6"/>
      <c r="C523" s="6"/>
      <c r="D523" s="6"/>
      <c r="E523" s="6"/>
      <c r="F523" s="11"/>
      <c r="G523" s="11"/>
      <c r="H523" s="11"/>
      <c r="I523" s="11"/>
      <c r="J523" s="11"/>
      <c r="K523" s="11"/>
    </row>
    <row r="524" spans="1:11" s="9" customFormat="1" ht="13.2">
      <c r="A524" s="6"/>
      <c r="B524" s="6"/>
      <c r="C524" s="6"/>
      <c r="D524" s="6"/>
      <c r="E524" s="6"/>
      <c r="F524" s="12"/>
      <c r="G524" s="12"/>
      <c r="H524" s="12"/>
      <c r="I524" s="12"/>
      <c r="J524" s="12"/>
      <c r="K524" s="12"/>
    </row>
    <row r="525" spans="1:11" s="9" customFormat="1" ht="13.2">
      <c r="A525" s="6"/>
      <c r="B525" s="6"/>
      <c r="C525" s="6"/>
      <c r="D525" s="6"/>
      <c r="E525" s="6"/>
      <c r="F525" s="8"/>
      <c r="G525" s="8"/>
      <c r="H525" s="8"/>
      <c r="I525" s="8"/>
      <c r="J525" s="8"/>
      <c r="K525" s="8"/>
    </row>
    <row r="526" spans="1:11" s="9" customFormat="1" ht="13.2">
      <c r="A526" s="6"/>
      <c r="B526" s="6"/>
      <c r="C526" s="6"/>
      <c r="D526" s="6"/>
      <c r="E526" s="6"/>
      <c r="F526" s="12"/>
      <c r="G526" s="12"/>
      <c r="H526" s="12"/>
      <c r="I526" s="12"/>
      <c r="J526" s="12"/>
      <c r="K526" s="12"/>
    </row>
    <row r="527" spans="1:11" s="9" customFormat="1" ht="13.2">
      <c r="A527" s="6"/>
      <c r="B527" s="6"/>
      <c r="C527" s="6"/>
      <c r="D527" s="6"/>
      <c r="E527" s="6"/>
      <c r="F527" s="8"/>
      <c r="G527" s="8"/>
      <c r="H527" s="8"/>
      <c r="I527" s="8"/>
      <c r="J527" s="8"/>
      <c r="K527" s="8"/>
    </row>
    <row r="528" spans="1:11" s="9" customFormat="1" ht="13.2">
      <c r="A528" s="6"/>
      <c r="B528" s="6"/>
      <c r="C528" s="6"/>
      <c r="D528" s="6"/>
      <c r="E528" s="6"/>
      <c r="F528" s="8"/>
      <c r="G528" s="8"/>
      <c r="H528" s="8"/>
      <c r="I528" s="8"/>
      <c r="J528" s="8"/>
      <c r="K528" s="8"/>
    </row>
    <row r="529" spans="1:11" s="9" customFormat="1" ht="13.2">
      <c r="A529" s="6"/>
      <c r="B529" s="6"/>
      <c r="C529" s="6"/>
      <c r="D529" s="6"/>
      <c r="E529" s="6"/>
      <c r="F529" s="12"/>
      <c r="G529" s="12"/>
      <c r="H529" s="12"/>
      <c r="I529" s="12"/>
      <c r="J529" s="12"/>
      <c r="K529" s="12"/>
    </row>
    <row r="530" spans="1:11" s="9" customFormat="1" ht="13.2">
      <c r="A530" s="6"/>
      <c r="B530" s="6"/>
      <c r="C530" s="6"/>
      <c r="D530" s="6"/>
      <c r="E530" s="6"/>
      <c r="F530" s="8"/>
      <c r="G530" s="8"/>
      <c r="H530" s="8"/>
      <c r="I530" s="8"/>
      <c r="J530" s="8"/>
      <c r="K530" s="8"/>
    </row>
    <row r="531" spans="1:11" s="9" customFormat="1" ht="13.2">
      <c r="A531" s="6"/>
      <c r="B531" s="6"/>
      <c r="C531" s="6"/>
      <c r="D531" s="6"/>
      <c r="E531" s="6"/>
      <c r="F531" s="8"/>
      <c r="G531" s="8"/>
      <c r="H531" s="8"/>
      <c r="I531" s="8"/>
      <c r="J531" s="8"/>
      <c r="K531" s="8"/>
    </row>
    <row r="532" spans="1:11" s="9" customFormat="1" ht="13.2">
      <c r="A532" s="6"/>
      <c r="B532" s="6"/>
      <c r="C532" s="6"/>
      <c r="D532" s="6"/>
      <c r="E532" s="6"/>
      <c r="F532" s="11"/>
      <c r="G532" s="11"/>
      <c r="H532" s="11"/>
      <c r="I532" s="11"/>
      <c r="J532" s="11"/>
      <c r="K532" s="11"/>
    </row>
    <row r="533" spans="1:11" s="9" customFormat="1" ht="13.2">
      <c r="A533" s="6"/>
      <c r="B533" s="6"/>
      <c r="C533" s="6"/>
      <c r="D533" s="6"/>
      <c r="E533" s="6"/>
      <c r="F533" s="8"/>
      <c r="G533" s="8"/>
      <c r="H533" s="8"/>
      <c r="I533" s="8"/>
      <c r="J533" s="8"/>
      <c r="K533" s="8"/>
    </row>
    <row r="534" spans="1:11" s="9" customFormat="1" ht="13.2">
      <c r="A534" s="6"/>
      <c r="B534" s="6"/>
      <c r="C534" s="6"/>
      <c r="D534" s="6"/>
      <c r="E534" s="6"/>
      <c r="F534" s="8"/>
      <c r="G534" s="8"/>
      <c r="H534" s="8"/>
      <c r="I534" s="8"/>
      <c r="J534" s="8"/>
      <c r="K534" s="8"/>
    </row>
    <row r="535" spans="1:11" s="9" customFormat="1" ht="13.2">
      <c r="A535" s="6"/>
      <c r="B535" s="6"/>
      <c r="C535" s="6"/>
      <c r="D535" s="6"/>
      <c r="E535" s="6"/>
      <c r="F535" s="8"/>
      <c r="G535" s="8"/>
      <c r="H535" s="8"/>
      <c r="I535" s="8"/>
      <c r="J535" s="8"/>
      <c r="K535" s="8"/>
    </row>
    <row r="536" spans="1:11" s="9" customFormat="1" ht="13.2">
      <c r="A536" s="6"/>
      <c r="B536" s="6"/>
      <c r="C536" s="6"/>
      <c r="D536" s="6"/>
      <c r="E536" s="6"/>
      <c r="F536" s="11"/>
      <c r="G536" s="11"/>
      <c r="H536" s="11"/>
      <c r="I536" s="11"/>
      <c r="J536" s="11"/>
      <c r="K536" s="11"/>
    </row>
    <row r="537" spans="1:11" s="9" customFormat="1" ht="13.2">
      <c r="A537" s="6"/>
      <c r="B537" s="6"/>
      <c r="C537" s="6"/>
      <c r="D537" s="6"/>
      <c r="E537" s="6"/>
      <c r="F537" s="8"/>
      <c r="G537" s="8"/>
      <c r="H537" s="8"/>
      <c r="I537" s="8"/>
      <c r="J537" s="8"/>
      <c r="K537" s="8"/>
    </row>
    <row r="538" spans="1:11" s="9" customFormat="1" ht="13.2">
      <c r="A538" s="6"/>
      <c r="B538" s="6"/>
      <c r="C538" s="6"/>
      <c r="D538" s="6"/>
      <c r="E538" s="6"/>
      <c r="F538" s="8"/>
      <c r="G538" s="8"/>
      <c r="H538" s="8"/>
      <c r="I538" s="8"/>
      <c r="J538" s="8"/>
      <c r="K538" s="8"/>
    </row>
    <row r="539" spans="1:11" s="9" customFormat="1" ht="13.2">
      <c r="A539" s="6"/>
      <c r="B539" s="6"/>
      <c r="C539" s="6"/>
      <c r="D539" s="6"/>
      <c r="E539" s="6"/>
      <c r="F539" s="8"/>
      <c r="G539" s="8"/>
      <c r="H539" s="8"/>
      <c r="I539" s="8"/>
      <c r="J539" s="8"/>
      <c r="K539" s="8"/>
    </row>
    <row r="540" spans="1:11" s="9" customFormat="1" ht="13.2">
      <c r="A540" s="6"/>
      <c r="B540" s="6"/>
      <c r="C540" s="6"/>
      <c r="D540" s="6"/>
      <c r="E540" s="6"/>
      <c r="F540" s="8"/>
      <c r="G540" s="8"/>
      <c r="H540" s="8"/>
      <c r="I540" s="8"/>
      <c r="J540" s="8"/>
      <c r="K540" s="8"/>
    </row>
    <row r="541" spans="1:11" s="9" customFormat="1" ht="13.2">
      <c r="A541" s="6"/>
      <c r="B541" s="6"/>
      <c r="C541" s="6"/>
      <c r="D541" s="6"/>
      <c r="E541" s="6"/>
      <c r="F541" s="8"/>
      <c r="G541" s="8"/>
      <c r="H541" s="8"/>
      <c r="I541" s="8"/>
      <c r="J541" s="8"/>
      <c r="K541" s="8"/>
    </row>
    <row r="542" spans="1:11" s="9" customFormat="1" ht="13.2">
      <c r="A542" s="6"/>
      <c r="B542" s="6"/>
      <c r="C542" s="6"/>
      <c r="D542" s="6"/>
      <c r="E542" s="6"/>
      <c r="F542" s="8"/>
      <c r="G542" s="8"/>
      <c r="H542" s="8"/>
      <c r="I542" s="8"/>
      <c r="J542" s="8"/>
      <c r="K542" s="8"/>
    </row>
    <row r="543" spans="1:11" s="9" customFormat="1" ht="13.2">
      <c r="A543" s="6"/>
      <c r="B543" s="6"/>
      <c r="C543" s="6"/>
      <c r="D543" s="6"/>
      <c r="E543" s="6"/>
      <c r="F543" s="10"/>
      <c r="G543" s="10"/>
      <c r="H543" s="10"/>
      <c r="I543" s="10"/>
      <c r="J543" s="10"/>
      <c r="K543" s="10"/>
    </row>
    <row r="544" spans="1:11" s="9" customFormat="1" ht="13.2">
      <c r="A544" s="6"/>
      <c r="B544" s="6"/>
      <c r="C544" s="6"/>
      <c r="D544" s="6"/>
      <c r="E544" s="6"/>
      <c r="F544" s="11"/>
      <c r="G544" s="11"/>
      <c r="H544" s="11"/>
      <c r="I544" s="11"/>
      <c r="J544" s="11"/>
      <c r="K544" s="11"/>
    </row>
    <row r="545" spans="1:11" s="9" customFormat="1" ht="13.2">
      <c r="A545" s="6"/>
      <c r="B545" s="6"/>
      <c r="C545" s="6"/>
      <c r="D545" s="6"/>
      <c r="E545" s="6"/>
      <c r="F545" s="8"/>
      <c r="G545" s="8"/>
      <c r="H545" s="8"/>
      <c r="I545" s="8"/>
      <c r="J545" s="8"/>
      <c r="K545" s="8"/>
    </row>
    <row r="546" spans="1:11" s="9" customFormat="1" ht="13.2">
      <c r="A546" s="6"/>
      <c r="B546" s="6"/>
      <c r="C546" s="6"/>
      <c r="D546" s="6"/>
      <c r="E546" s="6"/>
      <c r="F546" s="11"/>
      <c r="G546" s="11"/>
      <c r="H546" s="11"/>
      <c r="I546" s="11"/>
      <c r="J546" s="11"/>
      <c r="K546" s="11"/>
    </row>
    <row r="547" spans="1:11" s="9" customFormat="1" ht="13.2">
      <c r="A547" s="6"/>
      <c r="B547" s="6"/>
      <c r="C547" s="6"/>
      <c r="D547" s="6"/>
      <c r="E547" s="6"/>
      <c r="F547" s="8"/>
      <c r="G547" s="8"/>
      <c r="H547" s="8"/>
      <c r="I547" s="8"/>
      <c r="J547" s="8"/>
      <c r="K547" s="8"/>
    </row>
    <row r="548" spans="1:11" s="9" customFormat="1" ht="13.2">
      <c r="A548" s="6"/>
      <c r="B548" s="6"/>
      <c r="C548" s="6"/>
      <c r="D548" s="6"/>
      <c r="E548" s="6"/>
      <c r="F548" s="8"/>
      <c r="G548" s="8"/>
      <c r="H548" s="8"/>
      <c r="I548" s="8"/>
      <c r="J548" s="8"/>
      <c r="K548" s="8"/>
    </row>
    <row r="549" spans="1:11" s="9" customFormat="1" ht="13.2">
      <c r="A549" s="6"/>
      <c r="B549" s="6"/>
      <c r="C549" s="6"/>
      <c r="D549" s="6"/>
      <c r="E549" s="6"/>
      <c r="F549" s="11"/>
      <c r="G549" s="11"/>
      <c r="H549" s="11"/>
      <c r="I549" s="11"/>
      <c r="J549" s="11"/>
      <c r="K549" s="11"/>
    </row>
    <row r="550" spans="1:11" s="9" customFormat="1" ht="13.2">
      <c r="A550" s="6"/>
      <c r="B550" s="6"/>
      <c r="C550" s="6"/>
      <c r="D550" s="6"/>
      <c r="E550" s="6"/>
      <c r="F550" s="11"/>
      <c r="G550" s="11"/>
      <c r="H550" s="11"/>
      <c r="I550" s="11"/>
      <c r="J550" s="11"/>
      <c r="K550" s="11"/>
    </row>
    <row r="551" spans="1:11" s="9" customFormat="1" ht="13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spans="1:11" s="9" customFormat="1" ht="13.2">
      <c r="A552" s="6"/>
      <c r="B552" s="6"/>
      <c r="C552" s="6"/>
      <c r="D552" s="6"/>
      <c r="E552" s="6"/>
      <c r="F552" s="11"/>
      <c r="G552" s="11"/>
      <c r="H552" s="11"/>
      <c r="I552" s="11"/>
      <c r="J552" s="11"/>
      <c r="K552" s="11"/>
    </row>
    <row r="553" spans="1:11" s="9" customFormat="1" ht="13.2">
      <c r="A553" s="6"/>
      <c r="B553" s="6"/>
      <c r="C553" s="6"/>
      <c r="D553" s="6"/>
      <c r="E553" s="6"/>
      <c r="F553" s="11"/>
      <c r="G553" s="11"/>
      <c r="H553" s="11"/>
      <c r="I553" s="11"/>
      <c r="J553" s="11"/>
      <c r="K553" s="11"/>
    </row>
    <row r="554" spans="1:11" s="9" customFormat="1" ht="13.2">
      <c r="A554" s="6"/>
      <c r="B554" s="6"/>
      <c r="C554" s="6"/>
      <c r="D554" s="6"/>
      <c r="E554" s="6"/>
      <c r="F554" s="8"/>
      <c r="G554" s="8"/>
      <c r="H554" s="8"/>
      <c r="I554" s="8"/>
      <c r="J554" s="8"/>
      <c r="K554" s="8"/>
    </row>
    <row r="555" spans="1:11" s="9" customFormat="1" ht="13.2">
      <c r="A555" s="6"/>
      <c r="B555" s="6"/>
      <c r="C555" s="6"/>
      <c r="D555" s="6"/>
      <c r="E555" s="6"/>
      <c r="F555" s="8"/>
      <c r="G555" s="8"/>
      <c r="H555" s="8"/>
      <c r="I555" s="8"/>
      <c r="J555" s="8"/>
      <c r="K555" s="8"/>
    </row>
    <row r="556" spans="1:11" s="9" customFormat="1" ht="13.2">
      <c r="A556" s="6"/>
      <c r="B556" s="6"/>
      <c r="C556" s="6"/>
      <c r="D556" s="6"/>
      <c r="E556" s="6"/>
      <c r="F556" s="8"/>
      <c r="G556" s="8"/>
      <c r="H556" s="8"/>
      <c r="I556" s="8"/>
      <c r="J556" s="8"/>
      <c r="K556" s="8"/>
    </row>
    <row r="557" spans="1:11" s="9" customFormat="1" ht="13.2">
      <c r="A557" s="6"/>
      <c r="B557" s="6"/>
      <c r="C557" s="6"/>
      <c r="D557" s="6"/>
      <c r="E557" s="6"/>
      <c r="F557" s="8"/>
      <c r="G557" s="8"/>
      <c r="H557" s="8"/>
      <c r="I557" s="8"/>
      <c r="J557" s="8"/>
      <c r="K557" s="8"/>
    </row>
    <row r="558" spans="1:11" s="9" customFormat="1" ht="13.2">
      <c r="A558" s="6"/>
      <c r="B558" s="6"/>
      <c r="C558" s="6"/>
      <c r="D558" s="6"/>
      <c r="E558" s="6"/>
      <c r="F558" s="8"/>
      <c r="G558" s="8"/>
      <c r="H558" s="8"/>
      <c r="I558" s="8"/>
      <c r="J558" s="8"/>
      <c r="K558" s="8"/>
    </row>
    <row r="559" spans="1:11" s="9" customFormat="1" ht="13.2">
      <c r="A559" s="6"/>
      <c r="B559" s="6"/>
      <c r="C559" s="6"/>
      <c r="D559" s="6"/>
      <c r="E559" s="6"/>
      <c r="F559" s="7"/>
      <c r="G559" s="7"/>
      <c r="H559" s="7"/>
      <c r="I559" s="7"/>
      <c r="J559" s="7"/>
      <c r="K559" s="7"/>
    </row>
    <row r="560" spans="1:11" s="9" customFormat="1" ht="13.2">
      <c r="A560" s="6"/>
      <c r="B560" s="6"/>
      <c r="C560" s="6"/>
      <c r="D560" s="6"/>
      <c r="E560" s="6"/>
      <c r="F560" s="7"/>
      <c r="G560" s="7"/>
      <c r="H560" s="7"/>
      <c r="I560" s="7"/>
      <c r="J560" s="7"/>
      <c r="K560" s="7"/>
    </row>
    <row r="561" spans="1:11" s="9" customFormat="1" ht="13.2">
      <c r="A561" s="6"/>
      <c r="B561" s="6"/>
      <c r="C561" s="6"/>
      <c r="D561" s="6"/>
      <c r="E561" s="6"/>
      <c r="F561" s="8"/>
      <c r="G561" s="8"/>
      <c r="H561" s="8"/>
      <c r="I561" s="8"/>
      <c r="J561" s="8"/>
      <c r="K561" s="8"/>
    </row>
    <row r="562" spans="1:11" s="9" customFormat="1" ht="13.2">
      <c r="A562" s="6"/>
      <c r="B562" s="6"/>
      <c r="C562" s="6"/>
      <c r="D562" s="6"/>
      <c r="E562" s="6"/>
      <c r="F562" s="11"/>
      <c r="G562" s="11"/>
      <c r="H562" s="11"/>
      <c r="I562" s="11"/>
      <c r="J562" s="11"/>
      <c r="K562" s="11"/>
    </row>
    <row r="563" spans="1:11" s="9" customFormat="1" ht="13.2">
      <c r="A563" s="6"/>
      <c r="B563" s="6"/>
      <c r="C563" s="6"/>
      <c r="D563" s="6"/>
      <c r="E563" s="6"/>
      <c r="F563" s="7"/>
      <c r="G563" s="7"/>
      <c r="H563" s="7"/>
      <c r="I563" s="7"/>
      <c r="J563" s="7"/>
      <c r="K563" s="7"/>
    </row>
    <row r="564" spans="1:11" s="9" customFormat="1" ht="13.2">
      <c r="A564" s="6"/>
      <c r="B564" s="6"/>
      <c r="C564" s="6"/>
      <c r="D564" s="6"/>
      <c r="E564" s="6"/>
      <c r="F564" s="8"/>
      <c r="G564" s="8"/>
      <c r="H564" s="8"/>
      <c r="I564" s="8"/>
      <c r="J564" s="8"/>
      <c r="K564" s="8"/>
    </row>
    <row r="565" spans="1:11" s="9" customFormat="1" ht="13.2">
      <c r="A565" s="6"/>
      <c r="B565" s="6"/>
      <c r="C565" s="6"/>
      <c r="D565" s="6"/>
      <c r="E565" s="6"/>
      <c r="F565" s="7"/>
      <c r="G565" s="7"/>
      <c r="H565" s="7"/>
      <c r="I565" s="7"/>
      <c r="J565" s="7"/>
      <c r="K565" s="7"/>
    </row>
    <row r="566" spans="1:11" s="9" customFormat="1" ht="13.2">
      <c r="A566" s="6"/>
      <c r="B566" s="6"/>
      <c r="C566" s="6"/>
      <c r="D566" s="6"/>
      <c r="E566" s="6"/>
      <c r="F566" s="7"/>
      <c r="G566" s="7"/>
      <c r="H566" s="7"/>
      <c r="I566" s="7"/>
      <c r="J566" s="7"/>
      <c r="K566" s="7"/>
    </row>
    <row r="567" spans="1:11" s="9" customFormat="1" ht="13.2">
      <c r="A567" s="6"/>
      <c r="B567" s="6"/>
      <c r="C567" s="6"/>
      <c r="D567" s="6"/>
      <c r="E567" s="6"/>
      <c r="F567" s="8"/>
      <c r="G567" s="8"/>
      <c r="H567" s="8"/>
      <c r="I567" s="8"/>
      <c r="J567" s="8"/>
      <c r="K567" s="8"/>
    </row>
    <row r="568" spans="1:11" s="9" customFormat="1" ht="13.2">
      <c r="A568" s="6"/>
      <c r="B568" s="6"/>
      <c r="C568" s="6"/>
      <c r="D568" s="6"/>
      <c r="E568" s="6"/>
      <c r="F568" s="8"/>
      <c r="G568" s="8"/>
      <c r="H568" s="8"/>
      <c r="I568" s="8"/>
      <c r="J568" s="8"/>
      <c r="K568" s="8"/>
    </row>
    <row r="569" spans="1:11" s="9" customFormat="1" ht="13.2">
      <c r="A569" s="6"/>
      <c r="B569" s="6"/>
      <c r="C569" s="6"/>
      <c r="D569" s="6"/>
      <c r="E569" s="6"/>
      <c r="F569" s="8"/>
      <c r="G569" s="8"/>
      <c r="H569" s="8"/>
      <c r="I569" s="8"/>
      <c r="J569" s="8"/>
      <c r="K569" s="8"/>
    </row>
    <row r="570" spans="1:11" s="9" customFormat="1" ht="13.2">
      <c r="A570" s="6"/>
      <c r="B570" s="6"/>
      <c r="C570" s="6"/>
      <c r="D570" s="6"/>
      <c r="E570" s="6"/>
      <c r="F570" s="8"/>
      <c r="G570" s="8"/>
      <c r="H570" s="8"/>
      <c r="I570" s="8"/>
      <c r="J570" s="8"/>
      <c r="K570" s="8"/>
    </row>
    <row r="571" spans="1:11" s="9" customFormat="1" ht="13.2">
      <c r="A571" s="6"/>
      <c r="B571" s="6"/>
      <c r="C571" s="6"/>
      <c r="D571" s="6"/>
      <c r="E571" s="6"/>
      <c r="F571" s="8"/>
      <c r="G571" s="8"/>
      <c r="H571" s="8"/>
      <c r="I571" s="8"/>
      <c r="J571" s="8"/>
      <c r="K571" s="8"/>
    </row>
    <row r="572" spans="1:11" s="9" customFormat="1" ht="13.2">
      <c r="A572" s="6"/>
      <c r="B572" s="6"/>
      <c r="C572" s="6"/>
      <c r="D572" s="6"/>
      <c r="E572" s="6"/>
      <c r="F572" s="8"/>
      <c r="G572" s="8"/>
      <c r="H572" s="8"/>
      <c r="I572" s="8"/>
      <c r="J572" s="8"/>
      <c r="K572" s="8"/>
    </row>
    <row r="573" spans="1:11" s="9" customFormat="1" ht="13.2">
      <c r="A573" s="6"/>
      <c r="B573" s="6"/>
      <c r="C573" s="6"/>
      <c r="D573" s="6"/>
      <c r="E573" s="6"/>
      <c r="F573" s="8"/>
      <c r="G573" s="8"/>
      <c r="H573" s="8"/>
      <c r="I573" s="8"/>
      <c r="J573" s="8"/>
      <c r="K573" s="8"/>
    </row>
    <row r="574" spans="1:11" s="9" customFormat="1" ht="13.2">
      <c r="A574" s="6"/>
      <c r="B574" s="6"/>
      <c r="C574" s="6"/>
      <c r="D574" s="6"/>
      <c r="E574" s="6"/>
      <c r="F574" s="7"/>
      <c r="G574" s="7"/>
      <c r="H574" s="7"/>
      <c r="I574" s="7"/>
      <c r="J574" s="7"/>
      <c r="K574" s="7"/>
    </row>
    <row r="575" spans="1:11" s="9" customFormat="1" ht="13.2">
      <c r="A575" s="6"/>
      <c r="B575" s="6"/>
      <c r="C575" s="6"/>
      <c r="D575" s="6"/>
      <c r="E575" s="6"/>
      <c r="F575" s="7"/>
      <c r="G575" s="7"/>
      <c r="H575" s="7"/>
      <c r="I575" s="7"/>
      <c r="J575" s="7"/>
      <c r="K575" s="7"/>
    </row>
    <row r="576" spans="1:11" s="9" customFormat="1" ht="13.2">
      <c r="A576" s="6"/>
      <c r="B576" s="6"/>
      <c r="C576" s="6"/>
      <c r="D576" s="6"/>
      <c r="E576" s="6"/>
      <c r="F576" s="8"/>
      <c r="G576" s="8"/>
      <c r="H576" s="8"/>
      <c r="I576" s="8"/>
      <c r="J576" s="8"/>
      <c r="K576" s="8"/>
    </row>
    <row r="577" spans="1:11" s="9" customFormat="1" ht="13.2">
      <c r="A577" s="6"/>
      <c r="B577" s="6"/>
      <c r="C577" s="6"/>
      <c r="D577" s="6"/>
      <c r="E577" s="6"/>
      <c r="F577" s="8"/>
      <c r="G577" s="8"/>
      <c r="H577" s="8"/>
      <c r="I577" s="8"/>
      <c r="J577" s="8"/>
      <c r="K577" s="8"/>
    </row>
    <row r="578" spans="1:11" s="9" customFormat="1" ht="13.2">
      <c r="A578" s="6"/>
      <c r="B578" s="6"/>
      <c r="C578" s="6"/>
      <c r="D578" s="6"/>
      <c r="E578" s="6"/>
      <c r="F578" s="8"/>
      <c r="G578" s="8"/>
      <c r="H578" s="8"/>
      <c r="I578" s="8"/>
      <c r="J578" s="8"/>
      <c r="K578" s="8"/>
    </row>
    <row r="579" spans="1:11" s="9" customFormat="1" ht="13.2">
      <c r="A579" s="6"/>
      <c r="B579" s="6"/>
      <c r="C579" s="6"/>
      <c r="D579" s="6"/>
      <c r="E579" s="6"/>
      <c r="F579" s="8"/>
      <c r="G579" s="8"/>
      <c r="H579" s="8"/>
      <c r="I579" s="8"/>
      <c r="J579" s="8"/>
      <c r="K579" s="8"/>
    </row>
    <row r="580" spans="1:11" s="9" customFormat="1" ht="13.2">
      <c r="A580" s="6"/>
      <c r="B580" s="6"/>
      <c r="C580" s="6"/>
      <c r="D580" s="6"/>
      <c r="E580" s="6"/>
      <c r="F580" s="8"/>
      <c r="G580" s="8"/>
      <c r="H580" s="8"/>
      <c r="I580" s="8"/>
      <c r="J580" s="8"/>
      <c r="K580" s="8"/>
    </row>
    <row r="581" spans="1:11" s="9" customFormat="1" ht="13.2">
      <c r="A581" s="6"/>
      <c r="B581" s="6"/>
      <c r="C581" s="6"/>
      <c r="D581" s="6"/>
      <c r="E581" s="6"/>
      <c r="F581" s="8"/>
      <c r="G581" s="8"/>
      <c r="H581" s="8"/>
      <c r="I581" s="8"/>
      <c r="J581" s="8"/>
      <c r="K581" s="8"/>
    </row>
    <row r="582" spans="1:11" s="9" customFormat="1" ht="13.2">
      <c r="A582" s="6"/>
      <c r="B582" s="6"/>
      <c r="C582" s="6"/>
      <c r="D582" s="6"/>
      <c r="E582" s="6"/>
      <c r="F582" s="8"/>
      <c r="G582" s="8"/>
      <c r="H582" s="8"/>
      <c r="I582" s="8"/>
      <c r="J582" s="8"/>
      <c r="K582" s="8"/>
    </row>
    <row r="583" spans="1:11" s="9" customFormat="1" ht="13.2">
      <c r="A583" s="6"/>
      <c r="B583" s="6"/>
      <c r="C583" s="6"/>
      <c r="D583" s="6"/>
      <c r="E583" s="6"/>
      <c r="F583" s="8"/>
      <c r="G583" s="8"/>
      <c r="H583" s="8"/>
      <c r="I583" s="8"/>
      <c r="J583" s="8"/>
      <c r="K583" s="8"/>
    </row>
    <row r="584" spans="1:11" s="9" customFormat="1" ht="13.2">
      <c r="A584" s="6"/>
      <c r="B584" s="6"/>
      <c r="C584" s="6"/>
      <c r="D584" s="6"/>
      <c r="E584" s="6"/>
      <c r="F584" s="8"/>
      <c r="G584" s="8"/>
      <c r="H584" s="8"/>
      <c r="I584" s="8"/>
      <c r="J584" s="8"/>
      <c r="K584" s="8"/>
    </row>
    <row r="585" spans="1:11" s="9" customFormat="1" ht="13.2">
      <c r="A585" s="6"/>
      <c r="B585" s="6"/>
      <c r="C585" s="6"/>
      <c r="D585" s="6"/>
      <c r="E585" s="6"/>
      <c r="F585" s="8"/>
      <c r="G585" s="8"/>
      <c r="H585" s="8"/>
      <c r="I585" s="8"/>
      <c r="J585" s="8"/>
      <c r="K585" s="8"/>
    </row>
    <row r="586" spans="1:11" s="9" customFormat="1" ht="13.2">
      <c r="A586" s="6"/>
      <c r="B586" s="6"/>
      <c r="C586" s="6"/>
      <c r="D586" s="6"/>
      <c r="E586" s="6"/>
      <c r="F586" s="8"/>
      <c r="G586" s="8"/>
      <c r="H586" s="8"/>
      <c r="I586" s="8"/>
      <c r="J586" s="8"/>
      <c r="K586" s="8"/>
    </row>
    <row r="587" spans="1:11" s="9" customFormat="1" ht="13.2">
      <c r="A587" s="6"/>
      <c r="B587" s="6"/>
      <c r="C587" s="6"/>
      <c r="D587" s="6"/>
      <c r="E587" s="6"/>
      <c r="F587" s="8"/>
      <c r="G587" s="8"/>
      <c r="H587" s="8"/>
      <c r="I587" s="8"/>
      <c r="J587" s="8"/>
      <c r="K587" s="8"/>
    </row>
    <row r="588" spans="1:11" s="9" customFormat="1" ht="13.2">
      <c r="A588" s="6"/>
      <c r="B588" s="6"/>
      <c r="C588" s="6"/>
      <c r="D588" s="6"/>
      <c r="E588" s="6"/>
      <c r="F588" s="8"/>
      <c r="G588" s="8"/>
      <c r="H588" s="8"/>
      <c r="I588" s="8"/>
      <c r="J588" s="8"/>
      <c r="K588" s="8"/>
    </row>
    <row r="589" spans="1:11" s="9" customFormat="1" ht="13.2">
      <c r="A589" s="6"/>
      <c r="B589" s="6"/>
      <c r="C589" s="6"/>
      <c r="D589" s="6"/>
      <c r="E589" s="6"/>
      <c r="F589" s="8"/>
      <c r="G589" s="8"/>
      <c r="H589" s="8"/>
      <c r="I589" s="8"/>
      <c r="J589" s="8"/>
      <c r="K589" s="8"/>
    </row>
    <row r="590" spans="1:11" s="9" customFormat="1" ht="13.2">
      <c r="A590" s="6"/>
      <c r="B590" s="6"/>
      <c r="C590" s="6"/>
      <c r="D590" s="6"/>
      <c r="E590" s="6"/>
      <c r="F590" s="8"/>
      <c r="G590" s="8"/>
      <c r="H590" s="8"/>
      <c r="I590" s="8"/>
      <c r="J590" s="8"/>
      <c r="K590" s="8"/>
    </row>
    <row r="591" spans="1:11" s="9" customFormat="1" ht="13.2">
      <c r="A591" s="6"/>
      <c r="B591" s="6"/>
      <c r="C591" s="6"/>
      <c r="D591" s="6"/>
      <c r="E591" s="6"/>
      <c r="F591" s="8"/>
      <c r="G591" s="8"/>
      <c r="H591" s="8"/>
      <c r="I591" s="8"/>
      <c r="J591" s="8"/>
      <c r="K591" s="8"/>
    </row>
    <row r="592" spans="1:11" s="9" customFormat="1" ht="13.2">
      <c r="A592" s="6"/>
      <c r="B592" s="6"/>
      <c r="C592" s="6"/>
      <c r="D592" s="6"/>
      <c r="E592" s="6"/>
      <c r="F592" s="8"/>
      <c r="G592" s="8"/>
      <c r="H592" s="8"/>
      <c r="I592" s="8"/>
      <c r="J592" s="8"/>
      <c r="K592" s="8"/>
    </row>
    <row r="593" spans="1:11" s="9" customFormat="1" ht="13.2">
      <c r="A593" s="6"/>
      <c r="B593" s="6"/>
      <c r="C593" s="6"/>
      <c r="D593" s="6"/>
      <c r="E593" s="6"/>
      <c r="F593" s="8"/>
      <c r="G593" s="8"/>
      <c r="H593" s="8"/>
      <c r="I593" s="8"/>
      <c r="J593" s="8"/>
      <c r="K593" s="8"/>
    </row>
    <row r="594" spans="1:11" s="9" customFormat="1" ht="13.2">
      <c r="A594" s="6"/>
      <c r="B594" s="6"/>
      <c r="C594" s="6"/>
      <c r="D594" s="6"/>
      <c r="E594" s="6"/>
      <c r="F594" s="8"/>
      <c r="G594" s="8"/>
      <c r="H594" s="8"/>
      <c r="I594" s="8"/>
      <c r="J594" s="8"/>
      <c r="K594" s="8"/>
    </row>
    <row r="595" spans="1:11" s="9" customFormat="1" ht="13.2">
      <c r="A595" s="6"/>
      <c r="B595" s="6"/>
      <c r="C595" s="6"/>
      <c r="D595" s="6"/>
      <c r="E595" s="6"/>
      <c r="F595" s="8"/>
      <c r="G595" s="8"/>
      <c r="H595" s="8"/>
      <c r="I595" s="8"/>
      <c r="J595" s="8"/>
      <c r="K595" s="8"/>
    </row>
    <row r="596" spans="1:11" s="9" customFormat="1" ht="13.2">
      <c r="A596" s="6"/>
      <c r="B596" s="6"/>
      <c r="C596" s="6"/>
      <c r="D596" s="6"/>
      <c r="E596" s="6"/>
      <c r="F596" s="8"/>
      <c r="G596" s="8"/>
      <c r="H596" s="8"/>
      <c r="I596" s="8"/>
      <c r="J596" s="8"/>
      <c r="K596" s="8"/>
    </row>
    <row r="597" spans="1:11" s="9" customFormat="1" ht="13.2">
      <c r="A597" s="6"/>
      <c r="B597" s="6"/>
      <c r="C597" s="6"/>
      <c r="D597" s="6"/>
      <c r="E597" s="6"/>
      <c r="F597" s="8"/>
      <c r="G597" s="8"/>
      <c r="H597" s="8"/>
      <c r="I597" s="8"/>
      <c r="J597" s="8"/>
      <c r="K597" s="8"/>
    </row>
    <row r="598" spans="1:11" s="9" customFormat="1" ht="13.2">
      <c r="A598" s="6"/>
      <c r="B598" s="6"/>
      <c r="C598" s="6"/>
      <c r="D598" s="6"/>
      <c r="E598" s="6"/>
      <c r="F598" s="8"/>
      <c r="G598" s="8"/>
      <c r="H598" s="8"/>
      <c r="I598" s="8"/>
      <c r="J598" s="8"/>
      <c r="K598" s="8"/>
    </row>
    <row r="599" spans="1:11" s="9" customFormat="1" ht="13.2">
      <c r="A599" s="6"/>
      <c r="B599" s="6"/>
      <c r="C599" s="6"/>
      <c r="D599" s="6"/>
      <c r="E599" s="6"/>
      <c r="F599" s="8"/>
      <c r="G599" s="8"/>
      <c r="H599" s="8"/>
      <c r="I599" s="8"/>
      <c r="J599" s="8"/>
      <c r="K599" s="8"/>
    </row>
    <row r="600" spans="1:11" s="9" customFormat="1" ht="13.2">
      <c r="A600" s="6"/>
      <c r="B600" s="6"/>
      <c r="C600" s="6"/>
      <c r="D600" s="6"/>
      <c r="E600" s="6"/>
      <c r="F600" s="8"/>
      <c r="G600" s="8"/>
      <c r="H600" s="8"/>
      <c r="I600" s="8"/>
      <c r="J600" s="8"/>
      <c r="K600" s="8"/>
    </row>
    <row r="601" spans="1:11" s="9" customFormat="1" ht="13.2">
      <c r="A601" s="6"/>
      <c r="B601" s="6"/>
      <c r="C601" s="6"/>
      <c r="D601" s="6"/>
      <c r="E601" s="6"/>
      <c r="F601" s="8"/>
      <c r="G601" s="8"/>
      <c r="H601" s="8"/>
      <c r="I601" s="8"/>
      <c r="J601" s="8"/>
      <c r="K601" s="8"/>
    </row>
    <row r="602" spans="1:11" s="9" customFormat="1" ht="13.2">
      <c r="A602" s="6"/>
      <c r="B602" s="6"/>
      <c r="C602" s="6"/>
      <c r="D602" s="6"/>
      <c r="E602" s="6"/>
      <c r="F602" s="8"/>
      <c r="G602" s="8"/>
      <c r="H602" s="8"/>
      <c r="I602" s="8"/>
      <c r="J602" s="8"/>
      <c r="K602" s="8"/>
    </row>
    <row r="603" spans="1:11" s="9" customFormat="1" ht="13.2">
      <c r="A603" s="6"/>
      <c r="B603" s="6"/>
      <c r="C603" s="6"/>
      <c r="D603" s="6"/>
      <c r="E603" s="6"/>
      <c r="F603" s="10"/>
      <c r="G603" s="10"/>
      <c r="H603" s="10"/>
      <c r="I603" s="10"/>
      <c r="J603" s="10"/>
      <c r="K603" s="10"/>
    </row>
    <row r="604" spans="1:11" s="9" customFormat="1" ht="13.2">
      <c r="A604" s="6"/>
      <c r="B604" s="6"/>
      <c r="C604" s="6"/>
      <c r="D604" s="6"/>
      <c r="E604" s="6"/>
      <c r="F604" s="10"/>
      <c r="G604" s="10"/>
      <c r="H604" s="10"/>
      <c r="I604" s="10"/>
      <c r="J604" s="10"/>
      <c r="K604" s="10"/>
    </row>
    <row r="605" spans="1:11" s="9" customFormat="1" ht="13.2">
      <c r="A605" s="6"/>
      <c r="B605" s="6"/>
      <c r="C605" s="6"/>
      <c r="D605" s="6"/>
      <c r="E605" s="6"/>
      <c r="F605" s="10"/>
      <c r="G605" s="10"/>
      <c r="H605" s="10"/>
      <c r="I605" s="10"/>
      <c r="J605" s="10"/>
      <c r="K605" s="10"/>
    </row>
    <row r="606" spans="1:11" s="9" customFormat="1" ht="13.2">
      <c r="A606" s="6"/>
      <c r="B606" s="6"/>
      <c r="C606" s="6"/>
      <c r="D606" s="6"/>
      <c r="E606" s="6"/>
      <c r="F606" s="8"/>
      <c r="G606" s="8"/>
      <c r="H606" s="8"/>
      <c r="I606" s="8"/>
      <c r="J606" s="8"/>
      <c r="K606" s="8"/>
    </row>
    <row r="607" spans="1:11" s="9" customFormat="1" ht="13.2">
      <c r="A607" s="6"/>
      <c r="B607" s="6"/>
      <c r="C607" s="6"/>
      <c r="D607" s="6"/>
      <c r="E607" s="6"/>
      <c r="F607" s="8"/>
      <c r="G607" s="8"/>
      <c r="H607" s="8"/>
      <c r="I607" s="8"/>
      <c r="J607" s="8"/>
      <c r="K607" s="8"/>
    </row>
    <row r="608" spans="1:11" s="9" customFormat="1" ht="13.2">
      <c r="A608" s="6"/>
      <c r="B608" s="6"/>
      <c r="C608" s="6"/>
      <c r="D608" s="6"/>
      <c r="E608" s="6"/>
      <c r="F608" s="10"/>
      <c r="G608" s="10"/>
      <c r="H608" s="10"/>
      <c r="I608" s="10"/>
      <c r="J608" s="10"/>
      <c r="K608" s="10"/>
    </row>
    <row r="609" spans="1:13" s="9" customFormat="1" ht="13.2">
      <c r="A609" s="6"/>
      <c r="B609" s="6"/>
      <c r="C609" s="6"/>
      <c r="D609" s="6"/>
      <c r="E609" s="6"/>
      <c r="F609" s="10"/>
      <c r="G609" s="10"/>
      <c r="H609" s="10"/>
      <c r="I609" s="10"/>
      <c r="J609" s="10"/>
      <c r="K609" s="10"/>
    </row>
    <row r="610" spans="1:13" s="9" customFormat="1" ht="13.2">
      <c r="A610" s="6"/>
      <c r="B610" s="6"/>
      <c r="C610" s="6"/>
      <c r="D610" s="6"/>
      <c r="E610" s="6"/>
      <c r="F610" s="10"/>
      <c r="G610" s="10"/>
      <c r="H610" s="10"/>
      <c r="I610" s="10"/>
      <c r="J610" s="10"/>
      <c r="K610" s="10"/>
    </row>
    <row r="611" spans="1:13" s="9" customFormat="1" ht="13.2">
      <c r="A611" s="6"/>
      <c r="B611" s="6"/>
      <c r="C611" s="6"/>
      <c r="D611" s="6"/>
      <c r="E611" s="6"/>
      <c r="F611" s="8"/>
      <c r="G611" s="8"/>
      <c r="H611" s="8"/>
      <c r="I611" s="8"/>
      <c r="J611" s="8"/>
      <c r="K611" s="8"/>
    </row>
    <row r="612" spans="1:13" s="9" customFormat="1" ht="13.2">
      <c r="A612" s="6"/>
      <c r="B612" s="6"/>
      <c r="C612" s="6"/>
      <c r="D612" s="6"/>
      <c r="E612" s="6"/>
      <c r="F612" s="8"/>
      <c r="G612" s="8"/>
      <c r="H612" s="8"/>
      <c r="I612" s="8"/>
      <c r="J612" s="8"/>
      <c r="K612" s="8"/>
    </row>
    <row r="613" spans="1:13" s="9" customFormat="1" ht="13.2">
      <c r="A613" s="6"/>
      <c r="B613" s="6"/>
      <c r="C613" s="6"/>
      <c r="D613" s="6"/>
      <c r="E613" s="6"/>
      <c r="F613" s="8"/>
      <c r="G613" s="8"/>
      <c r="H613" s="8"/>
      <c r="I613" s="8"/>
      <c r="J613" s="8"/>
      <c r="K613" s="8"/>
    </row>
    <row r="614" spans="1:13" s="9" customFormat="1" ht="13.2">
      <c r="A614" s="6"/>
      <c r="B614" s="6"/>
      <c r="C614" s="6"/>
      <c r="D614" s="6"/>
      <c r="E614" s="6"/>
      <c r="F614" s="12"/>
      <c r="G614" s="12"/>
      <c r="H614" s="12"/>
      <c r="I614" s="12"/>
      <c r="J614" s="12"/>
      <c r="K614" s="12"/>
    </row>
    <row r="615" spans="1:13" s="9" customFormat="1" ht="13.2">
      <c r="A615" s="6"/>
      <c r="B615" s="6"/>
      <c r="C615" s="6"/>
      <c r="D615" s="6"/>
      <c r="E615" s="6"/>
      <c r="F615" s="12"/>
      <c r="G615" s="12"/>
      <c r="H615" s="12"/>
      <c r="I615" s="12"/>
      <c r="J615" s="12"/>
      <c r="K615" s="12"/>
    </row>
    <row r="616" spans="1:13" s="9" customFormat="1" ht="13.2">
      <c r="A616" s="6"/>
      <c r="B616" s="6"/>
      <c r="C616" s="6"/>
      <c r="D616" s="6"/>
      <c r="E616" s="6"/>
      <c r="F616" s="12"/>
      <c r="G616" s="12"/>
      <c r="H616" s="12"/>
      <c r="I616" s="12"/>
      <c r="J616" s="12"/>
      <c r="K616" s="12"/>
    </row>
    <row r="617" spans="1:13" s="9" customFormat="1" ht="13.2">
      <c r="A617" s="6"/>
      <c r="B617" s="6"/>
      <c r="C617" s="6"/>
      <c r="D617" s="6"/>
      <c r="E617" s="6"/>
      <c r="F617" s="12"/>
      <c r="G617" s="12"/>
      <c r="H617" s="12"/>
      <c r="I617" s="12"/>
      <c r="J617" s="12"/>
      <c r="K617" s="12"/>
    </row>
    <row r="618" spans="1:13" s="9" customFormat="1" ht="13.2">
      <c r="A618" s="6"/>
      <c r="B618" s="6"/>
      <c r="C618" s="6"/>
      <c r="D618" s="6"/>
      <c r="E618" s="6"/>
      <c r="F618" s="12"/>
      <c r="G618" s="12"/>
      <c r="H618" s="12"/>
      <c r="I618" s="12"/>
      <c r="J618" s="12"/>
      <c r="K618" s="12"/>
    </row>
    <row r="619" spans="1:13" s="9" customFormat="1" ht="13.2">
      <c r="A619" s="6"/>
      <c r="B619" s="6"/>
      <c r="C619" s="6"/>
      <c r="D619" s="6"/>
      <c r="E619" s="6"/>
      <c r="F619" s="12"/>
      <c r="G619" s="12"/>
      <c r="H619" s="12"/>
      <c r="I619" s="12"/>
      <c r="J619" s="12"/>
      <c r="K619" s="12"/>
    </row>
    <row r="620" spans="1:13" s="9" customFormat="1" ht="13.2">
      <c r="A620" s="6"/>
      <c r="B620" s="6"/>
      <c r="C620" s="6"/>
      <c r="D620" s="6"/>
      <c r="E620" s="6"/>
      <c r="F620" s="12"/>
      <c r="G620" s="12"/>
      <c r="H620" s="12"/>
      <c r="I620" s="12"/>
      <c r="J620" s="12"/>
      <c r="K620" s="12"/>
    </row>
    <row r="621" spans="1:13" s="9" customForma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s="9" customForma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s="9" customForma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s="9" customForma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s="9" customForma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s="9" customForma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</sheetData>
  <mergeCells count="291">
    <mergeCell ref="B3:H3"/>
    <mergeCell ref="L3:M3"/>
    <mergeCell ref="L4:M4"/>
    <mergeCell ref="L5:M5"/>
    <mergeCell ref="B6:H6"/>
    <mergeCell ref="L6:M6"/>
    <mergeCell ref="B23:F23"/>
    <mergeCell ref="B29:F29"/>
    <mergeCell ref="B30:F30"/>
    <mergeCell ref="G11:I11"/>
    <mergeCell ref="B12:F12"/>
    <mergeCell ref="G12:I12"/>
    <mergeCell ref="G13:I13"/>
    <mergeCell ref="J13:K13"/>
    <mergeCell ref="G14:I14"/>
    <mergeCell ref="J14:K14"/>
    <mergeCell ref="L8:M8"/>
    <mergeCell ref="G20:I20"/>
    <mergeCell ref="J20:K20"/>
    <mergeCell ref="G24:I24"/>
    <mergeCell ref="J24:K24"/>
    <mergeCell ref="B25:F25"/>
    <mergeCell ref="G25:I25"/>
    <mergeCell ref="J25:K25"/>
    <mergeCell ref="A9:A10"/>
    <mergeCell ref="B9:F10"/>
    <mergeCell ref="G9:I10"/>
    <mergeCell ref="J9:L9"/>
    <mergeCell ref="M9:M10"/>
    <mergeCell ref="J10:K10"/>
    <mergeCell ref="G18:I18"/>
    <mergeCell ref="J18:K18"/>
    <mergeCell ref="G19:I19"/>
    <mergeCell ref="J19:K19"/>
    <mergeCell ref="G15:I15"/>
    <mergeCell ref="J15:K15"/>
    <mergeCell ref="G16:I16"/>
    <mergeCell ref="J16:K16"/>
    <mergeCell ref="G17:I17"/>
    <mergeCell ref="J17:K17"/>
    <mergeCell ref="G26:I26"/>
    <mergeCell ref="J26:K26"/>
    <mergeCell ref="G21:I21"/>
    <mergeCell ref="J21:K21"/>
    <mergeCell ref="G22:I22"/>
    <mergeCell ref="J22:K22"/>
    <mergeCell ref="J35:K35"/>
    <mergeCell ref="J36:K36"/>
    <mergeCell ref="G37:I37"/>
    <mergeCell ref="J37:K37"/>
    <mergeCell ref="B32:F32"/>
    <mergeCell ref="G30:I30"/>
    <mergeCell ref="B31:F31"/>
    <mergeCell ref="B27:F27"/>
    <mergeCell ref="G27:I27"/>
    <mergeCell ref="J27:K27"/>
    <mergeCell ref="G28:I28"/>
    <mergeCell ref="J28:K28"/>
    <mergeCell ref="G29:I29"/>
    <mergeCell ref="J29:K29"/>
    <mergeCell ref="B33:F33"/>
    <mergeCell ref="B34:F34"/>
    <mergeCell ref="B35:F35"/>
    <mergeCell ref="B36:F36"/>
    <mergeCell ref="B37:F37"/>
    <mergeCell ref="B42:F42"/>
    <mergeCell ref="G42:H42"/>
    <mergeCell ref="J42:K42"/>
    <mergeCell ref="B43:F43"/>
    <mergeCell ref="G43:H43"/>
    <mergeCell ref="J43:K43"/>
    <mergeCell ref="B38:F38"/>
    <mergeCell ref="B40:F40"/>
    <mergeCell ref="G40:H40"/>
    <mergeCell ref="J40:K40"/>
    <mergeCell ref="B41:F41"/>
    <mergeCell ref="G41:H41"/>
    <mergeCell ref="J41:K41"/>
    <mergeCell ref="A48:F48"/>
    <mergeCell ref="H48:M48"/>
    <mergeCell ref="A49:F49"/>
    <mergeCell ref="H49:M49"/>
    <mergeCell ref="A50:F50"/>
    <mergeCell ref="H50:M50"/>
    <mergeCell ref="B44:F44"/>
    <mergeCell ref="G44:H44"/>
    <mergeCell ref="J44:K44"/>
    <mergeCell ref="B45:F45"/>
    <mergeCell ref="G45:I45"/>
    <mergeCell ref="A47:F47"/>
    <mergeCell ref="H47:M47"/>
    <mergeCell ref="A54:F54"/>
    <mergeCell ref="H54:M54"/>
    <mergeCell ref="A55:F55"/>
    <mergeCell ref="H55:M55"/>
    <mergeCell ref="A56:F56"/>
    <mergeCell ref="H56:M56"/>
    <mergeCell ref="A51:F51"/>
    <mergeCell ref="H51:M51"/>
    <mergeCell ref="A52:F52"/>
    <mergeCell ref="H52:M52"/>
    <mergeCell ref="A53:F53"/>
    <mergeCell ref="H53:M53"/>
    <mergeCell ref="A60:F60"/>
    <mergeCell ref="H60:I60"/>
    <mergeCell ref="J60:K60"/>
    <mergeCell ref="H61:I61"/>
    <mergeCell ref="J61:K61"/>
    <mergeCell ref="A62:F62"/>
    <mergeCell ref="H62:I62"/>
    <mergeCell ref="J62:K62"/>
    <mergeCell ref="A57:F57"/>
    <mergeCell ref="H57:M57"/>
    <mergeCell ref="H58:K58"/>
    <mergeCell ref="L58:M58"/>
    <mergeCell ref="A59:F59"/>
    <mergeCell ref="H59:I59"/>
    <mergeCell ref="J59:K59"/>
    <mergeCell ref="A65:F65"/>
    <mergeCell ref="H65:I65"/>
    <mergeCell ref="J65:K65"/>
    <mergeCell ref="A66:F66"/>
    <mergeCell ref="H66:I66"/>
    <mergeCell ref="J66:K66"/>
    <mergeCell ref="A63:F63"/>
    <mergeCell ref="H63:I63"/>
    <mergeCell ref="J63:K63"/>
    <mergeCell ref="A64:F64"/>
    <mergeCell ref="H64:I64"/>
    <mergeCell ref="J64:K64"/>
    <mergeCell ref="A69:F69"/>
    <mergeCell ref="H69:I69"/>
    <mergeCell ref="J69:K69"/>
    <mergeCell ref="B73:C73"/>
    <mergeCell ref="D73:E73"/>
    <mergeCell ref="F73:G73"/>
    <mergeCell ref="H73:I73"/>
    <mergeCell ref="J73:L73"/>
    <mergeCell ref="A67:F67"/>
    <mergeCell ref="H67:I67"/>
    <mergeCell ref="J67:K67"/>
    <mergeCell ref="A68:F68"/>
    <mergeCell ref="H68:I68"/>
    <mergeCell ref="J68:K68"/>
    <mergeCell ref="A80:B80"/>
    <mergeCell ref="D80:F80"/>
    <mergeCell ref="H80:J80"/>
    <mergeCell ref="B86:H86"/>
    <mergeCell ref="L86:M86"/>
    <mergeCell ref="B87:H87"/>
    <mergeCell ref="L87:M87"/>
    <mergeCell ref="B74:C75"/>
    <mergeCell ref="D74:E75"/>
    <mergeCell ref="F74:G75"/>
    <mergeCell ref="H74:I75"/>
    <mergeCell ref="J74:L75"/>
    <mergeCell ref="A79:B79"/>
    <mergeCell ref="D79:F79"/>
    <mergeCell ref="H79:J79"/>
    <mergeCell ref="L79:M79"/>
    <mergeCell ref="B88:H88"/>
    <mergeCell ref="L88:M88"/>
    <mergeCell ref="B89:H89"/>
    <mergeCell ref="L89:M89"/>
    <mergeCell ref="L91:M91"/>
    <mergeCell ref="A92:A93"/>
    <mergeCell ref="B92:F93"/>
    <mergeCell ref="G92:I93"/>
    <mergeCell ref="J92:L92"/>
    <mergeCell ref="M92:M93"/>
    <mergeCell ref="B97:F97"/>
    <mergeCell ref="G97:I97"/>
    <mergeCell ref="B98:F98"/>
    <mergeCell ref="G98:I98"/>
    <mergeCell ref="B99:F99"/>
    <mergeCell ref="G99:I99"/>
    <mergeCell ref="B94:F94"/>
    <mergeCell ref="G94:I94"/>
    <mergeCell ref="B95:F95"/>
    <mergeCell ref="G95:I95"/>
    <mergeCell ref="B96:F96"/>
    <mergeCell ref="G96:I96"/>
    <mergeCell ref="B103:F103"/>
    <mergeCell ref="G103:I103"/>
    <mergeCell ref="B104:F104"/>
    <mergeCell ref="G104:I104"/>
    <mergeCell ref="B105:F105"/>
    <mergeCell ref="G105:I105"/>
    <mergeCell ref="B100:F100"/>
    <mergeCell ref="G100:I100"/>
    <mergeCell ref="B101:F101"/>
    <mergeCell ref="G101:I101"/>
    <mergeCell ref="B102:F102"/>
    <mergeCell ref="G102:I102"/>
    <mergeCell ref="B109:F109"/>
    <mergeCell ref="G109:I109"/>
    <mergeCell ref="B110:F110"/>
    <mergeCell ref="G110:I110"/>
    <mergeCell ref="B111:F111"/>
    <mergeCell ref="G111:I111"/>
    <mergeCell ref="B106:F106"/>
    <mergeCell ref="G106:I106"/>
    <mergeCell ref="B107:F107"/>
    <mergeCell ref="G107:I107"/>
    <mergeCell ref="B108:F108"/>
    <mergeCell ref="G108:I108"/>
    <mergeCell ref="B117:F117"/>
    <mergeCell ref="G117:H117"/>
    <mergeCell ref="B118:F118"/>
    <mergeCell ref="G118:H118"/>
    <mergeCell ref="B119:F119"/>
    <mergeCell ref="G119:H119"/>
    <mergeCell ref="B112:F112"/>
    <mergeCell ref="G112:I112"/>
    <mergeCell ref="B113:F113"/>
    <mergeCell ref="G113:I113"/>
    <mergeCell ref="B114:F114"/>
    <mergeCell ref="B116:F116"/>
    <mergeCell ref="G116:H116"/>
    <mergeCell ref="A124:F124"/>
    <mergeCell ref="H124:M124"/>
    <mergeCell ref="A125:F125"/>
    <mergeCell ref="H125:M125"/>
    <mergeCell ref="A126:F126"/>
    <mergeCell ref="H126:M126"/>
    <mergeCell ref="B120:F120"/>
    <mergeCell ref="G120:H120"/>
    <mergeCell ref="B121:F121"/>
    <mergeCell ref="G121:I121"/>
    <mergeCell ref="A123:F123"/>
    <mergeCell ref="H123:M123"/>
    <mergeCell ref="A130:F130"/>
    <mergeCell ref="H130:M130"/>
    <mergeCell ref="A131:F131"/>
    <mergeCell ref="H131:M131"/>
    <mergeCell ref="A132:F132"/>
    <mergeCell ref="H132:M132"/>
    <mergeCell ref="A127:F127"/>
    <mergeCell ref="H127:M127"/>
    <mergeCell ref="A128:F128"/>
    <mergeCell ref="H128:M128"/>
    <mergeCell ref="A129:F129"/>
    <mergeCell ref="H129:M129"/>
    <mergeCell ref="H136:I136"/>
    <mergeCell ref="A137:F137"/>
    <mergeCell ref="H137:I137"/>
    <mergeCell ref="A138:F138"/>
    <mergeCell ref="H138:I138"/>
    <mergeCell ref="A133:F133"/>
    <mergeCell ref="H133:M133"/>
    <mergeCell ref="H134:J134"/>
    <mergeCell ref="L134:M134"/>
    <mergeCell ref="A135:F135"/>
    <mergeCell ref="H135:I135"/>
    <mergeCell ref="A156:B156"/>
    <mergeCell ref="D156:F156"/>
    <mergeCell ref="H156:J156"/>
    <mergeCell ref="J149:L149"/>
    <mergeCell ref="B150:C151"/>
    <mergeCell ref="D150:E151"/>
    <mergeCell ref="F150:G151"/>
    <mergeCell ref="H150:I151"/>
    <mergeCell ref="J150:L151"/>
    <mergeCell ref="B149:C149"/>
    <mergeCell ref="D149:E149"/>
    <mergeCell ref="F149:G149"/>
    <mergeCell ref="H149:I149"/>
    <mergeCell ref="B20:F20"/>
    <mergeCell ref="B22:F22"/>
    <mergeCell ref="B17:F17"/>
    <mergeCell ref="J23:K23"/>
    <mergeCell ref="G23:I23"/>
    <mergeCell ref="A155:B155"/>
    <mergeCell ref="D155:F155"/>
    <mergeCell ref="H155:J155"/>
    <mergeCell ref="L155:M155"/>
    <mergeCell ref="A145:F145"/>
    <mergeCell ref="H145:I145"/>
    <mergeCell ref="A142:F142"/>
    <mergeCell ref="H142:I142"/>
    <mergeCell ref="A143:F143"/>
    <mergeCell ref="H143:I143"/>
    <mergeCell ref="A144:F144"/>
    <mergeCell ref="H144:I144"/>
    <mergeCell ref="A139:F139"/>
    <mergeCell ref="H139:I139"/>
    <mergeCell ref="A140:F140"/>
    <mergeCell ref="H140:I140"/>
    <mergeCell ref="A141:F141"/>
    <mergeCell ref="H141:I141"/>
    <mergeCell ref="A136:F136"/>
  </mergeCells>
  <printOptions horizontalCentered="1"/>
  <pageMargins left="0.31496062992126" right="0.31496062992126" top="0.35433070866141703" bottom="0.35433070866141703" header="0.31496062992126" footer="0.31496062992126"/>
  <pageSetup paperSize="14" scale="59" orientation="portrait" r:id="rId1"/>
  <rowBreaks count="1" manualBreakCount="1">
    <brk id="80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23</vt:i4>
      </vt:variant>
    </vt:vector>
  </HeadingPairs>
  <TitlesOfParts>
    <vt:vector size="47" baseType="lpstr">
      <vt:lpstr>2-5-8-2024</vt:lpstr>
      <vt:lpstr>2-12-16-2024</vt:lpstr>
      <vt:lpstr>2-19-23-2024</vt:lpstr>
      <vt:lpstr>2-26--3-1-2024</vt:lpstr>
      <vt:lpstr>3-4-8-2024</vt:lpstr>
      <vt:lpstr>3-18-22-2024</vt:lpstr>
      <vt:lpstr>swa</vt:lpstr>
      <vt:lpstr>stewa</vt:lpstr>
      <vt:lpstr>3 - 25-27 - 2024</vt:lpstr>
      <vt:lpstr>4 - 1-5 - 2024</vt:lpstr>
      <vt:lpstr>4 - 8-12 - 2024</vt:lpstr>
      <vt:lpstr>4 - 15-19 - 2024</vt:lpstr>
      <vt:lpstr>4 - 22-26 - 2024</vt:lpstr>
      <vt:lpstr>CONCRETING</vt:lpstr>
      <vt:lpstr>Asassi</vt:lpstr>
      <vt:lpstr>PHO Phase II</vt:lpstr>
      <vt:lpstr>Gas Station</vt:lpstr>
      <vt:lpstr>FMR Road</vt:lpstr>
      <vt:lpstr>Warehouse</vt:lpstr>
      <vt:lpstr>Kamaranan</vt:lpstr>
      <vt:lpstr>Vicente</vt:lpstr>
      <vt:lpstr>Budget</vt:lpstr>
      <vt:lpstr>Accountant</vt:lpstr>
      <vt:lpstr>Assessor</vt:lpstr>
      <vt:lpstr>'2-12-16-2024'!Print_Area</vt:lpstr>
      <vt:lpstr>'2-19-23-2024'!Print_Area</vt:lpstr>
      <vt:lpstr>'2-26--3-1-2024'!Print_Area</vt:lpstr>
      <vt:lpstr>'2-5-8-2024'!Print_Area</vt:lpstr>
      <vt:lpstr>'3 - 25-27 - 2024'!Print_Area</vt:lpstr>
      <vt:lpstr>'3-18-22-2024'!Print_Area</vt:lpstr>
      <vt:lpstr>'3-4-8-2024'!Print_Area</vt:lpstr>
      <vt:lpstr>'4 - 1-5 - 2024'!Print_Area</vt:lpstr>
      <vt:lpstr>'4 - 15-19 - 2024'!Print_Area</vt:lpstr>
      <vt:lpstr>'4 - 22-26 - 2024'!Print_Area</vt:lpstr>
      <vt:lpstr>'4 - 8-12 - 2024'!Print_Area</vt:lpstr>
      <vt:lpstr>Accountant!Print_Area</vt:lpstr>
      <vt:lpstr>Asassi!Print_Area</vt:lpstr>
      <vt:lpstr>Assessor!Print_Area</vt:lpstr>
      <vt:lpstr>Budget!Print_Area</vt:lpstr>
      <vt:lpstr>CONCRETING!Print_Area</vt:lpstr>
      <vt:lpstr>'FMR Road'!Print_Area</vt:lpstr>
      <vt:lpstr>'Gas Station'!Print_Area</vt:lpstr>
      <vt:lpstr>Kamaranan!Print_Area</vt:lpstr>
      <vt:lpstr>'PHO Phase II'!Print_Area</vt:lpstr>
      <vt:lpstr>swa!Print_Area</vt:lpstr>
      <vt:lpstr>Vicente!Print_Area</vt:lpstr>
      <vt:lpstr>Warehouse!Print_Area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Nellie Magnaye</dc:creator>
  <cp:keywords/>
  <dc:description/>
  <cp:lastModifiedBy>User</cp:lastModifiedBy>
  <cp:revision/>
  <cp:lastPrinted>2026-03-12T03:17:05Z</cp:lastPrinted>
  <dcterms:created xsi:type="dcterms:W3CDTF">2012-05-23T03:56:54Z</dcterms:created>
  <dcterms:modified xsi:type="dcterms:W3CDTF">2026-05-28T08:39:12Z</dcterms:modified>
  <cp:category/>
  <cp:contentStatus/>
</cp:coreProperties>
</file>